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icha\BITSOM\Assignments'\Assignment 6\Part 1\richa_deshmukh_ba_2511416_part1_data_cleaning\data\"/>
    </mc:Choice>
  </mc:AlternateContent>
  <xr:revisionPtr revIDLastSave="0" documentId="13_ncr:1_{A27BD46B-9EF1-4DEC-AF31-7D00D2FB10E2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4" sheetId="6" r:id="rId1"/>
    <sheet name="Sheet5" sheetId="7" r:id="rId2"/>
    <sheet name="Sheet6" sheetId="8" r:id="rId3"/>
    <sheet name="Sheet10" sheetId="12" r:id="rId4"/>
    <sheet name="Sheet11" sheetId="13" r:id="rId5"/>
    <sheet name="Sheet13" sheetId="15" r:id="rId6"/>
    <sheet name="raw_orders" sheetId="1" r:id="rId7"/>
    <sheet name="business_rules" sheetId="2" r:id="rId8"/>
  </sheets>
  <calcPr calcId="191029"/>
  <pivotCaches>
    <pivotCache cacheId="3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6" i="1" l="1"/>
  <c r="AP13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P9" i="1"/>
  <c r="AP8" i="1"/>
  <c r="AP4" i="1"/>
  <c r="AP3" i="1"/>
  <c r="AP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T20" i="1" s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T35" i="1" s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T48" i="1" s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T63" i="1" s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T77" i="1" s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T91" i="1" s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T105" i="1" s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T120" i="1" s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T133" i="1" s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T148" i="1" s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T163" i="1" s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T176" i="1" s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T191" i="1" s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T205" i="1" s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T219" i="1" s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T233" i="1" s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T248" i="1" s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T261" i="1" s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T276" i="1" s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T291" i="1" s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T304" i="1" s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T319" i="1" s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T333" i="1" s="1"/>
  <c r="Q334" i="1"/>
  <c r="Q335" i="1"/>
  <c r="Q336" i="1"/>
  <c r="Q337" i="1"/>
  <c r="Q338" i="1"/>
  <c r="Q339" i="1"/>
  <c r="Q340" i="1"/>
  <c r="Q341" i="1"/>
  <c r="Q342" i="1"/>
  <c r="Q343" i="1"/>
  <c r="Q344" i="1"/>
  <c r="Q345" i="1"/>
  <c r="T345" i="1" s="1"/>
  <c r="Q346" i="1"/>
  <c r="Q347" i="1"/>
  <c r="Q348" i="1"/>
  <c r="Q349" i="1"/>
  <c r="Q350" i="1"/>
  <c r="Q351" i="1"/>
  <c r="Q352" i="1"/>
  <c r="Q353" i="1"/>
  <c r="Q354" i="1"/>
  <c r="Q355" i="1"/>
  <c r="Q356" i="1"/>
  <c r="T356" i="1" s="1"/>
  <c r="Q357" i="1"/>
  <c r="Q358" i="1"/>
  <c r="Q359" i="1"/>
  <c r="Q360" i="1"/>
  <c r="Q361" i="1"/>
  <c r="Q362" i="1"/>
  <c r="Q363" i="1"/>
  <c r="Q364" i="1"/>
  <c r="Q365" i="1"/>
  <c r="Q366" i="1"/>
  <c r="Q367" i="1"/>
  <c r="T367" i="1" s="1"/>
  <c r="Q368" i="1"/>
  <c r="Q369" i="1"/>
  <c r="Q370" i="1"/>
  <c r="Q371" i="1"/>
  <c r="Q372" i="1"/>
  <c r="Q373" i="1"/>
  <c r="Q374" i="1"/>
  <c r="Q375" i="1"/>
  <c r="Q376" i="1"/>
  <c r="Q377" i="1"/>
  <c r="T377" i="1" s="1"/>
  <c r="Q378" i="1"/>
  <c r="Q379" i="1"/>
  <c r="Q380" i="1"/>
  <c r="Q381" i="1"/>
  <c r="Q382" i="1"/>
  <c r="Q383" i="1"/>
  <c r="Q384" i="1"/>
  <c r="Q385" i="1"/>
  <c r="Q386" i="1"/>
  <c r="Q387" i="1"/>
  <c r="Q388" i="1"/>
  <c r="T388" i="1" s="1"/>
  <c r="Q389" i="1"/>
  <c r="Q390" i="1"/>
  <c r="Q391" i="1"/>
  <c r="Q392" i="1"/>
  <c r="Q393" i="1"/>
  <c r="Q394" i="1"/>
  <c r="Q395" i="1"/>
  <c r="Q396" i="1"/>
  <c r="Q397" i="1"/>
  <c r="Q398" i="1"/>
  <c r="Q399" i="1"/>
  <c r="T399" i="1" s="1"/>
  <c r="Q400" i="1"/>
  <c r="Q401" i="1"/>
  <c r="Q402" i="1"/>
  <c r="Q403" i="1"/>
  <c r="Q404" i="1"/>
  <c r="Q405" i="1"/>
  <c r="Q406" i="1"/>
  <c r="Q407" i="1"/>
  <c r="Q408" i="1"/>
  <c r="Q409" i="1"/>
  <c r="T409" i="1" s="1"/>
  <c r="Q410" i="1"/>
  <c r="Q411" i="1"/>
  <c r="Q412" i="1"/>
  <c r="Q413" i="1"/>
  <c r="Q414" i="1"/>
  <c r="Q415" i="1"/>
  <c r="Q416" i="1"/>
  <c r="Q417" i="1"/>
  <c r="Q418" i="1"/>
  <c r="Q419" i="1"/>
  <c r="Q420" i="1"/>
  <c r="T420" i="1" s="1"/>
  <c r="Q421" i="1"/>
  <c r="Q422" i="1"/>
  <c r="Q423" i="1"/>
  <c r="Q424" i="1"/>
  <c r="Q425" i="1"/>
  <c r="Q426" i="1"/>
  <c r="Q427" i="1"/>
  <c r="Q428" i="1"/>
  <c r="Q429" i="1"/>
  <c r="Q430" i="1"/>
  <c r="Q431" i="1"/>
  <c r="T431" i="1" s="1"/>
  <c r="Q432" i="1"/>
  <c r="Q433" i="1"/>
  <c r="Q434" i="1"/>
  <c r="Q435" i="1"/>
  <c r="Q436" i="1"/>
  <c r="Q437" i="1"/>
  <c r="Q438" i="1"/>
  <c r="Q439" i="1"/>
  <c r="Q440" i="1"/>
  <c r="Q441" i="1"/>
  <c r="T441" i="1" s="1"/>
  <c r="Q442" i="1"/>
  <c r="Q443" i="1"/>
  <c r="Q444" i="1"/>
  <c r="Q445" i="1"/>
  <c r="Q446" i="1"/>
  <c r="Q447" i="1"/>
  <c r="Q448" i="1"/>
  <c r="Q449" i="1"/>
  <c r="Q450" i="1"/>
  <c r="Q451" i="1"/>
  <c r="Q452" i="1"/>
  <c r="T452" i="1" s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T473" i="1" s="1"/>
  <c r="Q474" i="1"/>
  <c r="Q475" i="1"/>
  <c r="Q476" i="1"/>
  <c r="Q477" i="1"/>
  <c r="Q478" i="1"/>
  <c r="Q479" i="1"/>
  <c r="Q480" i="1"/>
  <c r="Q481" i="1"/>
  <c r="Q482" i="1"/>
  <c r="Q483" i="1"/>
  <c r="Q484" i="1"/>
  <c r="T484" i="1" s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T501" i="1" s="1"/>
  <c r="Q502" i="1"/>
  <c r="Q503" i="1"/>
  <c r="Q504" i="1"/>
  <c r="Q505" i="1"/>
  <c r="Q506" i="1"/>
  <c r="Q507" i="1"/>
  <c r="Q508" i="1"/>
  <c r="Q509" i="1"/>
  <c r="T509" i="1" s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U431" i="1" l="1"/>
  <c r="AN431" i="1" s="1"/>
  <c r="U399" i="1"/>
  <c r="AN399" i="1" s="1"/>
  <c r="U367" i="1"/>
  <c r="AN367" i="1" s="1"/>
  <c r="W163" i="1"/>
  <c r="AP21" i="1"/>
  <c r="AP22" i="1"/>
  <c r="U501" i="1"/>
  <c r="AN501" i="1" s="1"/>
  <c r="W501" i="1"/>
  <c r="U333" i="1"/>
  <c r="AN333" i="1" s="1"/>
  <c r="U233" i="1"/>
  <c r="AN233" i="1" s="1"/>
  <c r="U205" i="1"/>
  <c r="AN205" i="1" s="1"/>
  <c r="U105" i="1"/>
  <c r="AN105" i="1" s="1"/>
  <c r="U77" i="1"/>
  <c r="AN77" i="1" s="1"/>
  <c r="U248" i="1"/>
  <c r="AN248" i="1" s="1"/>
  <c r="U120" i="1"/>
  <c r="AN120" i="1" s="1"/>
  <c r="AP23" i="1"/>
  <c r="U484" i="1"/>
  <c r="AN484" i="1" s="1"/>
  <c r="AM484" i="1"/>
  <c r="U452" i="1"/>
  <c r="AN452" i="1" s="1"/>
  <c r="AM452" i="1"/>
  <c r="U356" i="1"/>
  <c r="AN356" i="1" s="1"/>
  <c r="AM356" i="1"/>
  <c r="U304" i="1"/>
  <c r="AN304" i="1" s="1"/>
  <c r="AM304" i="1"/>
  <c r="U276" i="1"/>
  <c r="AN276" i="1" s="1"/>
  <c r="AM276" i="1"/>
  <c r="U176" i="1"/>
  <c r="AN176" i="1" s="1"/>
  <c r="AM176" i="1"/>
  <c r="U148" i="1"/>
  <c r="AN148" i="1" s="1"/>
  <c r="AM148" i="1"/>
  <c r="U20" i="1"/>
  <c r="AN20" i="1" s="1"/>
  <c r="AM20" i="1"/>
  <c r="U191" i="1"/>
  <c r="AN191" i="1" s="1"/>
  <c r="AM191" i="1"/>
  <c r="U63" i="1"/>
  <c r="AN63" i="1" s="1"/>
  <c r="AM63" i="1"/>
  <c r="U35" i="1"/>
  <c r="AN35" i="1" s="1"/>
  <c r="AM35" i="1"/>
  <c r="AM501" i="1"/>
  <c r="AM233" i="1"/>
  <c r="AM105" i="1"/>
  <c r="U420" i="1"/>
  <c r="AN420" i="1" s="1"/>
  <c r="AM420" i="1"/>
  <c r="U388" i="1"/>
  <c r="AN388" i="1" s="1"/>
  <c r="AM388" i="1"/>
  <c r="U48" i="1"/>
  <c r="AN48" i="1" s="1"/>
  <c r="AM48" i="1"/>
  <c r="U319" i="1"/>
  <c r="AN319" i="1" s="1"/>
  <c r="AM319" i="1"/>
  <c r="U291" i="1"/>
  <c r="AN291" i="1" s="1"/>
  <c r="AM291" i="1"/>
  <c r="U219" i="1"/>
  <c r="AN219" i="1" s="1"/>
  <c r="AM219" i="1"/>
  <c r="U163" i="1"/>
  <c r="AN163" i="1" s="1"/>
  <c r="AM163" i="1"/>
  <c r="U91" i="1"/>
  <c r="AN91" i="1" s="1"/>
  <c r="AM91" i="1"/>
  <c r="AM333" i="1"/>
  <c r="AM248" i="1"/>
  <c r="AM205" i="1"/>
  <c r="AM120" i="1"/>
  <c r="AM77" i="1"/>
  <c r="U509" i="1"/>
  <c r="AN509" i="1" s="1"/>
  <c r="AM509" i="1"/>
  <c r="U473" i="1"/>
  <c r="AN473" i="1" s="1"/>
  <c r="AM473" i="1"/>
  <c r="U441" i="1"/>
  <c r="AN441" i="1" s="1"/>
  <c r="AM441" i="1"/>
  <c r="U409" i="1"/>
  <c r="AN409" i="1" s="1"/>
  <c r="AM409" i="1"/>
  <c r="U377" i="1"/>
  <c r="AN377" i="1" s="1"/>
  <c r="AM377" i="1"/>
  <c r="U345" i="1"/>
  <c r="AN345" i="1" s="1"/>
  <c r="AM345" i="1"/>
  <c r="U261" i="1"/>
  <c r="AN261" i="1" s="1"/>
  <c r="AM261" i="1"/>
  <c r="U133" i="1"/>
  <c r="AN133" i="1" s="1"/>
  <c r="AM133" i="1"/>
  <c r="AM431" i="1"/>
  <c r="AM399" i="1"/>
  <c r="AM367" i="1"/>
  <c r="AP11" i="1"/>
  <c r="AP10" i="1"/>
  <c r="AP5" i="1"/>
  <c r="T933" i="1"/>
  <c r="T929" i="1"/>
  <c r="T925" i="1"/>
  <c r="T921" i="1"/>
  <c r="T917" i="1"/>
  <c r="T913" i="1"/>
  <c r="T909" i="1"/>
  <c r="T905" i="1"/>
  <c r="T901" i="1"/>
  <c r="T897" i="1"/>
  <c r="T893" i="1"/>
  <c r="T889" i="1"/>
  <c r="T885" i="1"/>
  <c r="T881" i="1"/>
  <c r="T877" i="1"/>
  <c r="T873" i="1"/>
  <c r="T869" i="1"/>
  <c r="T865" i="1"/>
  <c r="T861" i="1"/>
  <c r="T857" i="1"/>
  <c r="T853" i="1"/>
  <c r="T849" i="1"/>
  <c r="T845" i="1"/>
  <c r="T841" i="1"/>
  <c r="T837" i="1"/>
  <c r="T833" i="1"/>
  <c r="T829" i="1"/>
  <c r="T825" i="1"/>
  <c r="T821" i="1"/>
  <c r="T817" i="1"/>
  <c r="T813" i="1"/>
  <c r="T809" i="1"/>
  <c r="T805" i="1"/>
  <c r="T801" i="1"/>
  <c r="T797" i="1"/>
  <c r="T793" i="1"/>
  <c r="T789" i="1"/>
  <c r="T785" i="1"/>
  <c r="T781" i="1"/>
  <c r="T777" i="1"/>
  <c r="T773" i="1"/>
  <c r="T769" i="1"/>
  <c r="T765" i="1"/>
  <c r="T761" i="1"/>
  <c r="T757" i="1"/>
  <c r="T753" i="1"/>
  <c r="T749" i="1"/>
  <c r="T745" i="1"/>
  <c r="T741" i="1"/>
  <c r="T737" i="1"/>
  <c r="T733" i="1"/>
  <c r="T729" i="1"/>
  <c r="T725" i="1"/>
  <c r="T721" i="1"/>
  <c r="T717" i="1"/>
  <c r="T713" i="1"/>
  <c r="T709" i="1"/>
  <c r="T705" i="1"/>
  <c r="T701" i="1"/>
  <c r="T697" i="1"/>
  <c r="T693" i="1"/>
  <c r="T689" i="1"/>
  <c r="T685" i="1"/>
  <c r="T681" i="1"/>
  <c r="T677" i="1"/>
  <c r="T673" i="1"/>
  <c r="T669" i="1"/>
  <c r="T665" i="1"/>
  <c r="T661" i="1"/>
  <c r="T657" i="1"/>
  <c r="T653" i="1"/>
  <c r="T649" i="1"/>
  <c r="T645" i="1"/>
  <c r="T641" i="1"/>
  <c r="T637" i="1"/>
  <c r="T633" i="1"/>
  <c r="T629" i="1"/>
  <c r="T625" i="1"/>
  <c r="T621" i="1"/>
  <c r="T617" i="1"/>
  <c r="T613" i="1"/>
  <c r="T609" i="1"/>
  <c r="T605" i="1"/>
  <c r="T601" i="1"/>
  <c r="T597" i="1"/>
  <c r="T593" i="1"/>
  <c r="T589" i="1"/>
  <c r="T585" i="1"/>
  <c r="T581" i="1"/>
  <c r="T577" i="1"/>
  <c r="T573" i="1"/>
  <c r="T569" i="1"/>
  <c r="T565" i="1"/>
  <c r="T561" i="1"/>
  <c r="T557" i="1"/>
  <c r="T553" i="1"/>
  <c r="T549" i="1"/>
  <c r="T545" i="1"/>
  <c r="T541" i="1"/>
  <c r="T537" i="1"/>
  <c r="T533" i="1"/>
  <c r="T529" i="1"/>
  <c r="T525" i="1"/>
  <c r="T932" i="1"/>
  <c r="T928" i="1"/>
  <c r="T924" i="1"/>
  <c r="T920" i="1"/>
  <c r="T916" i="1"/>
  <c r="T912" i="1"/>
  <c r="T908" i="1"/>
  <c r="T904" i="1"/>
  <c r="T900" i="1"/>
  <c r="T896" i="1"/>
  <c r="T892" i="1"/>
  <c r="T888" i="1"/>
  <c r="T884" i="1"/>
  <c r="T880" i="1"/>
  <c r="T876" i="1"/>
  <c r="T872" i="1"/>
  <c r="T868" i="1"/>
  <c r="T864" i="1"/>
  <c r="T860" i="1"/>
  <c r="T856" i="1"/>
  <c r="T852" i="1"/>
  <c r="T848" i="1"/>
  <c r="T844" i="1"/>
  <c r="T840" i="1"/>
  <c r="T836" i="1"/>
  <c r="T832" i="1"/>
  <c r="T828" i="1"/>
  <c r="T824" i="1"/>
  <c r="T820" i="1"/>
  <c r="T816" i="1"/>
  <c r="T812" i="1"/>
  <c r="T808" i="1"/>
  <c r="T804" i="1"/>
  <c r="T800" i="1"/>
  <c r="T796" i="1"/>
  <c r="T792" i="1"/>
  <c r="T788" i="1"/>
  <c r="T784" i="1"/>
  <c r="T780" i="1"/>
  <c r="T776" i="1"/>
  <c r="T772" i="1"/>
  <c r="T768" i="1"/>
  <c r="T764" i="1"/>
  <c r="T760" i="1"/>
  <c r="T756" i="1"/>
  <c r="T752" i="1"/>
  <c r="T748" i="1"/>
  <c r="T744" i="1"/>
  <c r="T740" i="1"/>
  <c r="T736" i="1"/>
  <c r="T732" i="1"/>
  <c r="T728" i="1"/>
  <c r="T724" i="1"/>
  <c r="T720" i="1"/>
  <c r="T716" i="1"/>
  <c r="T712" i="1"/>
  <c r="T708" i="1"/>
  <c r="T704" i="1"/>
  <c r="T700" i="1"/>
  <c r="T696" i="1"/>
  <c r="T692" i="1"/>
  <c r="T688" i="1"/>
  <c r="T684" i="1"/>
  <c r="T680" i="1"/>
  <c r="T676" i="1"/>
  <c r="T672" i="1"/>
  <c r="T668" i="1"/>
  <c r="T664" i="1"/>
  <c r="T660" i="1"/>
  <c r="T656" i="1"/>
  <c r="T652" i="1"/>
  <c r="T648" i="1"/>
  <c r="T644" i="1"/>
  <c r="T640" i="1"/>
  <c r="T636" i="1"/>
  <c r="T632" i="1"/>
  <c r="T628" i="1"/>
  <c r="T624" i="1"/>
  <c r="T620" i="1"/>
  <c r="T616" i="1"/>
  <c r="T612" i="1"/>
  <c r="T608" i="1"/>
  <c r="T604" i="1"/>
  <c r="T600" i="1"/>
  <c r="T596" i="1"/>
  <c r="T592" i="1"/>
  <c r="T588" i="1"/>
  <c r="T584" i="1"/>
  <c r="T580" i="1"/>
  <c r="T576" i="1"/>
  <c r="T572" i="1"/>
  <c r="T568" i="1"/>
  <c r="T564" i="1"/>
  <c r="T560" i="1"/>
  <c r="T556" i="1"/>
  <c r="T552" i="1"/>
  <c r="T548" i="1"/>
  <c r="T544" i="1"/>
  <c r="T540" i="1"/>
  <c r="T536" i="1"/>
  <c r="T532" i="1"/>
  <c r="T528" i="1"/>
  <c r="T524" i="1"/>
  <c r="T520" i="1"/>
  <c r="T516" i="1"/>
  <c r="T512" i="1"/>
  <c r="T508" i="1"/>
  <c r="T504" i="1"/>
  <c r="T500" i="1"/>
  <c r="T496" i="1"/>
  <c r="T492" i="1"/>
  <c r="T488" i="1"/>
  <c r="T931" i="1"/>
  <c r="T927" i="1"/>
  <c r="T923" i="1"/>
  <c r="T919" i="1"/>
  <c r="T915" i="1"/>
  <c r="T911" i="1"/>
  <c r="T907" i="1"/>
  <c r="T903" i="1"/>
  <c r="T899" i="1"/>
  <c r="T895" i="1"/>
  <c r="T891" i="1"/>
  <c r="T887" i="1"/>
  <c r="T883" i="1"/>
  <c r="T879" i="1"/>
  <c r="T875" i="1"/>
  <c r="T871" i="1"/>
  <c r="T867" i="1"/>
  <c r="T863" i="1"/>
  <c r="T859" i="1"/>
  <c r="T855" i="1"/>
  <c r="T851" i="1"/>
  <c r="T847" i="1"/>
  <c r="T843" i="1"/>
  <c r="T839" i="1"/>
  <c r="T835" i="1"/>
  <c r="T831" i="1"/>
  <c r="T827" i="1"/>
  <c r="T823" i="1"/>
  <c r="T819" i="1"/>
  <c r="T815" i="1"/>
  <c r="T811" i="1"/>
  <c r="T807" i="1"/>
  <c r="T803" i="1"/>
  <c r="T799" i="1"/>
  <c r="T795" i="1"/>
  <c r="T791" i="1"/>
  <c r="T787" i="1"/>
  <c r="T783" i="1"/>
  <c r="T779" i="1"/>
  <c r="T775" i="1"/>
  <c r="T771" i="1"/>
  <c r="T767" i="1"/>
  <c r="T763" i="1"/>
  <c r="T759" i="1"/>
  <c r="T755" i="1"/>
  <c r="T751" i="1"/>
  <c r="T747" i="1"/>
  <c r="T743" i="1"/>
  <c r="T739" i="1"/>
  <c r="T735" i="1"/>
  <c r="T731" i="1"/>
  <c r="T727" i="1"/>
  <c r="T723" i="1"/>
  <c r="T719" i="1"/>
  <c r="T715" i="1"/>
  <c r="T711" i="1"/>
  <c r="T707" i="1"/>
  <c r="T703" i="1"/>
  <c r="T699" i="1"/>
  <c r="T695" i="1"/>
  <c r="T691" i="1"/>
  <c r="T687" i="1"/>
  <c r="T683" i="1"/>
  <c r="T679" i="1"/>
  <c r="T675" i="1"/>
  <c r="T671" i="1"/>
  <c r="T667" i="1"/>
  <c r="T663" i="1"/>
  <c r="T659" i="1"/>
  <c r="T655" i="1"/>
  <c r="T651" i="1"/>
  <c r="T647" i="1"/>
  <c r="T643" i="1"/>
  <c r="T639" i="1"/>
  <c r="T635" i="1"/>
  <c r="T631" i="1"/>
  <c r="T627" i="1"/>
  <c r="T623" i="1"/>
  <c r="T619" i="1"/>
  <c r="T615" i="1"/>
  <c r="T611" i="1"/>
  <c r="T607" i="1"/>
  <c r="T603" i="1"/>
  <c r="T599" i="1"/>
  <c r="T595" i="1"/>
  <c r="T591" i="1"/>
  <c r="T587" i="1"/>
  <c r="T583" i="1"/>
  <c r="T579" i="1"/>
  <c r="T575" i="1"/>
  <c r="T571" i="1"/>
  <c r="T567" i="1"/>
  <c r="T563" i="1"/>
  <c r="T559" i="1"/>
  <c r="T555" i="1"/>
  <c r="T551" i="1"/>
  <c r="T547" i="1"/>
  <c r="T543" i="1"/>
  <c r="T539" i="1"/>
  <c r="T535" i="1"/>
  <c r="T531" i="1"/>
  <c r="T527" i="1"/>
  <c r="T523" i="1"/>
  <c r="T519" i="1"/>
  <c r="T515" i="1"/>
  <c r="T511" i="1"/>
  <c r="T507" i="1"/>
  <c r="T503" i="1"/>
  <c r="T499" i="1"/>
  <c r="T495" i="1"/>
  <c r="T491" i="1"/>
  <c r="T487" i="1"/>
  <c r="T483" i="1"/>
  <c r="T479" i="1"/>
  <c r="T475" i="1"/>
  <c r="T471" i="1"/>
  <c r="T467" i="1"/>
  <c r="T463" i="1"/>
  <c r="T459" i="1"/>
  <c r="T455" i="1"/>
  <c r="T930" i="1"/>
  <c r="T926" i="1"/>
  <c r="T922" i="1"/>
  <c r="T918" i="1"/>
  <c r="T914" i="1"/>
  <c r="T910" i="1"/>
  <c r="T906" i="1"/>
  <c r="T902" i="1"/>
  <c r="T898" i="1"/>
  <c r="T894" i="1"/>
  <c r="T890" i="1"/>
  <c r="T886" i="1"/>
  <c r="T882" i="1"/>
  <c r="T878" i="1"/>
  <c r="T874" i="1"/>
  <c r="T870" i="1"/>
  <c r="T866" i="1"/>
  <c r="T862" i="1"/>
  <c r="T858" i="1"/>
  <c r="T854" i="1"/>
  <c r="T850" i="1"/>
  <c r="T846" i="1"/>
  <c r="T842" i="1"/>
  <c r="T838" i="1"/>
  <c r="T834" i="1"/>
  <c r="T830" i="1"/>
  <c r="T826" i="1"/>
  <c r="T822" i="1"/>
  <c r="T818" i="1"/>
  <c r="T814" i="1"/>
  <c r="T810" i="1"/>
  <c r="T806" i="1"/>
  <c r="T802" i="1"/>
  <c r="T798" i="1"/>
  <c r="T794" i="1"/>
  <c r="T790" i="1"/>
  <c r="T786" i="1"/>
  <c r="T782" i="1"/>
  <c r="T778" i="1"/>
  <c r="T774" i="1"/>
  <c r="T770" i="1"/>
  <c r="T766" i="1"/>
  <c r="T762" i="1"/>
  <c r="T758" i="1"/>
  <c r="T754" i="1"/>
  <c r="T750" i="1"/>
  <c r="T746" i="1"/>
  <c r="T742" i="1"/>
  <c r="T738" i="1"/>
  <c r="T734" i="1"/>
  <c r="T730" i="1"/>
  <c r="T726" i="1"/>
  <c r="T722" i="1"/>
  <c r="T718" i="1"/>
  <c r="T714" i="1"/>
  <c r="T710" i="1"/>
  <c r="T706" i="1"/>
  <c r="T702" i="1"/>
  <c r="T698" i="1"/>
  <c r="T694" i="1"/>
  <c r="T690" i="1"/>
  <c r="T686" i="1"/>
  <c r="T682" i="1"/>
  <c r="T678" i="1"/>
  <c r="T674" i="1"/>
  <c r="T670" i="1"/>
  <c r="T666" i="1"/>
  <c r="T662" i="1"/>
  <c r="T658" i="1"/>
  <c r="T654" i="1"/>
  <c r="T650" i="1"/>
  <c r="T646" i="1"/>
  <c r="T642" i="1"/>
  <c r="T638" i="1"/>
  <c r="T634" i="1"/>
  <c r="T630" i="1"/>
  <c r="T626" i="1"/>
  <c r="T622" i="1"/>
  <c r="T618" i="1"/>
  <c r="T614" i="1"/>
  <c r="T610" i="1"/>
  <c r="T606" i="1"/>
  <c r="T602" i="1"/>
  <c r="T598" i="1"/>
  <c r="T594" i="1"/>
  <c r="T590" i="1"/>
  <c r="T586" i="1"/>
  <c r="T582" i="1"/>
  <c r="T578" i="1"/>
  <c r="T574" i="1"/>
  <c r="T570" i="1"/>
  <c r="T566" i="1"/>
  <c r="T562" i="1"/>
  <c r="T558" i="1"/>
  <c r="T554" i="1"/>
  <c r="T550" i="1"/>
  <c r="T546" i="1"/>
  <c r="T542" i="1"/>
  <c r="T538" i="1"/>
  <c r="T534" i="1"/>
  <c r="T530" i="1"/>
  <c r="T526" i="1"/>
  <c r="T522" i="1"/>
  <c r="T518" i="1"/>
  <c r="T514" i="1"/>
  <c r="T510" i="1"/>
  <c r="T506" i="1"/>
  <c r="T502" i="1"/>
  <c r="T498" i="1"/>
  <c r="T494" i="1"/>
  <c r="T490" i="1"/>
  <c r="T486" i="1"/>
  <c r="T482" i="1"/>
  <c r="T478" i="1"/>
  <c r="T474" i="1"/>
  <c r="T470" i="1"/>
  <c r="T466" i="1"/>
  <c r="T462" i="1"/>
  <c r="T458" i="1"/>
  <c r="T454" i="1"/>
  <c r="T450" i="1"/>
  <c r="T446" i="1"/>
  <c r="T442" i="1"/>
  <c r="T438" i="1"/>
  <c r="T434" i="1"/>
  <c r="T430" i="1"/>
  <c r="T426" i="1"/>
  <c r="T422" i="1"/>
  <c r="T418" i="1"/>
  <c r="T414" i="1"/>
  <c r="T410" i="1"/>
  <c r="T406" i="1"/>
  <c r="T402" i="1"/>
  <c r="T398" i="1"/>
  <c r="T394" i="1"/>
  <c r="T390" i="1"/>
  <c r="T386" i="1"/>
  <c r="T382" i="1"/>
  <c r="T378" i="1"/>
  <c r="T374" i="1"/>
  <c r="T370" i="1"/>
  <c r="T366" i="1"/>
  <c r="T362" i="1"/>
  <c r="T358" i="1"/>
  <c r="T354" i="1"/>
  <c r="T350" i="1"/>
  <c r="T346" i="1"/>
  <c r="T342" i="1"/>
  <c r="T338" i="1"/>
  <c r="T334" i="1"/>
  <c r="T330" i="1"/>
  <c r="T326" i="1"/>
  <c r="T322" i="1"/>
  <c r="T318" i="1"/>
  <c r="T314" i="1"/>
  <c r="T310" i="1"/>
  <c r="T306" i="1"/>
  <c r="T302" i="1"/>
  <c r="T298" i="1"/>
  <c r="T294" i="1"/>
  <c r="T290" i="1"/>
  <c r="T286" i="1"/>
  <c r="T282" i="1"/>
  <c r="T278" i="1"/>
  <c r="T274" i="1"/>
  <c r="T270" i="1"/>
  <c r="T266" i="1"/>
  <c r="T262" i="1"/>
  <c r="T258" i="1"/>
  <c r="T254" i="1"/>
  <c r="T250" i="1"/>
  <c r="T246" i="1"/>
  <c r="T242" i="1"/>
  <c r="T238" i="1"/>
  <c r="T234" i="1"/>
  <c r="T230" i="1"/>
  <c r="T226" i="1"/>
  <c r="T222" i="1"/>
  <c r="T218" i="1"/>
  <c r="T214" i="1"/>
  <c r="T210" i="1"/>
  <c r="T206" i="1"/>
  <c r="T202" i="1"/>
  <c r="T198" i="1"/>
  <c r="T194" i="1"/>
  <c r="T190" i="1"/>
  <c r="T186" i="1"/>
  <c r="T182" i="1"/>
  <c r="T178" i="1"/>
  <c r="T174" i="1"/>
  <c r="T170" i="1"/>
  <c r="T166" i="1"/>
  <c r="T162" i="1"/>
  <c r="T158" i="1"/>
  <c r="T154" i="1"/>
  <c r="T150" i="1"/>
  <c r="T146" i="1"/>
  <c r="T142" i="1"/>
  <c r="T138" i="1"/>
  <c r="T134" i="1"/>
  <c r="T130" i="1"/>
  <c r="T126" i="1"/>
  <c r="T122" i="1"/>
  <c r="T118" i="1"/>
  <c r="T114" i="1"/>
  <c r="T110" i="1"/>
  <c r="T106" i="1"/>
  <c r="T102" i="1"/>
  <c r="T98" i="1"/>
  <c r="T94" i="1"/>
  <c r="T90" i="1"/>
  <c r="T86" i="1"/>
  <c r="T82" i="1"/>
  <c r="T78" i="1"/>
  <c r="T74" i="1"/>
  <c r="T70" i="1"/>
  <c r="T66" i="1"/>
  <c r="T62" i="1"/>
  <c r="T58" i="1"/>
  <c r="T54" i="1"/>
  <c r="T50" i="1"/>
  <c r="T46" i="1"/>
  <c r="T42" i="1"/>
  <c r="T38" i="1"/>
  <c r="T34" i="1"/>
  <c r="T30" i="1"/>
  <c r="T26" i="1"/>
  <c r="T22" i="1"/>
  <c r="T18" i="1"/>
  <c r="T14" i="1"/>
  <c r="T10" i="1"/>
  <c r="T6" i="1"/>
  <c r="T2" i="1"/>
  <c r="T521" i="1"/>
  <c r="T517" i="1"/>
  <c r="T513" i="1"/>
  <c r="T505" i="1"/>
  <c r="T497" i="1"/>
  <c r="T493" i="1"/>
  <c r="T489" i="1"/>
  <c r="T485" i="1"/>
  <c r="T481" i="1"/>
  <c r="T477" i="1"/>
  <c r="T469" i="1"/>
  <c r="T465" i="1"/>
  <c r="T461" i="1"/>
  <c r="T457" i="1"/>
  <c r="T453" i="1"/>
  <c r="T449" i="1"/>
  <c r="T445" i="1"/>
  <c r="T437" i="1"/>
  <c r="T433" i="1"/>
  <c r="T429" i="1"/>
  <c r="T425" i="1"/>
  <c r="T421" i="1"/>
  <c r="T417" i="1"/>
  <c r="T413" i="1"/>
  <c r="T405" i="1"/>
  <c r="T401" i="1"/>
  <c r="T397" i="1"/>
  <c r="T393" i="1"/>
  <c r="T389" i="1"/>
  <c r="T385" i="1"/>
  <c r="T381" i="1"/>
  <c r="T373" i="1"/>
  <c r="T369" i="1"/>
  <c r="T365" i="1"/>
  <c r="T361" i="1"/>
  <c r="T357" i="1"/>
  <c r="T353" i="1"/>
  <c r="T349" i="1"/>
  <c r="T341" i="1"/>
  <c r="T337" i="1"/>
  <c r="T329" i="1"/>
  <c r="T325" i="1"/>
  <c r="T321" i="1"/>
  <c r="T317" i="1"/>
  <c r="T313" i="1"/>
  <c r="T309" i="1"/>
  <c r="T305" i="1"/>
  <c r="T301" i="1"/>
  <c r="T297" i="1"/>
  <c r="T293" i="1"/>
  <c r="T289" i="1"/>
  <c r="T285" i="1"/>
  <c r="T281" i="1"/>
  <c r="T277" i="1"/>
  <c r="T273" i="1"/>
  <c r="T269" i="1"/>
  <c r="T265" i="1"/>
  <c r="T257" i="1"/>
  <c r="T253" i="1"/>
  <c r="T249" i="1"/>
  <c r="T245" i="1"/>
  <c r="T241" i="1"/>
  <c r="T237" i="1"/>
  <c r="T229" i="1"/>
  <c r="T225" i="1"/>
  <c r="T221" i="1"/>
  <c r="T217" i="1"/>
  <c r="T213" i="1"/>
  <c r="T209" i="1"/>
  <c r="T201" i="1"/>
  <c r="T197" i="1"/>
  <c r="T193" i="1"/>
  <c r="T189" i="1"/>
  <c r="T185" i="1"/>
  <c r="T181" i="1"/>
  <c r="T177" i="1"/>
  <c r="T173" i="1"/>
  <c r="T169" i="1"/>
  <c r="T165" i="1"/>
  <c r="T161" i="1"/>
  <c r="T157" i="1"/>
  <c r="T153" i="1"/>
  <c r="T149" i="1"/>
  <c r="T145" i="1"/>
  <c r="T141" i="1"/>
  <c r="T137" i="1"/>
  <c r="T129" i="1"/>
  <c r="T125" i="1"/>
  <c r="T121" i="1"/>
  <c r="T117" i="1"/>
  <c r="T113" i="1"/>
  <c r="T109" i="1"/>
  <c r="T101" i="1"/>
  <c r="T97" i="1"/>
  <c r="T93" i="1"/>
  <c r="T89" i="1"/>
  <c r="T85" i="1"/>
  <c r="T81" i="1"/>
  <c r="T73" i="1"/>
  <c r="T69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9" i="1"/>
  <c r="T5" i="1"/>
  <c r="T480" i="1"/>
  <c r="T476" i="1"/>
  <c r="T472" i="1"/>
  <c r="T468" i="1"/>
  <c r="T464" i="1"/>
  <c r="T460" i="1"/>
  <c r="T456" i="1"/>
  <c r="T448" i="1"/>
  <c r="T444" i="1"/>
  <c r="T440" i="1"/>
  <c r="T436" i="1"/>
  <c r="T432" i="1"/>
  <c r="T428" i="1"/>
  <c r="T424" i="1"/>
  <c r="T416" i="1"/>
  <c r="T412" i="1"/>
  <c r="T408" i="1"/>
  <c r="T404" i="1"/>
  <c r="T400" i="1"/>
  <c r="T396" i="1"/>
  <c r="T392" i="1"/>
  <c r="T384" i="1"/>
  <c r="T380" i="1"/>
  <c r="T376" i="1"/>
  <c r="T372" i="1"/>
  <c r="T368" i="1"/>
  <c r="T364" i="1"/>
  <c r="T360" i="1"/>
  <c r="T352" i="1"/>
  <c r="T348" i="1"/>
  <c r="T344" i="1"/>
  <c r="T340" i="1"/>
  <c r="T336" i="1"/>
  <c r="T332" i="1"/>
  <c r="T328" i="1"/>
  <c r="T324" i="1"/>
  <c r="T320" i="1"/>
  <c r="T316" i="1"/>
  <c r="T312" i="1"/>
  <c r="T308" i="1"/>
  <c r="T300" i="1"/>
  <c r="T296" i="1"/>
  <c r="T292" i="1"/>
  <c r="T288" i="1"/>
  <c r="T284" i="1"/>
  <c r="T280" i="1"/>
  <c r="T272" i="1"/>
  <c r="T268" i="1"/>
  <c r="T264" i="1"/>
  <c r="T260" i="1"/>
  <c r="T256" i="1"/>
  <c r="T252" i="1"/>
  <c r="T244" i="1"/>
  <c r="T240" i="1"/>
  <c r="T236" i="1"/>
  <c r="T232" i="1"/>
  <c r="T228" i="1"/>
  <c r="T224" i="1"/>
  <c r="T220" i="1"/>
  <c r="T216" i="1"/>
  <c r="T212" i="1"/>
  <c r="T208" i="1"/>
  <c r="T204" i="1"/>
  <c r="T200" i="1"/>
  <c r="T196" i="1"/>
  <c r="T192" i="1"/>
  <c r="T188" i="1"/>
  <c r="T184" i="1"/>
  <c r="T180" i="1"/>
  <c r="T172" i="1"/>
  <c r="T168" i="1"/>
  <c r="T164" i="1"/>
  <c r="T160" i="1"/>
  <c r="T156" i="1"/>
  <c r="T152" i="1"/>
  <c r="T144" i="1"/>
  <c r="T140" i="1"/>
  <c r="T136" i="1"/>
  <c r="T132" i="1"/>
  <c r="T128" i="1"/>
  <c r="T124" i="1"/>
  <c r="T116" i="1"/>
  <c r="T112" i="1"/>
  <c r="T108" i="1"/>
  <c r="T104" i="1"/>
  <c r="T100" i="1"/>
  <c r="T96" i="1"/>
  <c r="T92" i="1"/>
  <c r="T88" i="1"/>
  <c r="T84" i="1"/>
  <c r="T80" i="1"/>
  <c r="T76" i="1"/>
  <c r="T72" i="1"/>
  <c r="T68" i="1"/>
  <c r="T64" i="1"/>
  <c r="T60" i="1"/>
  <c r="T56" i="1"/>
  <c r="T52" i="1"/>
  <c r="T44" i="1"/>
  <c r="T40" i="1"/>
  <c r="T36" i="1"/>
  <c r="T32" i="1"/>
  <c r="T28" i="1"/>
  <c r="T24" i="1"/>
  <c r="T16" i="1"/>
  <c r="T12" i="1"/>
  <c r="T8" i="1"/>
  <c r="T4" i="1"/>
  <c r="T451" i="1"/>
  <c r="T447" i="1"/>
  <c r="T443" i="1"/>
  <c r="T439" i="1"/>
  <c r="T435" i="1"/>
  <c r="T427" i="1"/>
  <c r="T423" i="1"/>
  <c r="T419" i="1"/>
  <c r="T415" i="1"/>
  <c r="T411" i="1"/>
  <c r="T407" i="1"/>
  <c r="T403" i="1"/>
  <c r="T395" i="1"/>
  <c r="T391" i="1"/>
  <c r="T387" i="1"/>
  <c r="T383" i="1"/>
  <c r="T379" i="1"/>
  <c r="T375" i="1"/>
  <c r="T371" i="1"/>
  <c r="T363" i="1"/>
  <c r="T359" i="1"/>
  <c r="T355" i="1"/>
  <c r="T351" i="1"/>
  <c r="T347" i="1"/>
  <c r="T343" i="1"/>
  <c r="T339" i="1"/>
  <c r="T335" i="1"/>
  <c r="T331" i="1"/>
  <c r="T327" i="1"/>
  <c r="T323" i="1"/>
  <c r="T315" i="1"/>
  <c r="T311" i="1"/>
  <c r="T307" i="1"/>
  <c r="T303" i="1"/>
  <c r="T299" i="1"/>
  <c r="T295" i="1"/>
  <c r="T287" i="1"/>
  <c r="T283" i="1"/>
  <c r="T279" i="1"/>
  <c r="T275" i="1"/>
  <c r="T271" i="1"/>
  <c r="T267" i="1"/>
  <c r="T263" i="1"/>
  <c r="T259" i="1"/>
  <c r="T255" i="1"/>
  <c r="T251" i="1"/>
  <c r="T247" i="1"/>
  <c r="T243" i="1"/>
  <c r="T239" i="1"/>
  <c r="T235" i="1"/>
  <c r="T231" i="1"/>
  <c r="T227" i="1"/>
  <c r="T223" i="1"/>
  <c r="T215" i="1"/>
  <c r="T211" i="1"/>
  <c r="T207" i="1"/>
  <c r="T203" i="1"/>
  <c r="T199" i="1"/>
  <c r="T195" i="1"/>
  <c r="T187" i="1"/>
  <c r="T183" i="1"/>
  <c r="T179" i="1"/>
  <c r="T175" i="1"/>
  <c r="T171" i="1"/>
  <c r="T167" i="1"/>
  <c r="T159" i="1"/>
  <c r="T155" i="1"/>
  <c r="T151" i="1"/>
  <c r="T147" i="1"/>
  <c r="T143" i="1"/>
  <c r="T139" i="1"/>
  <c r="T135" i="1"/>
  <c r="T131" i="1"/>
  <c r="T127" i="1"/>
  <c r="T123" i="1"/>
  <c r="T119" i="1"/>
  <c r="T115" i="1"/>
  <c r="T111" i="1"/>
  <c r="T107" i="1"/>
  <c r="T103" i="1"/>
  <c r="T99" i="1"/>
  <c r="T95" i="1"/>
  <c r="T87" i="1"/>
  <c r="T83" i="1"/>
  <c r="T79" i="1"/>
  <c r="T75" i="1"/>
  <c r="T71" i="1"/>
  <c r="T67" i="1"/>
  <c r="T59" i="1"/>
  <c r="T55" i="1"/>
  <c r="T51" i="1"/>
  <c r="T47" i="1"/>
  <c r="T43" i="1"/>
  <c r="T39" i="1"/>
  <c r="T31" i="1"/>
  <c r="T27" i="1"/>
  <c r="T23" i="1"/>
  <c r="T19" i="1"/>
  <c r="T15" i="1"/>
  <c r="T11" i="1"/>
  <c r="T7" i="1"/>
  <c r="T3" i="1"/>
  <c r="W276" i="1" l="1"/>
  <c r="W133" i="1"/>
  <c r="W420" i="1"/>
  <c r="W205" i="1"/>
  <c r="W345" i="1"/>
  <c r="W148" i="1"/>
  <c r="W473" i="1"/>
  <c r="W87" i="1"/>
  <c r="W388" i="1"/>
  <c r="W77" i="1"/>
  <c r="W91" i="1"/>
  <c r="W291" i="1"/>
  <c r="W399" i="1"/>
  <c r="W20" i="1"/>
  <c r="W261" i="1"/>
  <c r="W377" i="1"/>
  <c r="W319" i="1"/>
  <c r="W48" i="1"/>
  <c r="W176" i="1"/>
  <c r="W304" i="1"/>
  <c r="W452" i="1"/>
  <c r="W105" i="1"/>
  <c r="W333" i="1"/>
  <c r="W409" i="1"/>
  <c r="W35" i="1"/>
  <c r="W191" i="1"/>
  <c r="W367" i="1"/>
  <c r="W431" i="1"/>
  <c r="W120" i="1"/>
  <c r="W248" i="1"/>
  <c r="W356" i="1"/>
  <c r="W484" i="1"/>
  <c r="W233" i="1"/>
  <c r="W441" i="1"/>
  <c r="W509" i="1"/>
  <c r="W63" i="1"/>
  <c r="W219" i="1"/>
  <c r="U19" i="1"/>
  <c r="AN19" i="1" s="1"/>
  <c r="AM19" i="1"/>
  <c r="U51" i="1"/>
  <c r="AN51" i="1" s="1"/>
  <c r="AM51" i="1"/>
  <c r="U87" i="1"/>
  <c r="AN87" i="1" s="1"/>
  <c r="AM87" i="1"/>
  <c r="U151" i="1"/>
  <c r="AM151" i="1"/>
  <c r="U179" i="1"/>
  <c r="AN179" i="1" s="1"/>
  <c r="AM179" i="1"/>
  <c r="U211" i="1"/>
  <c r="AN211" i="1" s="1"/>
  <c r="AM211" i="1"/>
  <c r="U247" i="1"/>
  <c r="AM247" i="1"/>
  <c r="U283" i="1"/>
  <c r="AN283" i="1" s="1"/>
  <c r="AM283" i="1"/>
  <c r="U315" i="1"/>
  <c r="AN315" i="1" s="1"/>
  <c r="AM315" i="1"/>
  <c r="U339" i="1"/>
  <c r="AM339" i="1"/>
  <c r="U363" i="1"/>
  <c r="AM363" i="1"/>
  <c r="U391" i="1"/>
  <c r="AN391" i="1" s="1"/>
  <c r="AM391" i="1"/>
  <c r="U407" i="1"/>
  <c r="AN407" i="1" s="1"/>
  <c r="AM407" i="1"/>
  <c r="U435" i="1"/>
  <c r="AM435" i="1"/>
  <c r="U447" i="1"/>
  <c r="AM447" i="1"/>
  <c r="U24" i="1"/>
  <c r="AN24" i="1" s="1"/>
  <c r="AM24" i="1"/>
  <c r="U40" i="1"/>
  <c r="AM40" i="1"/>
  <c r="U96" i="1"/>
  <c r="AM96" i="1"/>
  <c r="U132" i="1"/>
  <c r="AN132" i="1" s="1"/>
  <c r="AM132" i="1"/>
  <c r="U164" i="1"/>
  <c r="AN164" i="1" s="1"/>
  <c r="AM164" i="1"/>
  <c r="U188" i="1"/>
  <c r="AN188" i="1" s="1"/>
  <c r="AM188" i="1"/>
  <c r="U212" i="1"/>
  <c r="AN212" i="1" s="1"/>
  <c r="AM212" i="1"/>
  <c r="U236" i="1"/>
  <c r="AN236" i="1" s="1"/>
  <c r="AM236" i="1"/>
  <c r="U292" i="1"/>
  <c r="AM292" i="1"/>
  <c r="U344" i="1"/>
  <c r="AN344" i="1" s="1"/>
  <c r="AM344" i="1"/>
  <c r="U400" i="1"/>
  <c r="AM400" i="1"/>
  <c r="U432" i="1"/>
  <c r="AM432" i="1"/>
  <c r="U472" i="1"/>
  <c r="AN472" i="1" s="1"/>
  <c r="AM472" i="1"/>
  <c r="U13" i="1"/>
  <c r="AM13" i="1"/>
  <c r="U25" i="1"/>
  <c r="AM25" i="1"/>
  <c r="U49" i="1"/>
  <c r="AN49" i="1" s="1"/>
  <c r="AM49" i="1"/>
  <c r="U81" i="1"/>
  <c r="AM81" i="1"/>
  <c r="U117" i="1"/>
  <c r="AM117" i="1"/>
  <c r="U141" i="1"/>
  <c r="AM141" i="1"/>
  <c r="U153" i="1"/>
  <c r="AM153" i="1"/>
  <c r="U185" i="1"/>
  <c r="AM185" i="1"/>
  <c r="U229" i="1"/>
  <c r="AM229" i="1"/>
  <c r="U257" i="1"/>
  <c r="AM257" i="1"/>
  <c r="U313" i="1"/>
  <c r="AN313" i="1" s="1"/>
  <c r="AM313" i="1"/>
  <c r="U349" i="1"/>
  <c r="AN349" i="1" s="1"/>
  <c r="AM349" i="1"/>
  <c r="U373" i="1"/>
  <c r="AM373" i="1"/>
  <c r="U393" i="1"/>
  <c r="AN393" i="1" s="1"/>
  <c r="AM393" i="1"/>
  <c r="U485" i="1"/>
  <c r="AM485" i="1"/>
  <c r="U521" i="1"/>
  <c r="AN521" i="1" s="1"/>
  <c r="AM521" i="1"/>
  <c r="U38" i="1"/>
  <c r="AM38" i="1"/>
  <c r="U58" i="1"/>
  <c r="AM58" i="1"/>
  <c r="U78" i="1"/>
  <c r="AN78" i="1" s="1"/>
  <c r="AM78" i="1"/>
  <c r="U110" i="1"/>
  <c r="AN110" i="1" s="1"/>
  <c r="AM110" i="1"/>
  <c r="U138" i="1"/>
  <c r="AN138" i="1" s="1"/>
  <c r="AM138" i="1"/>
  <c r="U150" i="1"/>
  <c r="AN150" i="1" s="1"/>
  <c r="AM150" i="1"/>
  <c r="U182" i="1"/>
  <c r="AM182" i="1"/>
  <c r="U206" i="1"/>
  <c r="AN206" i="1" s="1"/>
  <c r="AM206" i="1"/>
  <c r="U218" i="1"/>
  <c r="AM218" i="1"/>
  <c r="U242" i="1"/>
  <c r="AN242" i="1" s="1"/>
  <c r="AM242" i="1"/>
  <c r="U266" i="1"/>
  <c r="AN266" i="1" s="1"/>
  <c r="AM266" i="1"/>
  <c r="U302" i="1"/>
  <c r="AN302" i="1" s="1"/>
  <c r="AM302" i="1"/>
  <c r="U346" i="1"/>
  <c r="AM346" i="1"/>
  <c r="U394" i="1"/>
  <c r="AN394" i="1" s="1"/>
  <c r="AM394" i="1"/>
  <c r="U418" i="1"/>
  <c r="AM418" i="1"/>
  <c r="U446" i="1"/>
  <c r="AN446" i="1" s="1"/>
  <c r="AM446" i="1"/>
  <c r="U482" i="1"/>
  <c r="AM482" i="1"/>
  <c r="U534" i="1"/>
  <c r="AM534" i="1"/>
  <c r="U558" i="1"/>
  <c r="AN558" i="1" s="1"/>
  <c r="AM558" i="1"/>
  <c r="U582" i="1"/>
  <c r="AN582" i="1" s="1"/>
  <c r="AM582" i="1"/>
  <c r="U606" i="1"/>
  <c r="AN606" i="1" s="1"/>
  <c r="AM606" i="1"/>
  <c r="U626" i="1"/>
  <c r="AN626" i="1" s="1"/>
  <c r="AM626" i="1"/>
  <c r="U638" i="1"/>
  <c r="AN638" i="1" s="1"/>
  <c r="AM638" i="1"/>
  <c r="U670" i="1"/>
  <c r="AN670" i="1" s="1"/>
  <c r="AM670" i="1"/>
  <c r="U698" i="1"/>
  <c r="AM698" i="1"/>
  <c r="U750" i="1"/>
  <c r="AN750" i="1" s="1"/>
  <c r="AM750" i="1"/>
  <c r="U790" i="1"/>
  <c r="AM790" i="1"/>
  <c r="U834" i="1"/>
  <c r="AM834" i="1"/>
  <c r="U854" i="1"/>
  <c r="AM854" i="1"/>
  <c r="U878" i="1"/>
  <c r="AN878" i="1" s="1"/>
  <c r="AM878" i="1"/>
  <c r="U906" i="1"/>
  <c r="AN906" i="1" s="1"/>
  <c r="AM906" i="1"/>
  <c r="U930" i="1"/>
  <c r="AM930" i="1"/>
  <c r="U471" i="1"/>
  <c r="AM471" i="1"/>
  <c r="U487" i="1"/>
  <c r="AN487" i="1" s="1"/>
  <c r="AM487" i="1"/>
  <c r="U519" i="1"/>
  <c r="AM519" i="1"/>
  <c r="U543" i="1"/>
  <c r="AN543" i="1" s="1"/>
  <c r="AM543" i="1"/>
  <c r="U579" i="1"/>
  <c r="AM579" i="1"/>
  <c r="U587" i="1"/>
  <c r="AN587" i="1" s="1"/>
  <c r="AM587" i="1"/>
  <c r="U611" i="1"/>
  <c r="AM611" i="1"/>
  <c r="U635" i="1"/>
  <c r="AM635" i="1"/>
  <c r="U683" i="1"/>
  <c r="AN683" i="1" s="1"/>
  <c r="AM683" i="1"/>
  <c r="U707" i="1"/>
  <c r="AM707" i="1"/>
  <c r="U731" i="1"/>
  <c r="AM731" i="1"/>
  <c r="U739" i="1"/>
  <c r="AM739" i="1"/>
  <c r="U763" i="1"/>
  <c r="AM763" i="1"/>
  <c r="U775" i="1"/>
  <c r="AM775" i="1"/>
  <c r="U823" i="1"/>
  <c r="AN823" i="1" s="1"/>
  <c r="AM823" i="1"/>
  <c r="U847" i="1"/>
  <c r="AN847" i="1" s="1"/>
  <c r="AM847" i="1"/>
  <c r="U863" i="1"/>
  <c r="AN863" i="1" s="1"/>
  <c r="AM863" i="1"/>
  <c r="U875" i="1"/>
  <c r="AN875" i="1" s="1"/>
  <c r="AM875" i="1"/>
  <c r="U891" i="1"/>
  <c r="AM891" i="1"/>
  <c r="U915" i="1"/>
  <c r="AN915" i="1" s="1"/>
  <c r="AM915" i="1"/>
  <c r="U927" i="1"/>
  <c r="AN927" i="1" s="1"/>
  <c r="AM927" i="1"/>
  <c r="U496" i="1"/>
  <c r="AN496" i="1" s="1"/>
  <c r="AM496" i="1"/>
  <c r="U532" i="1"/>
  <c r="AN532" i="1" s="1"/>
  <c r="AM532" i="1"/>
  <c r="U548" i="1"/>
  <c r="AM548" i="1"/>
  <c r="U564" i="1"/>
  <c r="AN564" i="1" s="1"/>
  <c r="AM564" i="1"/>
  <c r="U576" i="1"/>
  <c r="AN576" i="1" s="1"/>
  <c r="AM576" i="1"/>
  <c r="U588" i="1"/>
  <c r="AN588" i="1" s="1"/>
  <c r="AM588" i="1"/>
  <c r="U596" i="1"/>
  <c r="AN596" i="1" s="1"/>
  <c r="AM596" i="1"/>
  <c r="U612" i="1"/>
  <c r="AM612" i="1"/>
  <c r="U640" i="1"/>
  <c r="AN640" i="1" s="1"/>
  <c r="AM640" i="1"/>
  <c r="U656" i="1"/>
  <c r="AN656" i="1" s="1"/>
  <c r="AM656" i="1"/>
  <c r="U668" i="1"/>
  <c r="AN668" i="1" s="1"/>
  <c r="AM668" i="1"/>
  <c r="U680" i="1"/>
  <c r="AM680" i="1"/>
  <c r="U688" i="1"/>
  <c r="AN688" i="1" s="1"/>
  <c r="AM688" i="1"/>
  <c r="U700" i="1"/>
  <c r="AN700" i="1" s="1"/>
  <c r="AM700" i="1"/>
  <c r="U724" i="1"/>
  <c r="AN724" i="1" s="1"/>
  <c r="AM724" i="1"/>
  <c r="U748" i="1"/>
  <c r="AN748" i="1" s="1"/>
  <c r="AM748" i="1"/>
  <c r="U760" i="1"/>
  <c r="AM760" i="1"/>
  <c r="U772" i="1"/>
  <c r="AM772" i="1"/>
  <c r="U784" i="1"/>
  <c r="AN784" i="1" s="1"/>
  <c r="AM784" i="1"/>
  <c r="U808" i="1"/>
  <c r="AN808" i="1" s="1"/>
  <c r="AM808" i="1"/>
  <c r="U824" i="1"/>
  <c r="AN824" i="1" s="1"/>
  <c r="AM824" i="1"/>
  <c r="U836" i="1"/>
  <c r="AM836" i="1"/>
  <c r="U856" i="1"/>
  <c r="AM856" i="1"/>
  <c r="U864" i="1"/>
  <c r="AN864" i="1" s="1"/>
  <c r="AM864" i="1"/>
  <c r="U880" i="1"/>
  <c r="AN880" i="1" s="1"/>
  <c r="AM880" i="1"/>
  <c r="U892" i="1"/>
  <c r="AN892" i="1" s="1"/>
  <c r="AM892" i="1"/>
  <c r="U904" i="1"/>
  <c r="AN904" i="1" s="1"/>
  <c r="AM904" i="1"/>
  <c r="U924" i="1"/>
  <c r="AN924" i="1" s="1"/>
  <c r="AM924" i="1"/>
  <c r="U537" i="1"/>
  <c r="AN537" i="1" s="1"/>
  <c r="AM537" i="1"/>
  <c r="U553" i="1"/>
  <c r="AM553" i="1"/>
  <c r="U569" i="1"/>
  <c r="AN569" i="1" s="1"/>
  <c r="AM569" i="1"/>
  <c r="U605" i="1"/>
  <c r="AM605" i="1"/>
  <c r="U621" i="1"/>
  <c r="AN621" i="1" s="1"/>
  <c r="AM621" i="1"/>
  <c r="U637" i="1"/>
  <c r="AM637" i="1"/>
  <c r="U661" i="1"/>
  <c r="AN661" i="1" s="1"/>
  <c r="AM661" i="1"/>
  <c r="U673" i="1"/>
  <c r="AN673" i="1" s="1"/>
  <c r="AM673" i="1"/>
  <c r="U685" i="1"/>
  <c r="AN685" i="1" s="1"/>
  <c r="AM685" i="1"/>
  <c r="U709" i="1"/>
  <c r="AN709" i="1" s="1"/>
  <c r="AM709" i="1"/>
  <c r="U721" i="1"/>
  <c r="AN721" i="1" s="1"/>
  <c r="AM721" i="1"/>
  <c r="U737" i="1"/>
  <c r="AN737" i="1" s="1"/>
  <c r="AM737" i="1"/>
  <c r="U753" i="1"/>
  <c r="AN753" i="1" s="1"/>
  <c r="AM753" i="1"/>
  <c r="U765" i="1"/>
  <c r="AM765" i="1"/>
  <c r="U777" i="1"/>
  <c r="AM777" i="1"/>
  <c r="U793" i="1"/>
  <c r="AN793" i="1" s="1"/>
  <c r="AM793" i="1"/>
  <c r="U817" i="1"/>
  <c r="AN817" i="1" s="1"/>
  <c r="AM817" i="1"/>
  <c r="U829" i="1"/>
  <c r="AN829" i="1" s="1"/>
  <c r="AM829" i="1"/>
  <c r="U845" i="1"/>
  <c r="AM845" i="1"/>
  <c r="U861" i="1"/>
  <c r="AN861" i="1" s="1"/>
  <c r="AM861" i="1"/>
  <c r="U893" i="1"/>
  <c r="AN893" i="1" s="1"/>
  <c r="AM893" i="1"/>
  <c r="U909" i="1"/>
  <c r="AM909" i="1"/>
  <c r="U925" i="1"/>
  <c r="AN925" i="1" s="1"/>
  <c r="AM925" i="1"/>
  <c r="U11" i="1"/>
  <c r="AM11" i="1"/>
  <c r="U23" i="1"/>
  <c r="AN23" i="1" s="1"/>
  <c r="AM23" i="1"/>
  <c r="U55" i="1"/>
  <c r="AM55" i="1"/>
  <c r="U71" i="1"/>
  <c r="AM71" i="1"/>
  <c r="U95" i="1"/>
  <c r="AN95" i="1" s="1"/>
  <c r="AM95" i="1"/>
  <c r="U111" i="1"/>
  <c r="AN111" i="1" s="1"/>
  <c r="AM111" i="1"/>
  <c r="U123" i="1"/>
  <c r="AM123" i="1"/>
  <c r="U139" i="1"/>
  <c r="AM139" i="1"/>
  <c r="U171" i="1"/>
  <c r="AN171" i="1" s="1"/>
  <c r="AM171" i="1"/>
  <c r="U199" i="1"/>
  <c r="AM199" i="1"/>
  <c r="U215" i="1"/>
  <c r="AN215" i="1" s="1"/>
  <c r="AM215" i="1"/>
  <c r="U231" i="1"/>
  <c r="AM231" i="1"/>
  <c r="U239" i="1"/>
  <c r="AN239" i="1" s="1"/>
  <c r="AM239" i="1"/>
  <c r="U251" i="1"/>
  <c r="AN251" i="1" s="1"/>
  <c r="AM251" i="1"/>
  <c r="U263" i="1"/>
  <c r="AM263" i="1"/>
  <c r="U303" i="1"/>
  <c r="AM303" i="1"/>
  <c r="U343" i="1"/>
  <c r="AN343" i="1" s="1"/>
  <c r="AM343" i="1"/>
  <c r="U355" i="1"/>
  <c r="AN355" i="1" s="1"/>
  <c r="AM355" i="1"/>
  <c r="U371" i="1"/>
  <c r="AM371" i="1"/>
  <c r="U379" i="1"/>
  <c r="AN379" i="1" s="1"/>
  <c r="AM379" i="1"/>
  <c r="U395" i="1"/>
  <c r="AM395" i="1"/>
  <c r="U411" i="1"/>
  <c r="AM411" i="1"/>
  <c r="U423" i="1"/>
  <c r="AM423" i="1"/>
  <c r="U439" i="1"/>
  <c r="AN439" i="1" s="1"/>
  <c r="AM439" i="1"/>
  <c r="U8" i="1"/>
  <c r="AM8" i="1"/>
  <c r="U28" i="1"/>
  <c r="AN28" i="1" s="1"/>
  <c r="AM28" i="1"/>
  <c r="U44" i="1"/>
  <c r="AM44" i="1"/>
  <c r="U64" i="1"/>
  <c r="AN64" i="1" s="1"/>
  <c r="AM64" i="1"/>
  <c r="U76" i="1"/>
  <c r="AM76" i="1"/>
  <c r="U88" i="1"/>
  <c r="AM88" i="1"/>
  <c r="U100" i="1"/>
  <c r="AM100" i="1"/>
  <c r="U108" i="1"/>
  <c r="AM108" i="1"/>
  <c r="U136" i="1"/>
  <c r="AM136" i="1"/>
  <c r="U156" i="1"/>
  <c r="AN156" i="1" s="1"/>
  <c r="AM156" i="1"/>
  <c r="U168" i="1"/>
  <c r="AM168" i="1"/>
  <c r="U180" i="1"/>
  <c r="AN180" i="1" s="1"/>
  <c r="AM180" i="1"/>
  <c r="U192" i="1"/>
  <c r="AN192" i="1" s="1"/>
  <c r="AM192" i="1"/>
  <c r="U216" i="1"/>
  <c r="AM216" i="1"/>
  <c r="U224" i="1"/>
  <c r="AN224" i="1" s="1"/>
  <c r="AM224" i="1"/>
  <c r="U240" i="1"/>
  <c r="AM240" i="1"/>
  <c r="U260" i="1"/>
  <c r="AN260" i="1" s="1"/>
  <c r="AM260" i="1"/>
  <c r="U268" i="1"/>
  <c r="AM268" i="1"/>
  <c r="U296" i="1"/>
  <c r="AN296" i="1" s="1"/>
  <c r="AM296" i="1"/>
  <c r="U324" i="1"/>
  <c r="AN324" i="1" s="1"/>
  <c r="AM324" i="1"/>
  <c r="U336" i="1"/>
  <c r="AM336" i="1"/>
  <c r="U348" i="1"/>
  <c r="AM348" i="1"/>
  <c r="U376" i="1"/>
  <c r="AM376" i="1"/>
  <c r="U392" i="1"/>
  <c r="AN392" i="1" s="1"/>
  <c r="AM392" i="1"/>
  <c r="U416" i="1"/>
  <c r="AM416" i="1"/>
  <c r="U444" i="1"/>
  <c r="AM444" i="1"/>
  <c r="U460" i="1"/>
  <c r="AM460" i="1"/>
  <c r="U5" i="1"/>
  <c r="AN5" i="1" s="1"/>
  <c r="AM5" i="1"/>
  <c r="U29" i="1"/>
  <c r="AN29" i="1" s="1"/>
  <c r="AM29" i="1"/>
  <c r="U41" i="1"/>
  <c r="AM41" i="1"/>
  <c r="U65" i="1"/>
  <c r="AM65" i="1"/>
  <c r="U85" i="1"/>
  <c r="AN85" i="1" s="1"/>
  <c r="AM85" i="1"/>
  <c r="U93" i="1"/>
  <c r="AN93" i="1" s="1"/>
  <c r="AM93" i="1"/>
  <c r="U101" i="1"/>
  <c r="AM101" i="1"/>
  <c r="U121" i="1"/>
  <c r="AN121" i="1" s="1"/>
  <c r="AM121" i="1"/>
  <c r="U145" i="1"/>
  <c r="AN145" i="1" s="1"/>
  <c r="AM145" i="1"/>
  <c r="U157" i="1"/>
  <c r="AN157" i="1" s="1"/>
  <c r="AM157" i="1"/>
  <c r="U173" i="1"/>
  <c r="AM173" i="1"/>
  <c r="U197" i="1"/>
  <c r="AM197" i="1"/>
  <c r="U217" i="1"/>
  <c r="AN217" i="1" s="1"/>
  <c r="AM217" i="1"/>
  <c r="U237" i="1"/>
  <c r="AM237" i="1"/>
  <c r="U265" i="1"/>
  <c r="AN265" i="1" s="1"/>
  <c r="AM265" i="1"/>
  <c r="U285" i="1"/>
  <c r="AN285" i="1" s="1"/>
  <c r="AM285" i="1"/>
  <c r="U301" i="1"/>
  <c r="AM301" i="1"/>
  <c r="U317" i="1"/>
  <c r="AN317" i="1" s="1"/>
  <c r="AM317" i="1"/>
  <c r="U329" i="1"/>
  <c r="AN329" i="1" s="1"/>
  <c r="AM329" i="1"/>
  <c r="U353" i="1"/>
  <c r="AN353" i="1" s="1"/>
  <c r="AM353" i="1"/>
  <c r="U365" i="1"/>
  <c r="AM365" i="1"/>
  <c r="U397" i="1"/>
  <c r="AM397" i="1"/>
  <c r="U417" i="1"/>
  <c r="AN417" i="1" s="1"/>
  <c r="AM417" i="1"/>
  <c r="U429" i="1"/>
  <c r="AN429" i="1" s="1"/>
  <c r="AM429" i="1"/>
  <c r="U449" i="1"/>
  <c r="AM449" i="1"/>
  <c r="U477" i="1"/>
  <c r="AM477" i="1"/>
  <c r="U505" i="1"/>
  <c r="AN505" i="1" s="1"/>
  <c r="AM505" i="1"/>
  <c r="U6" i="1"/>
  <c r="AM6" i="1"/>
  <c r="U18" i="1"/>
  <c r="AN18" i="1" s="1"/>
  <c r="AM18" i="1"/>
  <c r="U42" i="1"/>
  <c r="AN42" i="1" s="1"/>
  <c r="AM42" i="1"/>
  <c r="U62" i="1"/>
  <c r="AN62" i="1" s="1"/>
  <c r="AM62" i="1"/>
  <c r="U70" i="1"/>
  <c r="AN70" i="1" s="1"/>
  <c r="AM70" i="1"/>
  <c r="U82" i="1"/>
  <c r="AN82" i="1" s="1"/>
  <c r="AM82" i="1"/>
  <c r="U98" i="1"/>
  <c r="AM98" i="1"/>
  <c r="U114" i="1"/>
  <c r="AN114" i="1" s="1"/>
  <c r="AM114" i="1"/>
  <c r="U130" i="1"/>
  <c r="AM130" i="1"/>
  <c r="U154" i="1"/>
  <c r="AM154" i="1"/>
  <c r="U170" i="1"/>
  <c r="AN170" i="1" s="1"/>
  <c r="AM170" i="1"/>
  <c r="U194" i="1"/>
  <c r="AM194" i="1"/>
  <c r="U222" i="1"/>
  <c r="AN222" i="1" s="1"/>
  <c r="AM222" i="1"/>
  <c r="U258" i="1"/>
  <c r="AM258" i="1"/>
  <c r="U270" i="1"/>
  <c r="AN270" i="1" s="1"/>
  <c r="AM270" i="1"/>
  <c r="U282" i="1"/>
  <c r="AM282" i="1"/>
  <c r="U306" i="1"/>
  <c r="AN306" i="1" s="1"/>
  <c r="AM306" i="1"/>
  <c r="U318" i="1"/>
  <c r="AN318" i="1" s="1"/>
  <c r="AM318" i="1"/>
  <c r="U330" i="1"/>
  <c r="AN330" i="1" s="1"/>
  <c r="AM330" i="1"/>
  <c r="U338" i="1"/>
  <c r="AN338" i="1" s="1"/>
  <c r="AM338" i="1"/>
  <c r="U350" i="1"/>
  <c r="AN350" i="1" s="1"/>
  <c r="AM350" i="1"/>
  <c r="U374" i="1"/>
  <c r="AM374" i="1"/>
  <c r="U398" i="1"/>
  <c r="AN398" i="1" s="1"/>
  <c r="AM398" i="1"/>
  <c r="U422" i="1"/>
  <c r="AN422" i="1" s="1"/>
  <c r="AM422" i="1"/>
  <c r="U434" i="1"/>
  <c r="AN434" i="1" s="1"/>
  <c r="AM434" i="1"/>
  <c r="U450" i="1"/>
  <c r="AM450" i="1"/>
  <c r="U466" i="1"/>
  <c r="AN466" i="1" s="1"/>
  <c r="AM466" i="1"/>
  <c r="U474" i="1"/>
  <c r="AM474" i="1"/>
  <c r="U486" i="1"/>
  <c r="AN486" i="1" s="1"/>
  <c r="AM486" i="1"/>
  <c r="U502" i="1"/>
  <c r="AN502" i="1" s="1"/>
  <c r="AM502" i="1"/>
  <c r="U510" i="1"/>
  <c r="AN510" i="1" s="1"/>
  <c r="AM510" i="1"/>
  <c r="U522" i="1"/>
  <c r="AN522" i="1" s="1"/>
  <c r="AM522" i="1"/>
  <c r="U538" i="1"/>
  <c r="AM538" i="1"/>
  <c r="U550" i="1"/>
  <c r="AN550" i="1" s="1"/>
  <c r="AM550" i="1"/>
  <c r="U574" i="1"/>
  <c r="AN574" i="1" s="1"/>
  <c r="AM574" i="1"/>
  <c r="U586" i="1"/>
  <c r="AN586" i="1" s="1"/>
  <c r="AM586" i="1"/>
  <c r="U618" i="1"/>
  <c r="AN618" i="1" s="1"/>
  <c r="AM618" i="1"/>
  <c r="U630" i="1"/>
  <c r="AM630" i="1"/>
  <c r="U642" i="1"/>
  <c r="AM642" i="1"/>
  <c r="U658" i="1"/>
  <c r="AN658" i="1" s="1"/>
  <c r="AM658" i="1"/>
  <c r="U674" i="1"/>
  <c r="AM674" i="1"/>
  <c r="U686" i="1"/>
  <c r="AN686" i="1" s="1"/>
  <c r="AM686" i="1"/>
  <c r="U702" i="1"/>
  <c r="AN702" i="1" s="1"/>
  <c r="AM702" i="1"/>
  <c r="U714" i="1"/>
  <c r="AN714" i="1" s="1"/>
  <c r="AM714" i="1"/>
  <c r="U726" i="1"/>
  <c r="AM726" i="1"/>
  <c r="U738" i="1"/>
  <c r="AM738" i="1"/>
  <c r="U754" i="1"/>
  <c r="AN754" i="1" s="1"/>
  <c r="AM754" i="1"/>
  <c r="U766" i="1"/>
  <c r="AN766" i="1" s="1"/>
  <c r="AM766" i="1"/>
  <c r="U778" i="1"/>
  <c r="AN778" i="1" s="1"/>
  <c r="AM778" i="1"/>
  <c r="U794" i="1"/>
  <c r="AM794" i="1"/>
  <c r="U810" i="1"/>
  <c r="AN810" i="1" s="1"/>
  <c r="AM810" i="1"/>
  <c r="U822" i="1"/>
  <c r="AM822" i="1"/>
  <c r="U858" i="1"/>
  <c r="AM858" i="1"/>
  <c r="U870" i="1"/>
  <c r="AN870" i="1" s="1"/>
  <c r="AM870" i="1"/>
  <c r="U894" i="1"/>
  <c r="AN894" i="1" s="1"/>
  <c r="AM894" i="1"/>
  <c r="U910" i="1"/>
  <c r="AN910" i="1" s="1"/>
  <c r="AM910" i="1"/>
  <c r="U463" i="1"/>
  <c r="AN463" i="1" s="1"/>
  <c r="AM463" i="1"/>
  <c r="U475" i="1"/>
  <c r="AM475" i="1"/>
  <c r="U491" i="1"/>
  <c r="AN491" i="1" s="1"/>
  <c r="AM491" i="1"/>
  <c r="U507" i="1"/>
  <c r="AM507" i="1"/>
  <c r="U523" i="1"/>
  <c r="AN523" i="1" s="1"/>
  <c r="AM523" i="1"/>
  <c r="U535" i="1"/>
  <c r="AM535" i="1"/>
  <c r="U547" i="1"/>
  <c r="AM547" i="1"/>
  <c r="U603" i="1"/>
  <c r="AM603" i="1"/>
  <c r="U615" i="1"/>
  <c r="AM615" i="1"/>
  <c r="U623" i="1"/>
  <c r="AN623" i="1" s="1"/>
  <c r="AM623" i="1"/>
  <c r="U639" i="1"/>
  <c r="AN639" i="1" s="1"/>
  <c r="AM639" i="1"/>
  <c r="U651" i="1"/>
  <c r="AN651" i="1" s="1"/>
  <c r="AM651" i="1"/>
  <c r="U663" i="1"/>
  <c r="AN663" i="1" s="1"/>
  <c r="AM663" i="1"/>
  <c r="U687" i="1"/>
  <c r="AN687" i="1" s="1"/>
  <c r="AM687" i="1"/>
  <c r="U699" i="1"/>
  <c r="AM699" i="1"/>
  <c r="U711" i="1"/>
  <c r="AM711" i="1"/>
  <c r="U723" i="1"/>
  <c r="AN723" i="1" s="1"/>
  <c r="AM723" i="1"/>
  <c r="U755" i="1"/>
  <c r="AN755" i="1" s="1"/>
  <c r="AM755" i="1"/>
  <c r="U779" i="1"/>
  <c r="AN779" i="1" s="1"/>
  <c r="AM779" i="1"/>
  <c r="U791" i="1"/>
  <c r="AM791" i="1"/>
  <c r="U799" i="1"/>
  <c r="AN799" i="1" s="1"/>
  <c r="AM799" i="1"/>
  <c r="U835" i="1"/>
  <c r="AM835" i="1"/>
  <c r="U851" i="1"/>
  <c r="AN851" i="1" s="1"/>
  <c r="AM851" i="1"/>
  <c r="U879" i="1"/>
  <c r="AN879" i="1" s="1"/>
  <c r="AM879" i="1"/>
  <c r="U895" i="1"/>
  <c r="AN895" i="1" s="1"/>
  <c r="AM895" i="1"/>
  <c r="U907" i="1"/>
  <c r="AN907" i="1" s="1"/>
  <c r="AM907" i="1"/>
  <c r="U919" i="1"/>
  <c r="AN919" i="1" s="1"/>
  <c r="AM919" i="1"/>
  <c r="U931" i="1"/>
  <c r="AM931" i="1"/>
  <c r="U500" i="1"/>
  <c r="AN500" i="1" s="1"/>
  <c r="AM500" i="1"/>
  <c r="U512" i="1"/>
  <c r="AN512" i="1" s="1"/>
  <c r="AM512" i="1"/>
  <c r="U524" i="1"/>
  <c r="AN524" i="1" s="1"/>
  <c r="AM524" i="1"/>
  <c r="U536" i="1"/>
  <c r="AN536" i="1" s="1"/>
  <c r="AM536" i="1"/>
  <c r="U552" i="1"/>
  <c r="AN552" i="1" s="1"/>
  <c r="AM552" i="1"/>
  <c r="U568" i="1"/>
  <c r="AN568" i="1" s="1"/>
  <c r="AM568" i="1"/>
  <c r="U580" i="1"/>
  <c r="AM580" i="1"/>
  <c r="U600" i="1"/>
  <c r="AM600" i="1"/>
  <c r="U616" i="1"/>
  <c r="AM616" i="1"/>
  <c r="U628" i="1"/>
  <c r="AN628" i="1" s="1"/>
  <c r="AM628" i="1"/>
  <c r="U644" i="1"/>
  <c r="AM644" i="1"/>
  <c r="U672" i="1"/>
  <c r="AN672" i="1" s="1"/>
  <c r="AM672" i="1"/>
  <c r="U704" i="1"/>
  <c r="AN704" i="1" s="1"/>
  <c r="AM704" i="1"/>
  <c r="U716" i="1"/>
  <c r="AN716" i="1" s="1"/>
  <c r="AM716" i="1"/>
  <c r="U728" i="1"/>
  <c r="AM728" i="1"/>
  <c r="U740" i="1"/>
  <c r="AM740" i="1"/>
  <c r="U752" i="1"/>
  <c r="AN752" i="1" s="1"/>
  <c r="AM752" i="1"/>
  <c r="U764" i="1"/>
  <c r="AN764" i="1" s="1"/>
  <c r="AM764" i="1"/>
  <c r="U776" i="1"/>
  <c r="AM776" i="1"/>
  <c r="U788" i="1"/>
  <c r="AN788" i="1" s="1"/>
  <c r="AM788" i="1"/>
  <c r="U800" i="1"/>
  <c r="AN800" i="1" s="1"/>
  <c r="AM800" i="1"/>
  <c r="U812" i="1"/>
  <c r="AN812" i="1" s="1"/>
  <c r="AM812" i="1"/>
  <c r="U828" i="1"/>
  <c r="AN828" i="1" s="1"/>
  <c r="AM828" i="1"/>
  <c r="U848" i="1"/>
  <c r="AN848" i="1" s="1"/>
  <c r="AM848" i="1"/>
  <c r="U868" i="1"/>
  <c r="AM868" i="1"/>
  <c r="U908" i="1"/>
  <c r="AN908" i="1" s="1"/>
  <c r="AM908" i="1"/>
  <c r="U916" i="1"/>
  <c r="AN916" i="1" s="1"/>
  <c r="AM916" i="1"/>
  <c r="U928" i="1"/>
  <c r="AN928" i="1" s="1"/>
  <c r="AM928" i="1"/>
  <c r="U525" i="1"/>
  <c r="AM525" i="1"/>
  <c r="U541" i="1"/>
  <c r="AN541" i="1" s="1"/>
  <c r="AM541" i="1"/>
  <c r="U557" i="1"/>
  <c r="AM557" i="1"/>
  <c r="U581" i="1"/>
  <c r="AN581" i="1" s="1"/>
  <c r="AM581" i="1"/>
  <c r="U593" i="1"/>
  <c r="AN593" i="1" s="1"/>
  <c r="AM593" i="1"/>
  <c r="U609" i="1"/>
  <c r="AN609" i="1" s="1"/>
  <c r="AM609" i="1"/>
  <c r="U625" i="1"/>
  <c r="AN625" i="1" s="1"/>
  <c r="AM625" i="1"/>
  <c r="U641" i="1"/>
  <c r="AN641" i="1" s="1"/>
  <c r="AM641" i="1"/>
  <c r="U653" i="1"/>
  <c r="AN653" i="1" s="1"/>
  <c r="AM653" i="1"/>
  <c r="U665" i="1"/>
  <c r="AN665" i="1" s="1"/>
  <c r="AM665" i="1"/>
  <c r="U697" i="1"/>
  <c r="AN697" i="1" s="1"/>
  <c r="AM697" i="1"/>
  <c r="U713" i="1"/>
  <c r="AM713" i="1"/>
  <c r="U725" i="1"/>
  <c r="AN725" i="1" s="1"/>
  <c r="AM725" i="1"/>
  <c r="U741" i="1"/>
  <c r="AN741" i="1" s="1"/>
  <c r="AM741" i="1"/>
  <c r="U757" i="1"/>
  <c r="AN757" i="1" s="1"/>
  <c r="AM757" i="1"/>
  <c r="U769" i="1"/>
  <c r="AN769" i="1" s="1"/>
  <c r="AM769" i="1"/>
  <c r="U781" i="1"/>
  <c r="AN781" i="1" s="1"/>
  <c r="AM781" i="1"/>
  <c r="U805" i="1"/>
  <c r="AN805" i="1" s="1"/>
  <c r="AM805" i="1"/>
  <c r="U833" i="1"/>
  <c r="AN833" i="1" s="1"/>
  <c r="AM833" i="1"/>
  <c r="U849" i="1"/>
  <c r="AN849" i="1" s="1"/>
  <c r="AM849" i="1"/>
  <c r="U873" i="1"/>
  <c r="AM873" i="1"/>
  <c r="U885" i="1"/>
  <c r="AN885" i="1" s="1"/>
  <c r="AM885" i="1"/>
  <c r="U897" i="1"/>
  <c r="AN897" i="1" s="1"/>
  <c r="AM897" i="1"/>
  <c r="U913" i="1"/>
  <c r="AN913" i="1" s="1"/>
  <c r="AM913" i="1"/>
  <c r="U15" i="1"/>
  <c r="AM15" i="1"/>
  <c r="U43" i="1"/>
  <c r="AM43" i="1"/>
  <c r="U99" i="1"/>
  <c r="AN99" i="1" s="1"/>
  <c r="AM99" i="1"/>
  <c r="U127" i="1"/>
  <c r="AM127" i="1"/>
  <c r="U155" i="1"/>
  <c r="AM155" i="1"/>
  <c r="U203" i="1"/>
  <c r="AN203" i="1" s="1"/>
  <c r="AM203" i="1"/>
  <c r="U243" i="1"/>
  <c r="AM243" i="1"/>
  <c r="U267" i="1"/>
  <c r="AM267" i="1"/>
  <c r="U287" i="1"/>
  <c r="AM287" i="1"/>
  <c r="U323" i="1"/>
  <c r="AN323" i="1" s="1"/>
  <c r="AM323" i="1"/>
  <c r="U383" i="1"/>
  <c r="AM383" i="1"/>
  <c r="U451" i="1"/>
  <c r="AN451" i="1" s="1"/>
  <c r="AM451" i="1"/>
  <c r="U12" i="1"/>
  <c r="AN12" i="1" s="1"/>
  <c r="AM12" i="1"/>
  <c r="U68" i="1"/>
  <c r="AM68" i="1"/>
  <c r="U92" i="1"/>
  <c r="AM92" i="1"/>
  <c r="U140" i="1"/>
  <c r="AN140" i="1" s="1"/>
  <c r="AM140" i="1"/>
  <c r="U196" i="1"/>
  <c r="AM196" i="1"/>
  <c r="U228" i="1"/>
  <c r="AM228" i="1"/>
  <c r="U284" i="1"/>
  <c r="AN284" i="1" s="1"/>
  <c r="AM284" i="1"/>
  <c r="U312" i="1"/>
  <c r="AM312" i="1"/>
  <c r="U340" i="1"/>
  <c r="AN340" i="1" s="1"/>
  <c r="AM340" i="1"/>
  <c r="U368" i="1"/>
  <c r="AN368" i="1" s="1"/>
  <c r="AM368" i="1"/>
  <c r="U424" i="1"/>
  <c r="AM424" i="1"/>
  <c r="U17" i="1"/>
  <c r="AN17" i="1" s="1"/>
  <c r="AM17" i="1"/>
  <c r="U69" i="1"/>
  <c r="AN69" i="1" s="1"/>
  <c r="AM69" i="1"/>
  <c r="U137" i="1"/>
  <c r="AN137" i="1" s="1"/>
  <c r="AM137" i="1"/>
  <c r="U161" i="1"/>
  <c r="AM161" i="1"/>
  <c r="U189" i="1"/>
  <c r="AN189" i="1" s="1"/>
  <c r="AM189" i="1"/>
  <c r="U201" i="1"/>
  <c r="AN201" i="1" s="1"/>
  <c r="AM201" i="1"/>
  <c r="U253" i="1"/>
  <c r="AM253" i="1"/>
  <c r="U289" i="1"/>
  <c r="AN289" i="1" s="1"/>
  <c r="AM289" i="1"/>
  <c r="U337" i="1"/>
  <c r="AM337" i="1"/>
  <c r="U381" i="1"/>
  <c r="AM381" i="1"/>
  <c r="U421" i="1"/>
  <c r="AN421" i="1" s="1"/>
  <c r="AM421" i="1"/>
  <c r="U461" i="1"/>
  <c r="AN461" i="1" s="1"/>
  <c r="AM461" i="1"/>
  <c r="U489" i="1"/>
  <c r="AM489" i="1"/>
  <c r="U22" i="1"/>
  <c r="AM22" i="1"/>
  <c r="U46" i="1"/>
  <c r="AN46" i="1" s="1"/>
  <c r="AM46" i="1"/>
  <c r="U86" i="1"/>
  <c r="AN86" i="1" s="1"/>
  <c r="AM86" i="1"/>
  <c r="U158" i="1"/>
  <c r="AN158" i="1" s="1"/>
  <c r="AM158" i="1"/>
  <c r="U186" i="1"/>
  <c r="AM186" i="1"/>
  <c r="U226" i="1"/>
  <c r="AM226" i="1"/>
  <c r="U246" i="1"/>
  <c r="AN246" i="1" s="1"/>
  <c r="AM246" i="1"/>
  <c r="U274" i="1"/>
  <c r="AN274" i="1" s="1"/>
  <c r="AM274" i="1"/>
  <c r="U310" i="1"/>
  <c r="AN310" i="1" s="1"/>
  <c r="AM310" i="1"/>
  <c r="U342" i="1"/>
  <c r="AN342" i="1" s="1"/>
  <c r="AM342" i="1"/>
  <c r="U366" i="1"/>
  <c r="AN366" i="1" s="1"/>
  <c r="AM366" i="1"/>
  <c r="U402" i="1"/>
  <c r="AN402" i="1" s="1"/>
  <c r="AM402" i="1"/>
  <c r="U438" i="1"/>
  <c r="AM438" i="1"/>
  <c r="U478" i="1"/>
  <c r="AN478" i="1" s="1"/>
  <c r="AM478" i="1"/>
  <c r="U526" i="1"/>
  <c r="AN526" i="1" s="1"/>
  <c r="AM526" i="1"/>
  <c r="U542" i="1"/>
  <c r="AN542" i="1" s="1"/>
  <c r="AM542" i="1"/>
  <c r="U562" i="1"/>
  <c r="AN562" i="1" s="1"/>
  <c r="AM562" i="1"/>
  <c r="U602" i="1"/>
  <c r="AM602" i="1"/>
  <c r="U646" i="1"/>
  <c r="AN646" i="1" s="1"/>
  <c r="AM646" i="1"/>
  <c r="U678" i="1"/>
  <c r="AM678" i="1"/>
  <c r="U706" i="1"/>
  <c r="AM706" i="1"/>
  <c r="U730" i="1"/>
  <c r="AM730" i="1"/>
  <c r="U742" i="1"/>
  <c r="AN742" i="1" s="1"/>
  <c r="AM742" i="1"/>
  <c r="U770" i="1"/>
  <c r="AM770" i="1"/>
  <c r="U798" i="1"/>
  <c r="AN798" i="1" s="1"/>
  <c r="AM798" i="1"/>
  <c r="U826" i="1"/>
  <c r="AM826" i="1"/>
  <c r="U846" i="1"/>
  <c r="AN846" i="1" s="1"/>
  <c r="AM846" i="1"/>
  <c r="U862" i="1"/>
  <c r="AM862" i="1"/>
  <c r="U882" i="1"/>
  <c r="AN882" i="1" s="1"/>
  <c r="AM882" i="1"/>
  <c r="U455" i="1"/>
  <c r="AM455" i="1"/>
  <c r="U479" i="1"/>
  <c r="AN479" i="1" s="1"/>
  <c r="AM479" i="1"/>
  <c r="U511" i="1"/>
  <c r="AM511" i="1"/>
  <c r="U527" i="1"/>
  <c r="AN527" i="1" s="1"/>
  <c r="AM527" i="1"/>
  <c r="U563" i="1"/>
  <c r="AM563" i="1"/>
  <c r="U583" i="1"/>
  <c r="AN583" i="1" s="1"/>
  <c r="AM583" i="1"/>
  <c r="U591" i="1"/>
  <c r="AM591" i="1"/>
  <c r="U627" i="1"/>
  <c r="AN627" i="1" s="1"/>
  <c r="AM627" i="1"/>
  <c r="U691" i="1"/>
  <c r="AM691" i="1"/>
  <c r="U735" i="1"/>
  <c r="AN735" i="1" s="1"/>
  <c r="AM735" i="1"/>
  <c r="U767" i="1"/>
  <c r="AM767" i="1"/>
  <c r="U803" i="1"/>
  <c r="AM803" i="1"/>
  <c r="U827" i="1"/>
  <c r="AM827" i="1"/>
  <c r="U855" i="1"/>
  <c r="AN855" i="1" s="1"/>
  <c r="AM855" i="1"/>
  <c r="U899" i="1"/>
  <c r="AM899" i="1"/>
  <c r="U504" i="1"/>
  <c r="AM504" i="1"/>
  <c r="U572" i="1"/>
  <c r="AM572" i="1"/>
  <c r="U592" i="1"/>
  <c r="AN592" i="1" s="1"/>
  <c r="AM592" i="1"/>
  <c r="U620" i="1"/>
  <c r="AM620" i="1"/>
  <c r="U632" i="1"/>
  <c r="AN632" i="1" s="1"/>
  <c r="AM632" i="1"/>
  <c r="U660" i="1"/>
  <c r="AM660" i="1"/>
  <c r="U692" i="1"/>
  <c r="AN692" i="1" s="1"/>
  <c r="AM692" i="1"/>
  <c r="U720" i="1"/>
  <c r="AM720" i="1"/>
  <c r="U756" i="1"/>
  <c r="AN756" i="1" s="1"/>
  <c r="AM756" i="1"/>
  <c r="U832" i="1"/>
  <c r="AM832" i="1"/>
  <c r="U860" i="1"/>
  <c r="AN860" i="1" s="1"/>
  <c r="AM860" i="1"/>
  <c r="U884" i="1"/>
  <c r="AM884" i="1"/>
  <c r="U545" i="1"/>
  <c r="AN545" i="1" s="1"/>
  <c r="AM545" i="1"/>
  <c r="U585" i="1"/>
  <c r="AM585" i="1"/>
  <c r="U629" i="1"/>
  <c r="AN629" i="1" s="1"/>
  <c r="AM629" i="1"/>
  <c r="U689" i="1"/>
  <c r="AM689" i="1"/>
  <c r="U729" i="1"/>
  <c r="AN729" i="1" s="1"/>
  <c r="AM729" i="1"/>
  <c r="U745" i="1"/>
  <c r="AM745" i="1"/>
  <c r="U821" i="1"/>
  <c r="AN821" i="1" s="1"/>
  <c r="AM821" i="1"/>
  <c r="U7" i="1"/>
  <c r="AM7" i="1"/>
  <c r="U39" i="1"/>
  <c r="AN39" i="1" s="1"/>
  <c r="AM39" i="1"/>
  <c r="U67" i="1"/>
  <c r="AM67" i="1"/>
  <c r="U79" i="1"/>
  <c r="AM79" i="1"/>
  <c r="U107" i="1"/>
  <c r="AM107" i="1"/>
  <c r="U135" i="1"/>
  <c r="AM135" i="1"/>
  <c r="U167" i="1"/>
  <c r="AM167" i="1"/>
  <c r="U195" i="1"/>
  <c r="AM195" i="1"/>
  <c r="U259" i="1"/>
  <c r="AM259" i="1"/>
  <c r="U271" i="1"/>
  <c r="AN271" i="1" s="1"/>
  <c r="AM271" i="1"/>
  <c r="U299" i="1"/>
  <c r="AM299" i="1"/>
  <c r="U331" i="1"/>
  <c r="AN331" i="1" s="1"/>
  <c r="AM331" i="1"/>
  <c r="U351" i="1"/>
  <c r="AM351" i="1"/>
  <c r="U419" i="1"/>
  <c r="AM419" i="1"/>
  <c r="U4" i="1"/>
  <c r="AM4" i="1"/>
  <c r="U60" i="1"/>
  <c r="AN60" i="1" s="1"/>
  <c r="AM60" i="1"/>
  <c r="U84" i="1"/>
  <c r="AM84" i="1"/>
  <c r="U116" i="1"/>
  <c r="AN116" i="1" s="1"/>
  <c r="AM116" i="1"/>
  <c r="U152" i="1"/>
  <c r="AM152" i="1"/>
  <c r="U204" i="1"/>
  <c r="AM204" i="1"/>
  <c r="U256" i="1"/>
  <c r="AM256" i="1"/>
  <c r="U280" i="1"/>
  <c r="AM280" i="1"/>
  <c r="U308" i="1"/>
  <c r="AM308" i="1"/>
  <c r="U320" i="1"/>
  <c r="AN320" i="1" s="1"/>
  <c r="AM320" i="1"/>
  <c r="U332" i="1"/>
  <c r="AM332" i="1"/>
  <c r="U364" i="1"/>
  <c r="AM364" i="1"/>
  <c r="U384" i="1"/>
  <c r="AM384" i="1"/>
  <c r="U412" i="1"/>
  <c r="AN412" i="1" s="1"/>
  <c r="AM412" i="1"/>
  <c r="U456" i="1"/>
  <c r="AM456" i="1"/>
  <c r="U37" i="1"/>
  <c r="AN37" i="1" s="1"/>
  <c r="AM37" i="1"/>
  <c r="U61" i="1"/>
  <c r="AM61" i="1"/>
  <c r="U129" i="1"/>
  <c r="AM129" i="1"/>
  <c r="U169" i="1"/>
  <c r="AM169" i="1"/>
  <c r="U213" i="1"/>
  <c r="AN213" i="1" s="1"/>
  <c r="AM213" i="1"/>
  <c r="U249" i="1"/>
  <c r="AM249" i="1"/>
  <c r="U273" i="1"/>
  <c r="AM273" i="1"/>
  <c r="U297" i="1"/>
  <c r="AM297" i="1"/>
  <c r="U325" i="1"/>
  <c r="AM325" i="1"/>
  <c r="U361" i="1"/>
  <c r="AM361" i="1"/>
  <c r="U385" i="1"/>
  <c r="AN385" i="1" s="1"/>
  <c r="AM385" i="1"/>
  <c r="U413" i="1"/>
  <c r="AM413" i="1"/>
  <c r="U445" i="1"/>
  <c r="AN445" i="1" s="1"/>
  <c r="AM445" i="1"/>
  <c r="U457" i="1"/>
  <c r="AM457" i="1"/>
  <c r="U469" i="1"/>
  <c r="AM469" i="1"/>
  <c r="U497" i="1"/>
  <c r="AM497" i="1"/>
  <c r="U14" i="1"/>
  <c r="AN14" i="1" s="1"/>
  <c r="AM14" i="1"/>
  <c r="U30" i="1"/>
  <c r="AM30" i="1"/>
  <c r="U50" i="1"/>
  <c r="AN50" i="1" s="1"/>
  <c r="AM50" i="1"/>
  <c r="U94" i="1"/>
  <c r="AM94" i="1"/>
  <c r="U126" i="1"/>
  <c r="AN126" i="1" s="1"/>
  <c r="AM126" i="1"/>
  <c r="U166" i="1"/>
  <c r="AM166" i="1"/>
  <c r="U234" i="1"/>
  <c r="AN234" i="1" s="1"/>
  <c r="AM234" i="1"/>
  <c r="U254" i="1"/>
  <c r="AM254" i="1"/>
  <c r="U290" i="1"/>
  <c r="AM290" i="1"/>
  <c r="U314" i="1"/>
  <c r="AM314" i="1"/>
  <c r="U362" i="1"/>
  <c r="AN362" i="1" s="1"/>
  <c r="AM362" i="1"/>
  <c r="U386" i="1"/>
  <c r="AM386" i="1"/>
  <c r="U406" i="1"/>
  <c r="AM406" i="1"/>
  <c r="U430" i="1"/>
  <c r="AM430" i="1"/>
  <c r="U462" i="1"/>
  <c r="AN462" i="1" s="1"/>
  <c r="AM462" i="1"/>
  <c r="U498" i="1"/>
  <c r="AM498" i="1"/>
  <c r="U518" i="1"/>
  <c r="AM518" i="1"/>
  <c r="U570" i="1"/>
  <c r="AM570" i="1"/>
  <c r="U598" i="1"/>
  <c r="AM598" i="1"/>
  <c r="U614" i="1"/>
  <c r="AM614" i="1"/>
  <c r="U654" i="1"/>
  <c r="AN654" i="1" s="1"/>
  <c r="AM654" i="1"/>
  <c r="U682" i="1"/>
  <c r="AM682" i="1"/>
  <c r="U734" i="1"/>
  <c r="AN734" i="1" s="1"/>
  <c r="AM734" i="1"/>
  <c r="U762" i="1"/>
  <c r="AM762" i="1"/>
  <c r="U806" i="1"/>
  <c r="AN806" i="1" s="1"/>
  <c r="AM806" i="1"/>
  <c r="U818" i="1"/>
  <c r="AM818" i="1"/>
  <c r="U842" i="1"/>
  <c r="AN842" i="1" s="1"/>
  <c r="AM842" i="1"/>
  <c r="U866" i="1"/>
  <c r="AM866" i="1"/>
  <c r="U890" i="1"/>
  <c r="AM890" i="1"/>
  <c r="U918" i="1"/>
  <c r="AM918" i="1"/>
  <c r="U459" i="1"/>
  <c r="AN459" i="1" s="1"/>
  <c r="AM459" i="1"/>
  <c r="U503" i="1"/>
  <c r="AM503" i="1"/>
  <c r="U531" i="1"/>
  <c r="AN531" i="1" s="1"/>
  <c r="AM531" i="1"/>
  <c r="U559" i="1"/>
  <c r="AM559" i="1"/>
  <c r="U571" i="1"/>
  <c r="AM571" i="1"/>
  <c r="U599" i="1"/>
  <c r="AM599" i="1"/>
  <c r="U647" i="1"/>
  <c r="AM647" i="1"/>
  <c r="U675" i="1"/>
  <c r="AM675" i="1"/>
  <c r="U751" i="1"/>
  <c r="AN751" i="1" s="1"/>
  <c r="AM751" i="1"/>
  <c r="U811" i="1"/>
  <c r="AM811" i="1"/>
  <c r="U27" i="1"/>
  <c r="AM27" i="1"/>
  <c r="U83" i="1"/>
  <c r="AM83" i="1"/>
  <c r="U115" i="1"/>
  <c r="AM115" i="1"/>
  <c r="U143" i="1"/>
  <c r="AM143" i="1"/>
  <c r="U175" i="1"/>
  <c r="AN175" i="1" s="1"/>
  <c r="AM175" i="1"/>
  <c r="U183" i="1"/>
  <c r="AM183" i="1"/>
  <c r="U223" i="1"/>
  <c r="AM223" i="1"/>
  <c r="U255" i="1"/>
  <c r="AM255" i="1"/>
  <c r="U275" i="1"/>
  <c r="AN275" i="1" s="1"/>
  <c r="AM275" i="1"/>
  <c r="U307" i="1"/>
  <c r="AM307" i="1"/>
  <c r="U335" i="1"/>
  <c r="AM335" i="1"/>
  <c r="U427" i="1"/>
  <c r="AM427" i="1"/>
  <c r="U32" i="1"/>
  <c r="AM32" i="1"/>
  <c r="U52" i="1"/>
  <c r="AM52" i="1"/>
  <c r="U80" i="1"/>
  <c r="AM80" i="1"/>
  <c r="U124" i="1"/>
  <c r="AM124" i="1"/>
  <c r="U160" i="1"/>
  <c r="AM160" i="1"/>
  <c r="U208" i="1"/>
  <c r="AM208" i="1"/>
  <c r="U244" i="1"/>
  <c r="AM244" i="1"/>
  <c r="U300" i="1"/>
  <c r="AM300" i="1"/>
  <c r="U328" i="1"/>
  <c r="AM328" i="1"/>
  <c r="U352" i="1"/>
  <c r="AM352" i="1"/>
  <c r="U404" i="1"/>
  <c r="AM404" i="1"/>
  <c r="U436" i="1"/>
  <c r="AM436" i="1"/>
  <c r="U464" i="1"/>
  <c r="AM464" i="1"/>
  <c r="U476" i="1"/>
  <c r="AM476" i="1"/>
  <c r="U53" i="1"/>
  <c r="AM53" i="1"/>
  <c r="U109" i="1"/>
  <c r="AM109" i="1"/>
  <c r="U149" i="1"/>
  <c r="AM149" i="1"/>
  <c r="U177" i="1"/>
  <c r="AM177" i="1"/>
  <c r="U221" i="1"/>
  <c r="AM221" i="1"/>
  <c r="U241" i="1"/>
  <c r="AM241" i="1"/>
  <c r="U269" i="1"/>
  <c r="AM269" i="1"/>
  <c r="U277" i="1"/>
  <c r="AM277" i="1"/>
  <c r="U305" i="1"/>
  <c r="AM305" i="1"/>
  <c r="U369" i="1"/>
  <c r="AM369" i="1"/>
  <c r="U389" i="1"/>
  <c r="AM389" i="1"/>
  <c r="U401" i="1"/>
  <c r="AM401" i="1"/>
  <c r="U433" i="1"/>
  <c r="AM433" i="1"/>
  <c r="U453" i="1"/>
  <c r="AM453" i="1"/>
  <c r="U513" i="1"/>
  <c r="AM513" i="1"/>
  <c r="U34" i="1"/>
  <c r="AM34" i="1"/>
  <c r="U54" i="1"/>
  <c r="AM54" i="1"/>
  <c r="U74" i="1"/>
  <c r="AM74" i="1"/>
  <c r="U102" i="1"/>
  <c r="AM102" i="1"/>
  <c r="U118" i="1"/>
  <c r="AM118" i="1"/>
  <c r="U142" i="1"/>
  <c r="AM142" i="1"/>
  <c r="U174" i="1"/>
  <c r="AM174" i="1"/>
  <c r="U198" i="1"/>
  <c r="AM198" i="1"/>
  <c r="U210" i="1"/>
  <c r="AM210" i="1"/>
  <c r="U238" i="1"/>
  <c r="AM238" i="1"/>
  <c r="U262" i="1"/>
  <c r="AM262" i="1"/>
  <c r="U294" i="1"/>
  <c r="AM294" i="1"/>
  <c r="U322" i="1"/>
  <c r="AM322" i="1"/>
  <c r="U354" i="1"/>
  <c r="AM354" i="1"/>
  <c r="U378" i="1"/>
  <c r="AM378" i="1"/>
  <c r="U390" i="1"/>
  <c r="AM390" i="1"/>
  <c r="U410" i="1"/>
  <c r="AM410" i="1"/>
  <c r="U454" i="1"/>
  <c r="AM454" i="1"/>
  <c r="U490" i="1"/>
  <c r="AM490" i="1"/>
  <c r="U514" i="1"/>
  <c r="AM514" i="1"/>
  <c r="U554" i="1"/>
  <c r="AM554" i="1"/>
  <c r="U590" i="1"/>
  <c r="AM590" i="1"/>
  <c r="U610" i="1"/>
  <c r="AM610" i="1"/>
  <c r="U662" i="1"/>
  <c r="AM662" i="1"/>
  <c r="U690" i="1"/>
  <c r="AM690" i="1"/>
  <c r="U718" i="1"/>
  <c r="AM718" i="1"/>
  <c r="U758" i="1"/>
  <c r="AM758" i="1"/>
  <c r="U782" i="1"/>
  <c r="AM782" i="1"/>
  <c r="U838" i="1"/>
  <c r="AM838" i="1"/>
  <c r="U874" i="1"/>
  <c r="AM874" i="1"/>
  <c r="U898" i="1"/>
  <c r="AM898" i="1"/>
  <c r="U922" i="1"/>
  <c r="AM922" i="1"/>
  <c r="U495" i="1"/>
  <c r="AM495" i="1"/>
  <c r="U539" i="1"/>
  <c r="AM539" i="1"/>
  <c r="U551" i="1"/>
  <c r="AM551" i="1"/>
  <c r="U575" i="1"/>
  <c r="AM575" i="1"/>
  <c r="U607" i="1"/>
  <c r="AM607" i="1"/>
  <c r="U655" i="1"/>
  <c r="AM655" i="1"/>
  <c r="U667" i="1"/>
  <c r="AM667" i="1"/>
  <c r="U679" i="1"/>
  <c r="AM679" i="1"/>
  <c r="U715" i="1"/>
  <c r="AM715" i="1"/>
  <c r="U743" i="1"/>
  <c r="AM743" i="1"/>
  <c r="U759" i="1"/>
  <c r="AM759" i="1"/>
  <c r="U783" i="1"/>
  <c r="AM783" i="1"/>
  <c r="U815" i="1"/>
  <c r="AM815" i="1"/>
  <c r="U839" i="1"/>
  <c r="AM839" i="1"/>
  <c r="U867" i="1"/>
  <c r="AM867" i="1"/>
  <c r="U883" i="1"/>
  <c r="AM883" i="1"/>
  <c r="U911" i="1"/>
  <c r="AM911" i="1"/>
  <c r="U923" i="1"/>
  <c r="AM923" i="1"/>
  <c r="U488" i="1"/>
  <c r="AM488" i="1"/>
  <c r="U516" i="1"/>
  <c r="AM516" i="1"/>
  <c r="U540" i="1"/>
  <c r="AM540" i="1"/>
  <c r="U556" i="1"/>
  <c r="AM556" i="1"/>
  <c r="U604" i="1"/>
  <c r="AM604" i="1"/>
  <c r="U648" i="1"/>
  <c r="AM648" i="1"/>
  <c r="U684" i="1"/>
  <c r="AM684" i="1"/>
  <c r="U708" i="1"/>
  <c r="AM708" i="1"/>
  <c r="U732" i="1"/>
  <c r="AM732" i="1"/>
  <c r="U768" i="1"/>
  <c r="AM768" i="1"/>
  <c r="U792" i="1"/>
  <c r="AM792" i="1"/>
  <c r="U816" i="1"/>
  <c r="AM816" i="1"/>
  <c r="U840" i="1"/>
  <c r="AM840" i="1"/>
  <c r="U872" i="1"/>
  <c r="AM872" i="1"/>
  <c r="U896" i="1"/>
  <c r="AM896" i="1"/>
  <c r="U920" i="1"/>
  <c r="AM920" i="1"/>
  <c r="U529" i="1"/>
  <c r="AM529" i="1"/>
  <c r="U561" i="1"/>
  <c r="AM561" i="1"/>
  <c r="U573" i="1"/>
  <c r="AM573" i="1"/>
  <c r="U597" i="1"/>
  <c r="AM597" i="1"/>
  <c r="U613" i="1"/>
  <c r="AM613" i="1"/>
  <c r="U645" i="1"/>
  <c r="AM645" i="1"/>
  <c r="U677" i="1"/>
  <c r="AM677" i="1"/>
  <c r="U701" i="1"/>
  <c r="AM701" i="1"/>
  <c r="U761" i="1"/>
  <c r="AM761" i="1"/>
  <c r="U785" i="1"/>
  <c r="AM785" i="1"/>
  <c r="U797" i="1"/>
  <c r="AM797" i="1"/>
  <c r="U809" i="1"/>
  <c r="AM809" i="1"/>
  <c r="U837" i="1"/>
  <c r="AM837" i="1"/>
  <c r="U853" i="1"/>
  <c r="AM853" i="1"/>
  <c r="U865" i="1"/>
  <c r="AM865" i="1"/>
  <c r="U877" i="1"/>
  <c r="AM877" i="1"/>
  <c r="U901" i="1"/>
  <c r="AM901" i="1"/>
  <c r="U917" i="1"/>
  <c r="AM917" i="1"/>
  <c r="U929" i="1"/>
  <c r="AM929" i="1"/>
  <c r="U3" i="1"/>
  <c r="AM3" i="1"/>
  <c r="U31" i="1"/>
  <c r="AM31" i="1"/>
  <c r="U47" i="1"/>
  <c r="AM47" i="1"/>
  <c r="U59" i="1"/>
  <c r="AM59" i="1"/>
  <c r="U75" i="1"/>
  <c r="AM75" i="1"/>
  <c r="U103" i="1"/>
  <c r="AM103" i="1"/>
  <c r="U119" i="1"/>
  <c r="AM119" i="1"/>
  <c r="U131" i="1"/>
  <c r="AM131" i="1"/>
  <c r="U147" i="1"/>
  <c r="AM147" i="1"/>
  <c r="U159" i="1"/>
  <c r="AM159" i="1"/>
  <c r="U187" i="1"/>
  <c r="AM187" i="1"/>
  <c r="U207" i="1"/>
  <c r="AM207" i="1"/>
  <c r="U227" i="1"/>
  <c r="AM227" i="1"/>
  <c r="U235" i="1"/>
  <c r="AM235" i="1"/>
  <c r="U279" i="1"/>
  <c r="AM279" i="1"/>
  <c r="U295" i="1"/>
  <c r="AM295" i="1"/>
  <c r="U311" i="1"/>
  <c r="AM311" i="1"/>
  <c r="U327" i="1"/>
  <c r="AM327" i="1"/>
  <c r="U347" i="1"/>
  <c r="AM347" i="1"/>
  <c r="U359" i="1"/>
  <c r="AM359" i="1"/>
  <c r="U375" i="1"/>
  <c r="AM375" i="1"/>
  <c r="U387" i="1"/>
  <c r="AM387" i="1"/>
  <c r="U403" i="1"/>
  <c r="AM403" i="1"/>
  <c r="U415" i="1"/>
  <c r="AM415" i="1"/>
  <c r="U443" i="1"/>
  <c r="AM443" i="1"/>
  <c r="U16" i="1"/>
  <c r="AM16" i="1"/>
  <c r="U36" i="1"/>
  <c r="AM36" i="1"/>
  <c r="U56" i="1"/>
  <c r="AM56" i="1"/>
  <c r="U72" i="1"/>
  <c r="AM72" i="1"/>
  <c r="U104" i="1"/>
  <c r="AM104" i="1"/>
  <c r="U112" i="1"/>
  <c r="AM112" i="1"/>
  <c r="U128" i="1"/>
  <c r="AM128" i="1"/>
  <c r="U144" i="1"/>
  <c r="AM144" i="1"/>
  <c r="U172" i="1"/>
  <c r="AM172" i="1"/>
  <c r="U184" i="1"/>
  <c r="AM184" i="1"/>
  <c r="U200" i="1"/>
  <c r="AM200" i="1"/>
  <c r="U220" i="1"/>
  <c r="AM220" i="1"/>
  <c r="U232" i="1"/>
  <c r="AM232" i="1"/>
  <c r="U252" i="1"/>
  <c r="AM252" i="1"/>
  <c r="U264" i="1"/>
  <c r="AM264" i="1"/>
  <c r="U272" i="1"/>
  <c r="AM272" i="1"/>
  <c r="U288" i="1"/>
  <c r="AM288" i="1"/>
  <c r="U316" i="1"/>
  <c r="AM316" i="1"/>
  <c r="U360" i="1"/>
  <c r="AM360" i="1"/>
  <c r="U372" i="1"/>
  <c r="AM372" i="1"/>
  <c r="U380" i="1"/>
  <c r="AM380" i="1"/>
  <c r="U396" i="1"/>
  <c r="AM396" i="1"/>
  <c r="U408" i="1"/>
  <c r="AM408" i="1"/>
  <c r="U428" i="1"/>
  <c r="AM428" i="1"/>
  <c r="U440" i="1"/>
  <c r="AM440" i="1"/>
  <c r="U448" i="1"/>
  <c r="AM448" i="1"/>
  <c r="U468" i="1"/>
  <c r="AM468" i="1"/>
  <c r="U480" i="1"/>
  <c r="AM480" i="1"/>
  <c r="U9" i="1"/>
  <c r="AM9" i="1"/>
  <c r="U21" i="1"/>
  <c r="AM21" i="1"/>
  <c r="U33" i="1"/>
  <c r="AM33" i="1"/>
  <c r="U45" i="1"/>
  <c r="AM45" i="1"/>
  <c r="U57" i="1"/>
  <c r="AM57" i="1"/>
  <c r="U73" i="1"/>
  <c r="AM73" i="1"/>
  <c r="U89" i="1"/>
  <c r="AM89" i="1"/>
  <c r="U97" i="1"/>
  <c r="AM97" i="1"/>
  <c r="U113" i="1"/>
  <c r="AM113" i="1"/>
  <c r="U125" i="1"/>
  <c r="AM125" i="1"/>
  <c r="U165" i="1"/>
  <c r="AM165" i="1"/>
  <c r="U181" i="1"/>
  <c r="AM181" i="1"/>
  <c r="U193" i="1"/>
  <c r="AM193" i="1"/>
  <c r="U209" i="1"/>
  <c r="AM209" i="1"/>
  <c r="U225" i="1"/>
  <c r="AM225" i="1"/>
  <c r="U245" i="1"/>
  <c r="AM245" i="1"/>
  <c r="U281" i="1"/>
  <c r="AM281" i="1"/>
  <c r="U293" i="1"/>
  <c r="AM293" i="1"/>
  <c r="U309" i="1"/>
  <c r="AM309" i="1"/>
  <c r="U321" i="1"/>
  <c r="AM321" i="1"/>
  <c r="U341" i="1"/>
  <c r="AM341" i="1"/>
  <c r="U357" i="1"/>
  <c r="AM357" i="1"/>
  <c r="U405" i="1"/>
  <c r="AM405" i="1"/>
  <c r="U425" i="1"/>
  <c r="AM425" i="1"/>
  <c r="U437" i="1"/>
  <c r="AM437" i="1"/>
  <c r="U465" i="1"/>
  <c r="AM465" i="1"/>
  <c r="U481" i="1"/>
  <c r="AM481" i="1"/>
  <c r="U493" i="1"/>
  <c r="AM493" i="1"/>
  <c r="U517" i="1"/>
  <c r="AM517" i="1"/>
  <c r="U2" i="1"/>
  <c r="AM2" i="1"/>
  <c r="U10" i="1"/>
  <c r="AM10" i="1"/>
  <c r="U26" i="1"/>
  <c r="AM26" i="1"/>
  <c r="U66" i="1"/>
  <c r="AM66" i="1"/>
  <c r="U90" i="1"/>
  <c r="AM90" i="1"/>
  <c r="U106" i="1"/>
  <c r="AM106" i="1"/>
  <c r="U122" i="1"/>
  <c r="AM122" i="1"/>
  <c r="U134" i="1"/>
  <c r="AM134" i="1"/>
  <c r="U146" i="1"/>
  <c r="AM146" i="1"/>
  <c r="U162" i="1"/>
  <c r="AM162" i="1"/>
  <c r="U178" i="1"/>
  <c r="AM178" i="1"/>
  <c r="U190" i="1"/>
  <c r="AM190" i="1"/>
  <c r="U202" i="1"/>
  <c r="AM202" i="1"/>
  <c r="U214" i="1"/>
  <c r="AM214" i="1"/>
  <c r="U230" i="1"/>
  <c r="AM230" i="1"/>
  <c r="U250" i="1"/>
  <c r="AM250" i="1"/>
  <c r="U278" i="1"/>
  <c r="AM278" i="1"/>
  <c r="U286" i="1"/>
  <c r="AM286" i="1"/>
  <c r="U298" i="1"/>
  <c r="AM298" i="1"/>
  <c r="U326" i="1"/>
  <c r="AM326" i="1"/>
  <c r="U334" i="1"/>
  <c r="AM334" i="1"/>
  <c r="U358" i="1"/>
  <c r="AM358" i="1"/>
  <c r="U370" i="1"/>
  <c r="AM370" i="1"/>
  <c r="U382" i="1"/>
  <c r="AM382" i="1"/>
  <c r="U414" i="1"/>
  <c r="AM414" i="1"/>
  <c r="U426" i="1"/>
  <c r="AM426" i="1"/>
  <c r="U442" i="1"/>
  <c r="AM442" i="1"/>
  <c r="U458" i="1"/>
  <c r="AM458" i="1"/>
  <c r="U470" i="1"/>
  <c r="AM470" i="1"/>
  <c r="U494" i="1"/>
  <c r="AM494" i="1"/>
  <c r="U506" i="1"/>
  <c r="AM506" i="1"/>
  <c r="U530" i="1"/>
  <c r="AM530" i="1"/>
  <c r="U546" i="1"/>
  <c r="AM546" i="1"/>
  <c r="U566" i="1"/>
  <c r="AM566" i="1"/>
  <c r="U578" i="1"/>
  <c r="AM578" i="1"/>
  <c r="U594" i="1"/>
  <c r="AM594" i="1"/>
  <c r="U622" i="1"/>
  <c r="AM622" i="1"/>
  <c r="U634" i="1"/>
  <c r="AM634" i="1"/>
  <c r="U650" i="1"/>
  <c r="AM650" i="1"/>
  <c r="U666" i="1"/>
  <c r="AM666" i="1"/>
  <c r="U694" i="1"/>
  <c r="AM694" i="1"/>
  <c r="U710" i="1"/>
  <c r="AM710" i="1"/>
  <c r="U722" i="1"/>
  <c r="AM722" i="1"/>
  <c r="U746" i="1"/>
  <c r="AM746" i="1"/>
  <c r="U774" i="1"/>
  <c r="AM774" i="1"/>
  <c r="U786" i="1"/>
  <c r="AM786" i="1"/>
  <c r="U802" i="1"/>
  <c r="AM802" i="1"/>
  <c r="U814" i="1"/>
  <c r="AM814" i="1"/>
  <c r="U830" i="1"/>
  <c r="AM830" i="1"/>
  <c r="U850" i="1"/>
  <c r="AM850" i="1"/>
  <c r="U886" i="1"/>
  <c r="AM886" i="1"/>
  <c r="U902" i="1"/>
  <c r="AM902" i="1"/>
  <c r="U914" i="1"/>
  <c r="AM914" i="1"/>
  <c r="U926" i="1"/>
  <c r="AM926" i="1"/>
  <c r="U467" i="1"/>
  <c r="AM467" i="1"/>
  <c r="U483" i="1"/>
  <c r="AM483" i="1"/>
  <c r="U499" i="1"/>
  <c r="AM499" i="1"/>
  <c r="U515" i="1"/>
  <c r="AM515" i="1"/>
  <c r="U555" i="1"/>
  <c r="AM555" i="1"/>
  <c r="U567" i="1"/>
  <c r="AM567" i="1"/>
  <c r="U595" i="1"/>
  <c r="AM595" i="1"/>
  <c r="U619" i="1"/>
  <c r="AM619" i="1"/>
  <c r="U631" i="1"/>
  <c r="AM631" i="1"/>
  <c r="U643" i="1"/>
  <c r="AM643" i="1"/>
  <c r="U659" i="1"/>
  <c r="AM659" i="1"/>
  <c r="U671" i="1"/>
  <c r="AM671" i="1"/>
  <c r="U695" i="1"/>
  <c r="AM695" i="1"/>
  <c r="U703" i="1"/>
  <c r="AM703" i="1"/>
  <c r="U719" i="1"/>
  <c r="AM719" i="1"/>
  <c r="U727" i="1"/>
  <c r="AM727" i="1"/>
  <c r="U747" i="1"/>
  <c r="AM747" i="1"/>
  <c r="U771" i="1"/>
  <c r="AM771" i="1"/>
  <c r="U787" i="1"/>
  <c r="AM787" i="1"/>
  <c r="U795" i="1"/>
  <c r="AM795" i="1"/>
  <c r="U807" i="1"/>
  <c r="AM807" i="1"/>
  <c r="U819" i="1"/>
  <c r="AM819" i="1"/>
  <c r="U831" i="1"/>
  <c r="AM831" i="1"/>
  <c r="U843" i="1"/>
  <c r="AM843" i="1"/>
  <c r="U859" i="1"/>
  <c r="AM859" i="1"/>
  <c r="U871" i="1"/>
  <c r="AM871" i="1"/>
  <c r="U887" i="1"/>
  <c r="AM887" i="1"/>
  <c r="U903" i="1"/>
  <c r="AM903" i="1"/>
  <c r="U492" i="1"/>
  <c r="AM492" i="1"/>
  <c r="U508" i="1"/>
  <c r="AM508" i="1"/>
  <c r="U520" i="1"/>
  <c r="AM520" i="1"/>
  <c r="U528" i="1"/>
  <c r="AM528" i="1"/>
  <c r="U544" i="1"/>
  <c r="AM544" i="1"/>
  <c r="U560" i="1"/>
  <c r="AM560" i="1"/>
  <c r="U584" i="1"/>
  <c r="AM584" i="1"/>
  <c r="U608" i="1"/>
  <c r="AM608" i="1"/>
  <c r="U624" i="1"/>
  <c r="AM624" i="1"/>
  <c r="U636" i="1"/>
  <c r="AM636" i="1"/>
  <c r="U652" i="1"/>
  <c r="AM652" i="1"/>
  <c r="U664" i="1"/>
  <c r="AM664" i="1"/>
  <c r="U676" i="1"/>
  <c r="AM676" i="1"/>
  <c r="U696" i="1"/>
  <c r="AM696" i="1"/>
  <c r="U712" i="1"/>
  <c r="AM712" i="1"/>
  <c r="U736" i="1"/>
  <c r="AM736" i="1"/>
  <c r="U744" i="1"/>
  <c r="AM744" i="1"/>
  <c r="U780" i="1"/>
  <c r="AM780" i="1"/>
  <c r="U796" i="1"/>
  <c r="AM796" i="1"/>
  <c r="U804" i="1"/>
  <c r="AM804" i="1"/>
  <c r="U820" i="1"/>
  <c r="AM820" i="1"/>
  <c r="U844" i="1"/>
  <c r="AM844" i="1"/>
  <c r="U852" i="1"/>
  <c r="AM852" i="1"/>
  <c r="U876" i="1"/>
  <c r="AM876" i="1"/>
  <c r="U888" i="1"/>
  <c r="AM888" i="1"/>
  <c r="U900" i="1"/>
  <c r="AM900" i="1"/>
  <c r="U912" i="1"/>
  <c r="AM912" i="1"/>
  <c r="U932" i="1"/>
  <c r="AM932" i="1"/>
  <c r="U533" i="1"/>
  <c r="AM533" i="1"/>
  <c r="U549" i="1"/>
  <c r="AM549" i="1"/>
  <c r="U565" i="1"/>
  <c r="AM565" i="1"/>
  <c r="U577" i="1"/>
  <c r="AM577" i="1"/>
  <c r="U589" i="1"/>
  <c r="AM589" i="1"/>
  <c r="U601" i="1"/>
  <c r="AM601" i="1"/>
  <c r="U617" i="1"/>
  <c r="AM617" i="1"/>
  <c r="U633" i="1"/>
  <c r="AM633" i="1"/>
  <c r="U649" i="1"/>
  <c r="AM649" i="1"/>
  <c r="U657" i="1"/>
  <c r="AM657" i="1"/>
  <c r="U669" i="1"/>
  <c r="AM669" i="1"/>
  <c r="U681" i="1"/>
  <c r="AM681" i="1"/>
  <c r="U693" i="1"/>
  <c r="AM693" i="1"/>
  <c r="U705" i="1"/>
  <c r="AM705" i="1"/>
  <c r="U717" i="1"/>
  <c r="AM717" i="1"/>
  <c r="U733" i="1"/>
  <c r="AM733" i="1"/>
  <c r="U749" i="1"/>
  <c r="AM749" i="1"/>
  <c r="U773" i="1"/>
  <c r="AM773" i="1"/>
  <c r="U789" i="1"/>
  <c r="AM789" i="1"/>
  <c r="U801" i="1"/>
  <c r="AM801" i="1"/>
  <c r="U813" i="1"/>
  <c r="AM813" i="1"/>
  <c r="U825" i="1"/>
  <c r="AM825" i="1"/>
  <c r="U841" i="1"/>
  <c r="AM841" i="1"/>
  <c r="U857" i="1"/>
  <c r="AM857" i="1"/>
  <c r="U869" i="1"/>
  <c r="AM869" i="1"/>
  <c r="U881" i="1"/>
  <c r="AM881" i="1"/>
  <c r="U889" i="1"/>
  <c r="AM889" i="1"/>
  <c r="U905" i="1"/>
  <c r="AM905" i="1"/>
  <c r="U921" i="1"/>
  <c r="AM921" i="1"/>
  <c r="U933" i="1"/>
  <c r="AM933" i="1"/>
  <c r="W564" i="1" l="1"/>
  <c r="W49" i="1"/>
  <c r="W737" i="1"/>
  <c r="W673" i="1"/>
  <c r="W906" i="1"/>
  <c r="W656" i="1"/>
  <c r="W892" i="1"/>
  <c r="W266" i="1"/>
  <c r="W532" i="1"/>
  <c r="W179" i="1"/>
  <c r="W558" i="1"/>
  <c r="W683" i="1"/>
  <c r="W407" i="1"/>
  <c r="W606" i="1"/>
  <c r="W700" i="1"/>
  <c r="W138" i="1"/>
  <c r="W188" i="1"/>
  <c r="W344" i="1"/>
  <c r="AN933" i="1"/>
  <c r="W933" i="1"/>
  <c r="AN881" i="1"/>
  <c r="W881" i="1"/>
  <c r="AN825" i="1"/>
  <c r="W825" i="1"/>
  <c r="AN773" i="1"/>
  <c r="W773" i="1"/>
  <c r="AN733" i="1"/>
  <c r="W733" i="1"/>
  <c r="AN681" i="1"/>
  <c r="W681" i="1"/>
  <c r="AN657" i="1"/>
  <c r="W657" i="1"/>
  <c r="AN601" i="1"/>
  <c r="W601" i="1"/>
  <c r="AN549" i="1"/>
  <c r="W549" i="1"/>
  <c r="AN900" i="1"/>
  <c r="W900" i="1"/>
  <c r="AN844" i="1"/>
  <c r="W844" i="1"/>
  <c r="AN780" i="1"/>
  <c r="W780" i="1"/>
  <c r="AN664" i="1"/>
  <c r="W664" i="1"/>
  <c r="AN608" i="1"/>
  <c r="W608" i="1"/>
  <c r="AN528" i="1"/>
  <c r="W528" i="1"/>
  <c r="AN871" i="1"/>
  <c r="W871" i="1"/>
  <c r="AN795" i="1"/>
  <c r="W795" i="1"/>
  <c r="AN703" i="1"/>
  <c r="W703" i="1"/>
  <c r="AN619" i="1"/>
  <c r="W619" i="1"/>
  <c r="AN483" i="1"/>
  <c r="W483" i="1"/>
  <c r="AN850" i="1"/>
  <c r="W850" i="1"/>
  <c r="AN746" i="1"/>
  <c r="W746" i="1"/>
  <c r="AN666" i="1"/>
  <c r="W666" i="1"/>
  <c r="AN594" i="1"/>
  <c r="W594" i="1"/>
  <c r="AN530" i="1"/>
  <c r="W530" i="1"/>
  <c r="AN458" i="1"/>
  <c r="W458" i="1"/>
  <c r="AN382" i="1"/>
  <c r="W382" i="1"/>
  <c r="AN326" i="1"/>
  <c r="W326" i="1"/>
  <c r="AN214" i="1"/>
  <c r="W214" i="1"/>
  <c r="AN162" i="1"/>
  <c r="W162" i="1"/>
  <c r="AN106" i="1"/>
  <c r="W106" i="1"/>
  <c r="AN10" i="1"/>
  <c r="W10" i="1"/>
  <c r="AN481" i="1"/>
  <c r="W481" i="1"/>
  <c r="AN405" i="1"/>
  <c r="W405" i="1"/>
  <c r="AN309" i="1"/>
  <c r="W309" i="1"/>
  <c r="AN225" i="1"/>
  <c r="W225" i="1"/>
  <c r="AN165" i="1"/>
  <c r="W165" i="1"/>
  <c r="AN89" i="1"/>
  <c r="W89" i="1"/>
  <c r="AN33" i="1"/>
  <c r="W33" i="1"/>
  <c r="AN468" i="1"/>
  <c r="W468" i="1"/>
  <c r="AN408" i="1"/>
  <c r="W408" i="1"/>
  <c r="AN288" i="1"/>
  <c r="W288" i="1"/>
  <c r="AN232" i="1"/>
  <c r="W232" i="1"/>
  <c r="AN172" i="1"/>
  <c r="W172" i="1"/>
  <c r="AN104" i="1"/>
  <c r="W104" i="1"/>
  <c r="AN415" i="1"/>
  <c r="W415" i="1"/>
  <c r="AN359" i="1"/>
  <c r="W359" i="1"/>
  <c r="AN295" i="1"/>
  <c r="W295" i="1"/>
  <c r="AN207" i="1"/>
  <c r="W207" i="1"/>
  <c r="AN131" i="1"/>
  <c r="W131" i="1"/>
  <c r="AN59" i="1"/>
  <c r="W59" i="1"/>
  <c r="AN929" i="1"/>
  <c r="W929" i="1"/>
  <c r="AN865" i="1"/>
  <c r="W865" i="1"/>
  <c r="AN837" i="1"/>
  <c r="W837" i="1"/>
  <c r="AN797" i="1"/>
  <c r="W797" i="1"/>
  <c r="AN761" i="1"/>
  <c r="W761" i="1"/>
  <c r="AN677" i="1"/>
  <c r="W677" i="1"/>
  <c r="AN613" i="1"/>
  <c r="W613" i="1"/>
  <c r="AN529" i="1"/>
  <c r="W529" i="1"/>
  <c r="AN896" i="1"/>
  <c r="W896" i="1"/>
  <c r="AN840" i="1"/>
  <c r="W840" i="1"/>
  <c r="AN792" i="1"/>
  <c r="W792" i="1"/>
  <c r="AN732" i="1"/>
  <c r="W732" i="1"/>
  <c r="AN684" i="1"/>
  <c r="W684" i="1"/>
  <c r="AN604" i="1"/>
  <c r="W604" i="1"/>
  <c r="AN540" i="1"/>
  <c r="W540" i="1"/>
  <c r="AN488" i="1"/>
  <c r="W488" i="1"/>
  <c r="AN911" i="1"/>
  <c r="W911" i="1"/>
  <c r="AN867" i="1"/>
  <c r="W867" i="1"/>
  <c r="AN815" i="1"/>
  <c r="W815" i="1"/>
  <c r="AN759" i="1"/>
  <c r="W759" i="1"/>
  <c r="AN715" i="1"/>
  <c r="W715" i="1"/>
  <c r="AN667" i="1"/>
  <c r="W667" i="1"/>
  <c r="AN607" i="1"/>
  <c r="W607" i="1"/>
  <c r="AN551" i="1"/>
  <c r="W551" i="1"/>
  <c r="AN495" i="1"/>
  <c r="W495" i="1"/>
  <c r="AN898" i="1"/>
  <c r="W898" i="1"/>
  <c r="AN838" i="1"/>
  <c r="W838" i="1"/>
  <c r="AN758" i="1"/>
  <c r="W758" i="1"/>
  <c r="AN690" i="1"/>
  <c r="W690" i="1"/>
  <c r="AN610" i="1"/>
  <c r="W610" i="1"/>
  <c r="AN554" i="1"/>
  <c r="W554" i="1"/>
  <c r="AN490" i="1"/>
  <c r="W490" i="1"/>
  <c r="AN410" i="1"/>
  <c r="W410" i="1"/>
  <c r="AN378" i="1"/>
  <c r="W378" i="1"/>
  <c r="AN322" i="1"/>
  <c r="W322" i="1"/>
  <c r="AN262" i="1"/>
  <c r="W262" i="1"/>
  <c r="AN210" i="1"/>
  <c r="W210" i="1"/>
  <c r="AN174" i="1"/>
  <c r="W174" i="1"/>
  <c r="AN118" i="1"/>
  <c r="W118" i="1"/>
  <c r="AN74" i="1"/>
  <c r="W74" i="1"/>
  <c r="AN34" i="1"/>
  <c r="W34" i="1"/>
  <c r="AN453" i="1"/>
  <c r="W453" i="1"/>
  <c r="AN401" i="1"/>
  <c r="W401" i="1"/>
  <c r="AN369" i="1"/>
  <c r="W369" i="1"/>
  <c r="AN277" i="1"/>
  <c r="W277" i="1"/>
  <c r="AN241" i="1"/>
  <c r="W241" i="1"/>
  <c r="AN177" i="1"/>
  <c r="W177" i="1"/>
  <c r="AN109" i="1"/>
  <c r="W109" i="1"/>
  <c r="AN476" i="1"/>
  <c r="W476" i="1"/>
  <c r="AN436" i="1"/>
  <c r="W436" i="1"/>
  <c r="AN352" i="1"/>
  <c r="W352" i="1"/>
  <c r="AN208" i="1"/>
  <c r="W208" i="1"/>
  <c r="AN124" i="1"/>
  <c r="W124" i="1"/>
  <c r="AN52" i="1"/>
  <c r="W52" i="1"/>
  <c r="AN427" i="1"/>
  <c r="W427" i="1"/>
  <c r="AN307" i="1"/>
  <c r="W307" i="1"/>
  <c r="AN255" i="1"/>
  <c r="W255" i="1"/>
  <c r="AN183" i="1"/>
  <c r="W183" i="1"/>
  <c r="AN143" i="1"/>
  <c r="W143" i="1"/>
  <c r="AN83" i="1"/>
  <c r="W83" i="1"/>
  <c r="AN811" i="1"/>
  <c r="W811" i="1"/>
  <c r="AN675" i="1"/>
  <c r="W675" i="1"/>
  <c r="AN599" i="1"/>
  <c r="W599" i="1"/>
  <c r="AN559" i="1"/>
  <c r="W559" i="1"/>
  <c r="AN503" i="1"/>
  <c r="W503" i="1"/>
  <c r="AN918" i="1"/>
  <c r="W918" i="1"/>
  <c r="AN866" i="1"/>
  <c r="W866" i="1"/>
  <c r="AN818" i="1"/>
  <c r="W818" i="1"/>
  <c r="AN762" i="1"/>
  <c r="W762" i="1"/>
  <c r="AN682" i="1"/>
  <c r="W682" i="1"/>
  <c r="AN614" i="1"/>
  <c r="W614" i="1"/>
  <c r="AN570" i="1"/>
  <c r="W570" i="1"/>
  <c r="AN498" i="1"/>
  <c r="W498" i="1"/>
  <c r="AN430" i="1"/>
  <c r="W430" i="1"/>
  <c r="AN386" i="1"/>
  <c r="W386" i="1"/>
  <c r="AN314" i="1"/>
  <c r="W314" i="1"/>
  <c r="AN254" i="1"/>
  <c r="W254" i="1"/>
  <c r="AN166" i="1"/>
  <c r="W166" i="1"/>
  <c r="AN94" i="1"/>
  <c r="W94" i="1"/>
  <c r="AN30" i="1"/>
  <c r="W30" i="1"/>
  <c r="AN497" i="1"/>
  <c r="W497" i="1"/>
  <c r="AN457" i="1"/>
  <c r="W457" i="1"/>
  <c r="AN413" i="1"/>
  <c r="W413" i="1"/>
  <c r="AN361" i="1"/>
  <c r="W361" i="1"/>
  <c r="AN297" i="1"/>
  <c r="W297" i="1"/>
  <c r="AN249" i="1"/>
  <c r="W249" i="1"/>
  <c r="AN169" i="1"/>
  <c r="W169" i="1"/>
  <c r="AN61" i="1"/>
  <c r="W61" i="1"/>
  <c r="AN456" i="1"/>
  <c r="W456" i="1"/>
  <c r="AN384" i="1"/>
  <c r="W384" i="1"/>
  <c r="AN332" i="1"/>
  <c r="W332" i="1"/>
  <c r="AN308" i="1"/>
  <c r="W308" i="1"/>
  <c r="AN256" i="1"/>
  <c r="W256" i="1"/>
  <c r="AN152" i="1"/>
  <c r="W152" i="1"/>
  <c r="AN84" i="1"/>
  <c r="W84" i="1"/>
  <c r="AN4" i="1"/>
  <c r="W4" i="1"/>
  <c r="AN351" i="1"/>
  <c r="W351" i="1"/>
  <c r="AN299" i="1"/>
  <c r="W299" i="1"/>
  <c r="AN259" i="1"/>
  <c r="W259" i="1"/>
  <c r="AN167" i="1"/>
  <c r="W167" i="1"/>
  <c r="AN107" i="1"/>
  <c r="W107" i="1"/>
  <c r="AN67" i="1"/>
  <c r="W67" i="1"/>
  <c r="AN7" i="1"/>
  <c r="W7" i="1"/>
  <c r="AN745" i="1"/>
  <c r="W745" i="1"/>
  <c r="AN689" i="1"/>
  <c r="W689" i="1"/>
  <c r="AN585" i="1"/>
  <c r="W585" i="1"/>
  <c r="AN884" i="1"/>
  <c r="W884" i="1"/>
  <c r="AN832" i="1"/>
  <c r="W832" i="1"/>
  <c r="AN720" i="1"/>
  <c r="W720" i="1"/>
  <c r="AN660" i="1"/>
  <c r="W660" i="1"/>
  <c r="AN620" i="1"/>
  <c r="W620" i="1"/>
  <c r="AN572" i="1"/>
  <c r="W572" i="1"/>
  <c r="AN899" i="1"/>
  <c r="W899" i="1"/>
  <c r="AN827" i="1"/>
  <c r="W827" i="1"/>
  <c r="AN767" i="1"/>
  <c r="W767" i="1"/>
  <c r="AN691" i="1"/>
  <c r="W691" i="1"/>
  <c r="AN591" i="1"/>
  <c r="W591" i="1"/>
  <c r="AN563" i="1"/>
  <c r="W563" i="1"/>
  <c r="AN511" i="1"/>
  <c r="W511" i="1"/>
  <c r="AN455" i="1"/>
  <c r="W455" i="1"/>
  <c r="AN862" i="1"/>
  <c r="W862" i="1"/>
  <c r="AN826" i="1"/>
  <c r="W826" i="1"/>
  <c r="AN770" i="1"/>
  <c r="W770" i="1"/>
  <c r="AN730" i="1"/>
  <c r="W730" i="1"/>
  <c r="AN678" i="1"/>
  <c r="W678" i="1"/>
  <c r="AN602" i="1"/>
  <c r="W602" i="1"/>
  <c r="AN905" i="1"/>
  <c r="W905" i="1"/>
  <c r="AN857" i="1"/>
  <c r="W857" i="1"/>
  <c r="AN801" i="1"/>
  <c r="W801" i="1"/>
  <c r="AN705" i="1"/>
  <c r="W705" i="1"/>
  <c r="AN633" i="1"/>
  <c r="W633" i="1"/>
  <c r="AN577" i="1"/>
  <c r="W577" i="1"/>
  <c r="AN932" i="1"/>
  <c r="W932" i="1"/>
  <c r="AN876" i="1"/>
  <c r="W876" i="1"/>
  <c r="AN804" i="1"/>
  <c r="W804" i="1"/>
  <c r="AN736" i="1"/>
  <c r="W736" i="1"/>
  <c r="AN696" i="1"/>
  <c r="W696" i="1"/>
  <c r="AN636" i="1"/>
  <c r="W636" i="1"/>
  <c r="AN560" i="1"/>
  <c r="W560" i="1"/>
  <c r="AN508" i="1"/>
  <c r="W508" i="1"/>
  <c r="AN903" i="1"/>
  <c r="W903" i="1"/>
  <c r="AN843" i="1"/>
  <c r="W843" i="1"/>
  <c r="AN819" i="1"/>
  <c r="W819" i="1"/>
  <c r="AN771" i="1"/>
  <c r="W771" i="1"/>
  <c r="AN727" i="1"/>
  <c r="W727" i="1"/>
  <c r="AN671" i="1"/>
  <c r="W671" i="1"/>
  <c r="AN643" i="1"/>
  <c r="W643" i="1"/>
  <c r="AN567" i="1"/>
  <c r="W567" i="1"/>
  <c r="AN515" i="1"/>
  <c r="W515" i="1"/>
  <c r="AN926" i="1"/>
  <c r="W926" i="1"/>
  <c r="AN902" i="1"/>
  <c r="W902" i="1"/>
  <c r="AN814" i="1"/>
  <c r="W814" i="1"/>
  <c r="AN786" i="1"/>
  <c r="W786" i="1"/>
  <c r="AN710" i="1"/>
  <c r="W710" i="1"/>
  <c r="AN634" i="1"/>
  <c r="W634" i="1"/>
  <c r="AN566" i="1"/>
  <c r="W566" i="1"/>
  <c r="AN494" i="1"/>
  <c r="W494" i="1"/>
  <c r="AN426" i="1"/>
  <c r="W426" i="1"/>
  <c r="AN358" i="1"/>
  <c r="W358" i="1"/>
  <c r="AN286" i="1"/>
  <c r="W286" i="1"/>
  <c r="AN250" i="1"/>
  <c r="W250" i="1"/>
  <c r="AN190" i="1"/>
  <c r="W190" i="1"/>
  <c r="AN134" i="1"/>
  <c r="W134" i="1"/>
  <c r="AN66" i="1"/>
  <c r="W66" i="1"/>
  <c r="AN517" i="1"/>
  <c r="W517" i="1"/>
  <c r="AN437" i="1"/>
  <c r="W437" i="1"/>
  <c r="AN341" i="1"/>
  <c r="W341" i="1"/>
  <c r="AN281" i="1"/>
  <c r="W281" i="1"/>
  <c r="AN193" i="1"/>
  <c r="W193" i="1"/>
  <c r="AN113" i="1"/>
  <c r="W113" i="1"/>
  <c r="AN57" i="1"/>
  <c r="W57" i="1"/>
  <c r="AN9" i="1"/>
  <c r="W9" i="1"/>
  <c r="AN440" i="1"/>
  <c r="W440" i="1"/>
  <c r="AN380" i="1"/>
  <c r="W380" i="1"/>
  <c r="AN360" i="1"/>
  <c r="W360" i="1"/>
  <c r="AN264" i="1"/>
  <c r="W264" i="1"/>
  <c r="AN200" i="1"/>
  <c r="W200" i="1"/>
  <c r="AN128" i="1"/>
  <c r="W128" i="1"/>
  <c r="AN56" i="1"/>
  <c r="W56" i="1"/>
  <c r="AN16" i="1"/>
  <c r="W16" i="1"/>
  <c r="AN387" i="1"/>
  <c r="W387" i="1"/>
  <c r="AN327" i="1"/>
  <c r="W327" i="1"/>
  <c r="AN235" i="1"/>
  <c r="W235" i="1"/>
  <c r="AN159" i="1"/>
  <c r="W159" i="1"/>
  <c r="AN103" i="1"/>
  <c r="W103" i="1"/>
  <c r="AN31" i="1"/>
  <c r="W31" i="1"/>
  <c r="AN901" i="1"/>
  <c r="W901" i="1"/>
  <c r="AN573" i="1"/>
  <c r="W573" i="1"/>
  <c r="AN300" i="1"/>
  <c r="W300" i="1"/>
  <c r="AN921" i="1"/>
  <c r="W921" i="1"/>
  <c r="AN889" i="1"/>
  <c r="W889" i="1"/>
  <c r="AN869" i="1"/>
  <c r="W869" i="1"/>
  <c r="AN841" i="1"/>
  <c r="W841" i="1"/>
  <c r="AN813" i="1"/>
  <c r="W813" i="1"/>
  <c r="AN789" i="1"/>
  <c r="W789" i="1"/>
  <c r="AN749" i="1"/>
  <c r="W749" i="1"/>
  <c r="AN717" i="1"/>
  <c r="W717" i="1"/>
  <c r="AN693" i="1"/>
  <c r="W693" i="1"/>
  <c r="AN669" i="1"/>
  <c r="W669" i="1"/>
  <c r="AN649" i="1"/>
  <c r="W649" i="1"/>
  <c r="AN617" i="1"/>
  <c r="W617" i="1"/>
  <c r="AN589" i="1"/>
  <c r="W589" i="1"/>
  <c r="AN565" i="1"/>
  <c r="W565" i="1"/>
  <c r="AN533" i="1"/>
  <c r="W533" i="1"/>
  <c r="AN912" i="1"/>
  <c r="W912" i="1"/>
  <c r="AN888" i="1"/>
  <c r="W888" i="1"/>
  <c r="AN852" i="1"/>
  <c r="W852" i="1"/>
  <c r="AN820" i="1"/>
  <c r="W820" i="1"/>
  <c r="AN796" i="1"/>
  <c r="W796" i="1"/>
  <c r="AN744" i="1"/>
  <c r="W744" i="1"/>
  <c r="AN712" i="1"/>
  <c r="W712" i="1"/>
  <c r="AN676" i="1"/>
  <c r="W676" i="1"/>
  <c r="AN652" i="1"/>
  <c r="W652" i="1"/>
  <c r="AN624" i="1"/>
  <c r="W624" i="1"/>
  <c r="AN584" i="1"/>
  <c r="W584" i="1"/>
  <c r="AN544" i="1"/>
  <c r="W544" i="1"/>
  <c r="AN520" i="1"/>
  <c r="W520" i="1"/>
  <c r="AN492" i="1"/>
  <c r="W492" i="1"/>
  <c r="AN887" i="1"/>
  <c r="W887" i="1"/>
  <c r="AN859" i="1"/>
  <c r="W859" i="1"/>
  <c r="AN831" i="1"/>
  <c r="W831" i="1"/>
  <c r="AN807" i="1"/>
  <c r="W807" i="1"/>
  <c r="AN787" i="1"/>
  <c r="W787" i="1"/>
  <c r="AN747" i="1"/>
  <c r="W747" i="1"/>
  <c r="AN719" i="1"/>
  <c r="W719" i="1"/>
  <c r="AN695" i="1"/>
  <c r="W695" i="1"/>
  <c r="AN659" i="1"/>
  <c r="W659" i="1"/>
  <c r="AN631" i="1"/>
  <c r="W631" i="1"/>
  <c r="AN595" i="1"/>
  <c r="W595" i="1"/>
  <c r="AN555" i="1"/>
  <c r="W555" i="1"/>
  <c r="AN499" i="1"/>
  <c r="W499" i="1"/>
  <c r="AN467" i="1"/>
  <c r="W467" i="1"/>
  <c r="AN914" i="1"/>
  <c r="W914" i="1"/>
  <c r="AN886" i="1"/>
  <c r="W886" i="1"/>
  <c r="AN830" i="1"/>
  <c r="W830" i="1"/>
  <c r="AN802" i="1"/>
  <c r="W802" i="1"/>
  <c r="AN774" i="1"/>
  <c r="W774" i="1"/>
  <c r="AN722" i="1"/>
  <c r="W722" i="1"/>
  <c r="AN694" i="1"/>
  <c r="W694" i="1"/>
  <c r="AN650" i="1"/>
  <c r="W650" i="1"/>
  <c r="AN622" i="1"/>
  <c r="W622" i="1"/>
  <c r="AN578" i="1"/>
  <c r="W578" i="1"/>
  <c r="AN546" i="1"/>
  <c r="W546" i="1"/>
  <c r="AN506" i="1"/>
  <c r="W506" i="1"/>
  <c r="AN470" i="1"/>
  <c r="W470" i="1"/>
  <c r="AN442" i="1"/>
  <c r="W442" i="1"/>
  <c r="AN414" i="1"/>
  <c r="W414" i="1"/>
  <c r="AN370" i="1"/>
  <c r="W370" i="1"/>
  <c r="AN334" i="1"/>
  <c r="W334" i="1"/>
  <c r="AN298" i="1"/>
  <c r="W298" i="1"/>
  <c r="AN278" i="1"/>
  <c r="W278" i="1"/>
  <c r="AN230" i="1"/>
  <c r="W230" i="1"/>
  <c r="AN202" i="1"/>
  <c r="W202" i="1"/>
  <c r="AN178" i="1"/>
  <c r="W178" i="1"/>
  <c r="AN146" i="1"/>
  <c r="W146" i="1"/>
  <c r="AN122" i="1"/>
  <c r="W122" i="1"/>
  <c r="AN90" i="1"/>
  <c r="W90" i="1"/>
  <c r="AN26" i="1"/>
  <c r="W26" i="1"/>
  <c r="AN2" i="1"/>
  <c r="W2" i="1"/>
  <c r="AN493" i="1"/>
  <c r="W493" i="1"/>
  <c r="AN465" i="1"/>
  <c r="W465" i="1"/>
  <c r="AN425" i="1"/>
  <c r="W425" i="1"/>
  <c r="AN357" i="1"/>
  <c r="W357" i="1"/>
  <c r="AN321" i="1"/>
  <c r="W321" i="1"/>
  <c r="AN293" i="1"/>
  <c r="W293" i="1"/>
  <c r="AN245" i="1"/>
  <c r="W245" i="1"/>
  <c r="AN209" i="1"/>
  <c r="W209" i="1"/>
  <c r="AN181" i="1"/>
  <c r="W181" i="1"/>
  <c r="AN125" i="1"/>
  <c r="W125" i="1"/>
  <c r="AN97" i="1"/>
  <c r="W97" i="1"/>
  <c r="AN73" i="1"/>
  <c r="W73" i="1"/>
  <c r="AN45" i="1"/>
  <c r="W45" i="1"/>
  <c r="AN21" i="1"/>
  <c r="W21" i="1"/>
  <c r="AN480" i="1"/>
  <c r="W480" i="1"/>
  <c r="AN448" i="1"/>
  <c r="W448" i="1"/>
  <c r="AN428" i="1"/>
  <c r="W428" i="1"/>
  <c r="AN396" i="1"/>
  <c r="W396" i="1"/>
  <c r="AN372" i="1"/>
  <c r="W372" i="1"/>
  <c r="AN316" i="1"/>
  <c r="W316" i="1"/>
  <c r="AN272" i="1"/>
  <c r="W272" i="1"/>
  <c r="AN252" i="1"/>
  <c r="W252" i="1"/>
  <c r="AN220" i="1"/>
  <c r="W220" i="1"/>
  <c r="AN184" i="1"/>
  <c r="W184" i="1"/>
  <c r="AN144" i="1"/>
  <c r="W144" i="1"/>
  <c r="AN112" i="1"/>
  <c r="W112" i="1"/>
  <c r="AN72" i="1"/>
  <c r="W72" i="1"/>
  <c r="AN36" i="1"/>
  <c r="W36" i="1"/>
  <c r="AN443" i="1"/>
  <c r="W443" i="1"/>
  <c r="AN403" i="1"/>
  <c r="W403" i="1"/>
  <c r="AN375" i="1"/>
  <c r="W375" i="1"/>
  <c r="AN347" i="1"/>
  <c r="W347" i="1"/>
  <c r="AN311" i="1"/>
  <c r="W311" i="1"/>
  <c r="AN279" i="1"/>
  <c r="W279" i="1"/>
  <c r="AN227" i="1"/>
  <c r="W227" i="1"/>
  <c r="AN187" i="1"/>
  <c r="W187" i="1"/>
  <c r="AN147" i="1"/>
  <c r="W147" i="1"/>
  <c r="AN119" i="1"/>
  <c r="W119" i="1"/>
  <c r="AN75" i="1"/>
  <c r="W75" i="1"/>
  <c r="AN47" i="1"/>
  <c r="W47" i="1"/>
  <c r="AN3" i="1"/>
  <c r="W3" i="1"/>
  <c r="AN917" i="1"/>
  <c r="W917" i="1"/>
  <c r="AN877" i="1"/>
  <c r="W877" i="1"/>
  <c r="AN853" i="1"/>
  <c r="W853" i="1"/>
  <c r="AN809" i="1"/>
  <c r="W809" i="1"/>
  <c r="AN785" i="1"/>
  <c r="W785" i="1"/>
  <c r="AN701" i="1"/>
  <c r="W701" i="1"/>
  <c r="AN645" i="1"/>
  <c r="W645" i="1"/>
  <c r="AN597" i="1"/>
  <c r="W597" i="1"/>
  <c r="AN561" i="1"/>
  <c r="W561" i="1"/>
  <c r="AN920" i="1"/>
  <c r="W920" i="1"/>
  <c r="AN872" i="1"/>
  <c r="W872" i="1"/>
  <c r="AN816" i="1"/>
  <c r="W816" i="1"/>
  <c r="AN768" i="1"/>
  <c r="W768" i="1"/>
  <c r="AN708" i="1"/>
  <c r="W708" i="1"/>
  <c r="AN648" i="1"/>
  <c r="W648" i="1"/>
  <c r="AN556" i="1"/>
  <c r="W556" i="1"/>
  <c r="AN516" i="1"/>
  <c r="W516" i="1"/>
  <c r="AN923" i="1"/>
  <c r="W923" i="1"/>
  <c r="AN883" i="1"/>
  <c r="W883" i="1"/>
  <c r="AN839" i="1"/>
  <c r="W839" i="1"/>
  <c r="AN783" i="1"/>
  <c r="W783" i="1"/>
  <c r="AN743" i="1"/>
  <c r="W743" i="1"/>
  <c r="AN679" i="1"/>
  <c r="W679" i="1"/>
  <c r="AN655" i="1"/>
  <c r="W655" i="1"/>
  <c r="AN575" i="1"/>
  <c r="W575" i="1"/>
  <c r="AN539" i="1"/>
  <c r="W539" i="1"/>
  <c r="AN922" i="1"/>
  <c r="W922" i="1"/>
  <c r="AN874" i="1"/>
  <c r="W874" i="1"/>
  <c r="AN782" i="1"/>
  <c r="W782" i="1"/>
  <c r="AN718" i="1"/>
  <c r="W718" i="1"/>
  <c r="AN662" i="1"/>
  <c r="W662" i="1"/>
  <c r="AN590" i="1"/>
  <c r="W590" i="1"/>
  <c r="AN514" i="1"/>
  <c r="W514" i="1"/>
  <c r="AN454" i="1"/>
  <c r="W454" i="1"/>
  <c r="AN390" i="1"/>
  <c r="W390" i="1"/>
  <c r="AN354" i="1"/>
  <c r="W354" i="1"/>
  <c r="AN294" i="1"/>
  <c r="W294" i="1"/>
  <c r="AN238" i="1"/>
  <c r="W238" i="1"/>
  <c r="AN198" i="1"/>
  <c r="W198" i="1"/>
  <c r="AN142" i="1"/>
  <c r="W142" i="1"/>
  <c r="AN102" i="1"/>
  <c r="W102" i="1"/>
  <c r="AN54" i="1"/>
  <c r="W54" i="1"/>
  <c r="AN513" i="1"/>
  <c r="W513" i="1"/>
  <c r="AN433" i="1"/>
  <c r="W433" i="1"/>
  <c r="AN389" i="1"/>
  <c r="W389" i="1"/>
  <c r="AN305" i="1"/>
  <c r="W305" i="1"/>
  <c r="AN269" i="1"/>
  <c r="W269" i="1"/>
  <c r="AN221" i="1"/>
  <c r="W221" i="1"/>
  <c r="AN149" i="1"/>
  <c r="W149" i="1"/>
  <c r="AN53" i="1"/>
  <c r="W53" i="1"/>
  <c r="AN464" i="1"/>
  <c r="W464" i="1"/>
  <c r="AN404" i="1"/>
  <c r="W404" i="1"/>
  <c r="AN328" i="1"/>
  <c r="W328" i="1"/>
  <c r="AN244" i="1"/>
  <c r="W244" i="1"/>
  <c r="AN160" i="1"/>
  <c r="W160" i="1"/>
  <c r="AN80" i="1"/>
  <c r="W80" i="1"/>
  <c r="W725" i="1"/>
  <c r="W661" i="1"/>
  <c r="W880" i="1"/>
  <c r="W752" i="1"/>
  <c r="W688" i="1"/>
  <c r="W496" i="1"/>
  <c r="W879" i="1"/>
  <c r="W751" i="1"/>
  <c r="W687" i="1"/>
  <c r="W623" i="1"/>
  <c r="W910" i="1"/>
  <c r="W846" i="1"/>
  <c r="W654" i="1"/>
  <c r="W526" i="1"/>
  <c r="W462" i="1"/>
  <c r="W398" i="1"/>
  <c r="W270" i="1"/>
  <c r="W206" i="1"/>
  <c r="W78" i="1"/>
  <c r="W14" i="1"/>
  <c r="W461" i="1"/>
  <c r="W313" i="1"/>
  <c r="W913" i="1"/>
  <c r="W849" i="1"/>
  <c r="W721" i="1"/>
  <c r="W593" i="1"/>
  <c r="W812" i="1"/>
  <c r="W748" i="1"/>
  <c r="W524" i="1"/>
  <c r="W875" i="1"/>
  <c r="W491" i="1"/>
  <c r="W842" i="1"/>
  <c r="W714" i="1"/>
  <c r="W586" i="1"/>
  <c r="W330" i="1"/>
  <c r="W925" i="1"/>
  <c r="W729" i="1"/>
  <c r="W756" i="1"/>
  <c r="W628" i="1"/>
  <c r="W500" i="1"/>
  <c r="W658" i="1"/>
  <c r="W653" i="1"/>
  <c r="W583" i="1"/>
  <c r="W86" i="1"/>
  <c r="W28" i="1"/>
  <c r="W340" i="1"/>
  <c r="W402" i="1"/>
  <c r="W274" i="1"/>
  <c r="W18" i="1"/>
  <c r="W393" i="1"/>
  <c r="W60" i="1"/>
  <c r="W157" i="1"/>
  <c r="W17" i="1"/>
  <c r="W212" i="1"/>
  <c r="W379" i="1"/>
  <c r="W239" i="1"/>
  <c r="W99" i="1"/>
  <c r="W95" i="1"/>
  <c r="W552" i="1"/>
  <c r="W663" i="1"/>
  <c r="W422" i="1"/>
  <c r="W70" i="1"/>
  <c r="W236" i="1"/>
  <c r="W164" i="1"/>
  <c r="W349" i="1"/>
  <c r="W201" i="1"/>
  <c r="W260" i="1"/>
  <c r="W116" i="1"/>
  <c r="W283" i="1"/>
  <c r="W111" i="1"/>
  <c r="W824" i="1"/>
  <c r="W919" i="1"/>
  <c r="AN32" i="1"/>
  <c r="W32" i="1"/>
  <c r="AN335" i="1"/>
  <c r="W335" i="1"/>
  <c r="AN223" i="1"/>
  <c r="W223" i="1"/>
  <c r="AN115" i="1"/>
  <c r="W115" i="1"/>
  <c r="AN27" i="1"/>
  <c r="W27" i="1"/>
  <c r="AN647" i="1"/>
  <c r="W647" i="1"/>
  <c r="AN571" i="1"/>
  <c r="W571" i="1"/>
  <c r="AN890" i="1"/>
  <c r="W890" i="1"/>
  <c r="AN598" i="1"/>
  <c r="W598" i="1"/>
  <c r="AN518" i="1"/>
  <c r="W518" i="1"/>
  <c r="AN406" i="1"/>
  <c r="W406" i="1"/>
  <c r="AN290" i="1"/>
  <c r="W290" i="1"/>
  <c r="AN469" i="1"/>
  <c r="W469" i="1"/>
  <c r="AN325" i="1"/>
  <c r="W325" i="1"/>
  <c r="AN273" i="1"/>
  <c r="W273" i="1"/>
  <c r="AN129" i="1"/>
  <c r="W129" i="1"/>
  <c r="AN364" i="1"/>
  <c r="W364" i="1"/>
  <c r="AN280" i="1"/>
  <c r="W280" i="1"/>
  <c r="AN204" i="1"/>
  <c r="W204" i="1"/>
  <c r="AN419" i="1"/>
  <c r="W419" i="1"/>
  <c r="AN195" i="1"/>
  <c r="W195" i="1"/>
  <c r="AN135" i="1"/>
  <c r="W135" i="1"/>
  <c r="AN79" i="1"/>
  <c r="W79" i="1"/>
  <c r="AN504" i="1"/>
  <c r="W504" i="1"/>
  <c r="AN803" i="1"/>
  <c r="W803" i="1"/>
  <c r="AN706" i="1"/>
  <c r="W706" i="1"/>
  <c r="AN438" i="1"/>
  <c r="W438" i="1"/>
  <c r="AN186" i="1"/>
  <c r="W186" i="1"/>
  <c r="AN22" i="1"/>
  <c r="W22" i="1"/>
  <c r="AN381" i="1"/>
  <c r="W381" i="1"/>
  <c r="AN161" i="1"/>
  <c r="W161" i="1"/>
  <c r="AN424" i="1"/>
  <c r="W424" i="1"/>
  <c r="AN196" i="1"/>
  <c r="W196" i="1"/>
  <c r="AN92" i="1"/>
  <c r="W92" i="1"/>
  <c r="AN383" i="1"/>
  <c r="W383" i="1"/>
  <c r="AN287" i="1"/>
  <c r="W287" i="1"/>
  <c r="AN243" i="1"/>
  <c r="W243" i="1"/>
  <c r="AN155" i="1"/>
  <c r="W155" i="1"/>
  <c r="AN15" i="1"/>
  <c r="W15" i="1"/>
  <c r="AN873" i="1"/>
  <c r="W873" i="1"/>
  <c r="AN557" i="1"/>
  <c r="W557" i="1"/>
  <c r="AN525" i="1"/>
  <c r="W525" i="1"/>
  <c r="AN868" i="1"/>
  <c r="W868" i="1"/>
  <c r="AN776" i="1"/>
  <c r="W776" i="1"/>
  <c r="AN728" i="1"/>
  <c r="W728" i="1"/>
  <c r="AN644" i="1"/>
  <c r="W644" i="1"/>
  <c r="AN616" i="1"/>
  <c r="W616" i="1"/>
  <c r="AN580" i="1"/>
  <c r="W580" i="1"/>
  <c r="AN699" i="1"/>
  <c r="W699" i="1"/>
  <c r="AN615" i="1"/>
  <c r="W615" i="1"/>
  <c r="AN547" i="1"/>
  <c r="W547" i="1"/>
  <c r="AN858" i="1"/>
  <c r="W858" i="1"/>
  <c r="AN726" i="1"/>
  <c r="W726" i="1"/>
  <c r="AN674" i="1"/>
  <c r="W674" i="1"/>
  <c r="AN642" i="1"/>
  <c r="W642" i="1"/>
  <c r="AN538" i="1"/>
  <c r="W538" i="1"/>
  <c r="AN130" i="1"/>
  <c r="W130" i="1"/>
  <c r="AN98" i="1"/>
  <c r="W98" i="1"/>
  <c r="AN6" i="1"/>
  <c r="W6" i="1"/>
  <c r="AN477" i="1"/>
  <c r="W477" i="1"/>
  <c r="AN397" i="1"/>
  <c r="W397" i="1"/>
  <c r="AN237" i="1"/>
  <c r="W237" i="1"/>
  <c r="AN197" i="1"/>
  <c r="W197" i="1"/>
  <c r="AN65" i="1"/>
  <c r="W65" i="1"/>
  <c r="AN460" i="1"/>
  <c r="W460" i="1"/>
  <c r="AN416" i="1"/>
  <c r="W416" i="1"/>
  <c r="AN376" i="1"/>
  <c r="W376" i="1"/>
  <c r="AN336" i="1"/>
  <c r="W336" i="1"/>
  <c r="AN168" i="1"/>
  <c r="W168" i="1"/>
  <c r="AN136" i="1"/>
  <c r="W136" i="1"/>
  <c r="AN100" i="1"/>
  <c r="W100" i="1"/>
  <c r="AN76" i="1"/>
  <c r="W76" i="1"/>
  <c r="AN44" i="1"/>
  <c r="W44" i="1"/>
  <c r="AN8" i="1"/>
  <c r="W8" i="1"/>
  <c r="AN423" i="1"/>
  <c r="W423" i="1"/>
  <c r="AN395" i="1"/>
  <c r="W395" i="1"/>
  <c r="AN371" i="1"/>
  <c r="W371" i="1"/>
  <c r="AN263" i="1"/>
  <c r="W263" i="1"/>
  <c r="AN123" i="1"/>
  <c r="W123" i="1"/>
  <c r="AN55" i="1"/>
  <c r="W55" i="1"/>
  <c r="AN11" i="1"/>
  <c r="W11" i="1"/>
  <c r="AN909" i="1"/>
  <c r="W909" i="1"/>
  <c r="AN765" i="1"/>
  <c r="W765" i="1"/>
  <c r="AN637" i="1"/>
  <c r="W637" i="1"/>
  <c r="AN605" i="1"/>
  <c r="W605" i="1"/>
  <c r="AN553" i="1"/>
  <c r="W553" i="1"/>
  <c r="AN836" i="1"/>
  <c r="W836" i="1"/>
  <c r="AN772" i="1"/>
  <c r="W772" i="1"/>
  <c r="AN680" i="1"/>
  <c r="W680" i="1"/>
  <c r="AN612" i="1"/>
  <c r="W612" i="1"/>
  <c r="AN891" i="1"/>
  <c r="W891" i="1"/>
  <c r="AN763" i="1"/>
  <c r="W763" i="1"/>
  <c r="AN731" i="1"/>
  <c r="W731" i="1"/>
  <c r="AN611" i="1"/>
  <c r="W611" i="1"/>
  <c r="AN579" i="1"/>
  <c r="W579" i="1"/>
  <c r="AN519" i="1"/>
  <c r="W519" i="1"/>
  <c r="AN471" i="1"/>
  <c r="W471" i="1"/>
  <c r="AN854" i="1"/>
  <c r="W854" i="1"/>
  <c r="AN790" i="1"/>
  <c r="W790" i="1"/>
  <c r="AN698" i="1"/>
  <c r="W698" i="1"/>
  <c r="AN482" i="1"/>
  <c r="W482" i="1"/>
  <c r="AN418" i="1"/>
  <c r="W418" i="1"/>
  <c r="AN346" i="1"/>
  <c r="W346" i="1"/>
  <c r="AN218" i="1"/>
  <c r="W218" i="1"/>
  <c r="AN182" i="1"/>
  <c r="W182" i="1"/>
  <c r="AN38" i="1"/>
  <c r="W38" i="1"/>
  <c r="AN485" i="1"/>
  <c r="W485" i="1"/>
  <c r="AN373" i="1"/>
  <c r="W373" i="1"/>
  <c r="AN229" i="1"/>
  <c r="W229" i="1"/>
  <c r="AN153" i="1"/>
  <c r="W153" i="1"/>
  <c r="AN117" i="1"/>
  <c r="W117" i="1"/>
  <c r="AN13" i="1"/>
  <c r="W13" i="1"/>
  <c r="AN432" i="1"/>
  <c r="W432" i="1"/>
  <c r="AN40" i="1"/>
  <c r="W40" i="1"/>
  <c r="AN447" i="1"/>
  <c r="W447" i="1"/>
  <c r="AN363" i="1"/>
  <c r="W363" i="1"/>
  <c r="AN247" i="1"/>
  <c r="W247" i="1"/>
  <c r="W709" i="1"/>
  <c r="W581" i="1"/>
  <c r="W928" i="1"/>
  <c r="W864" i="1"/>
  <c r="W800" i="1"/>
  <c r="W672" i="1"/>
  <c r="W927" i="1"/>
  <c r="W863" i="1"/>
  <c r="W799" i="1"/>
  <c r="W735" i="1"/>
  <c r="W543" i="1"/>
  <c r="W479" i="1"/>
  <c r="W894" i="1"/>
  <c r="W766" i="1"/>
  <c r="W702" i="1"/>
  <c r="W638" i="1"/>
  <c r="W574" i="1"/>
  <c r="W510" i="1"/>
  <c r="W446" i="1"/>
  <c r="W318" i="1"/>
  <c r="W126" i="1"/>
  <c r="W62" i="1"/>
  <c r="W521" i="1"/>
  <c r="W445" i="1"/>
  <c r="W897" i="1"/>
  <c r="W833" i="1"/>
  <c r="W769" i="1"/>
  <c r="W641" i="1"/>
  <c r="W924" i="1"/>
  <c r="W860" i="1"/>
  <c r="W668" i="1"/>
  <c r="W588" i="1"/>
  <c r="W587" i="1"/>
  <c r="W459" i="1"/>
  <c r="W810" i="1"/>
  <c r="W170" i="1"/>
  <c r="W42" i="1"/>
  <c r="W893" i="1"/>
  <c r="W697" i="1"/>
  <c r="W569" i="1"/>
  <c r="W724" i="1"/>
  <c r="W596" i="1"/>
  <c r="W915" i="1"/>
  <c r="W531" i="1"/>
  <c r="W882" i="1"/>
  <c r="W754" i="1"/>
  <c r="W781" i="1"/>
  <c r="W621" i="1"/>
  <c r="W536" i="1"/>
  <c r="W502" i="1"/>
  <c r="W315" i="1"/>
  <c r="W626" i="1"/>
  <c r="W242" i="1"/>
  <c r="W114" i="1"/>
  <c r="W505" i="1"/>
  <c r="W213" i="1"/>
  <c r="W69" i="1"/>
  <c r="W412" i="1"/>
  <c r="W121" i="1"/>
  <c r="W320" i="1"/>
  <c r="W180" i="1"/>
  <c r="W343" i="1"/>
  <c r="W203" i="1"/>
  <c r="W39" i="1"/>
  <c r="W808" i="1"/>
  <c r="W342" i="1"/>
  <c r="W93" i="1"/>
  <c r="W132" i="1"/>
  <c r="W175" i="1"/>
  <c r="W24" i="1"/>
  <c r="W29" i="1"/>
  <c r="W368" i="1"/>
  <c r="W224" i="1"/>
  <c r="W391" i="1"/>
  <c r="W251" i="1"/>
  <c r="W19" i="1"/>
  <c r="W646" i="1"/>
  <c r="W310" i="1"/>
  <c r="W885" i="1"/>
  <c r="W821" i="1"/>
  <c r="W757" i="1"/>
  <c r="W629" i="1"/>
  <c r="W848" i="1"/>
  <c r="W784" i="1"/>
  <c r="W592" i="1"/>
  <c r="W847" i="1"/>
  <c r="W527" i="1"/>
  <c r="W463" i="1"/>
  <c r="W878" i="1"/>
  <c r="W750" i="1"/>
  <c r="W686" i="1"/>
  <c r="W366" i="1"/>
  <c r="W302" i="1"/>
  <c r="W110" i="1"/>
  <c r="W46" i="1"/>
  <c r="W353" i="1"/>
  <c r="W817" i="1"/>
  <c r="W753" i="1"/>
  <c r="W625" i="1"/>
  <c r="W908" i="1"/>
  <c r="W716" i="1"/>
  <c r="W778" i="1"/>
  <c r="W522" i="1"/>
  <c r="W394" i="1"/>
  <c r="W861" i="1"/>
  <c r="W793" i="1"/>
  <c r="W665" i="1"/>
  <c r="W537" i="1"/>
  <c r="W692" i="1"/>
  <c r="W755" i="1"/>
  <c r="W627" i="1"/>
  <c r="W855" i="1"/>
  <c r="W211" i="1"/>
  <c r="W439" i="1"/>
  <c r="W466" i="1"/>
  <c r="W338" i="1"/>
  <c r="W82" i="1"/>
  <c r="W317" i="1"/>
  <c r="W37" i="1"/>
  <c r="W324" i="1"/>
  <c r="W85" i="1"/>
  <c r="W284" i="1"/>
  <c r="W140" i="1"/>
  <c r="W451" i="1"/>
  <c r="W23" i="1"/>
  <c r="W823" i="1"/>
  <c r="W487" i="1"/>
  <c r="W582" i="1"/>
  <c r="W246" i="1"/>
  <c r="W417" i="1"/>
  <c r="W472" i="1"/>
  <c r="W64" i="1"/>
  <c r="W51" i="1"/>
  <c r="W331" i="1"/>
  <c r="W421" i="1"/>
  <c r="W137" i="1"/>
  <c r="W192" i="1"/>
  <c r="W355" i="1"/>
  <c r="W215" i="1"/>
  <c r="W550" i="1"/>
  <c r="AN226" i="1"/>
  <c r="W226" i="1"/>
  <c r="AN489" i="1"/>
  <c r="W489" i="1"/>
  <c r="AN337" i="1"/>
  <c r="W337" i="1"/>
  <c r="AN253" i="1"/>
  <c r="W253" i="1"/>
  <c r="AN312" i="1"/>
  <c r="W312" i="1"/>
  <c r="AN228" i="1"/>
  <c r="W228" i="1"/>
  <c r="AN68" i="1"/>
  <c r="W68" i="1"/>
  <c r="AN267" i="1"/>
  <c r="W267" i="1"/>
  <c r="AN127" i="1"/>
  <c r="W127" i="1"/>
  <c r="AN43" i="1"/>
  <c r="W43" i="1"/>
  <c r="AN713" i="1"/>
  <c r="W713" i="1"/>
  <c r="AN740" i="1"/>
  <c r="W740" i="1"/>
  <c r="AN600" i="1"/>
  <c r="W600" i="1"/>
  <c r="AN931" i="1"/>
  <c r="W931" i="1"/>
  <c r="AN835" i="1"/>
  <c r="W835" i="1"/>
  <c r="AN791" i="1"/>
  <c r="W791" i="1"/>
  <c r="AN711" i="1"/>
  <c r="W711" i="1"/>
  <c r="AN603" i="1"/>
  <c r="W603" i="1"/>
  <c r="AN535" i="1"/>
  <c r="W535" i="1"/>
  <c r="AN507" i="1"/>
  <c r="W507" i="1"/>
  <c r="AN475" i="1"/>
  <c r="W475" i="1"/>
  <c r="AN822" i="1"/>
  <c r="W822" i="1"/>
  <c r="AN794" i="1"/>
  <c r="W794" i="1"/>
  <c r="AN738" i="1"/>
  <c r="W738" i="1"/>
  <c r="AN630" i="1"/>
  <c r="W630" i="1"/>
  <c r="AN474" i="1"/>
  <c r="W474" i="1"/>
  <c r="AN450" i="1"/>
  <c r="W450" i="1"/>
  <c r="AN374" i="1"/>
  <c r="W374" i="1"/>
  <c r="AN282" i="1"/>
  <c r="W282" i="1"/>
  <c r="AN258" i="1"/>
  <c r="W258" i="1"/>
  <c r="AN194" i="1"/>
  <c r="W194" i="1"/>
  <c r="AN154" i="1"/>
  <c r="W154" i="1"/>
  <c r="AN449" i="1"/>
  <c r="W449" i="1"/>
  <c r="AN365" i="1"/>
  <c r="W365" i="1"/>
  <c r="AN301" i="1"/>
  <c r="W301" i="1"/>
  <c r="AN173" i="1"/>
  <c r="W173" i="1"/>
  <c r="AN101" i="1"/>
  <c r="W101" i="1"/>
  <c r="AN41" i="1"/>
  <c r="W41" i="1"/>
  <c r="AN444" i="1"/>
  <c r="W444" i="1"/>
  <c r="AN348" i="1"/>
  <c r="W348" i="1"/>
  <c r="AN268" i="1"/>
  <c r="W268" i="1"/>
  <c r="AN240" i="1"/>
  <c r="W240" i="1"/>
  <c r="AN216" i="1"/>
  <c r="W216" i="1"/>
  <c r="AN108" i="1"/>
  <c r="W108" i="1"/>
  <c r="AN88" i="1"/>
  <c r="W88" i="1"/>
  <c r="AN411" i="1"/>
  <c r="W411" i="1"/>
  <c r="AN303" i="1"/>
  <c r="W303" i="1"/>
  <c r="AN231" i="1"/>
  <c r="W231" i="1"/>
  <c r="AN199" i="1"/>
  <c r="W199" i="1"/>
  <c r="AN139" i="1"/>
  <c r="W139" i="1"/>
  <c r="AN71" i="1"/>
  <c r="W71" i="1"/>
  <c r="AN845" i="1"/>
  <c r="W845" i="1"/>
  <c r="AN777" i="1"/>
  <c r="W777" i="1"/>
  <c r="AN856" i="1"/>
  <c r="W856" i="1"/>
  <c r="AN760" i="1"/>
  <c r="W760" i="1"/>
  <c r="AN548" i="1"/>
  <c r="W548" i="1"/>
  <c r="AN775" i="1"/>
  <c r="W775" i="1"/>
  <c r="AN739" i="1"/>
  <c r="W739" i="1"/>
  <c r="AN707" i="1"/>
  <c r="W707" i="1"/>
  <c r="AN635" i="1"/>
  <c r="W635" i="1"/>
  <c r="AN930" i="1"/>
  <c r="W930" i="1"/>
  <c r="AN834" i="1"/>
  <c r="W834" i="1"/>
  <c r="AN534" i="1"/>
  <c r="W534" i="1"/>
  <c r="AN58" i="1"/>
  <c r="W58" i="1"/>
  <c r="AN257" i="1"/>
  <c r="W257" i="1"/>
  <c r="AN185" i="1"/>
  <c r="W185" i="1"/>
  <c r="AN141" i="1"/>
  <c r="W141" i="1"/>
  <c r="AN81" i="1"/>
  <c r="W81" i="1"/>
  <c r="AN25" i="1"/>
  <c r="W25" i="1"/>
  <c r="AN400" i="1"/>
  <c r="W400" i="1"/>
  <c r="AN292" i="1"/>
  <c r="W292" i="1"/>
  <c r="AN96" i="1"/>
  <c r="W96" i="1"/>
  <c r="AN435" i="1"/>
  <c r="W435" i="1"/>
  <c r="AN339" i="1"/>
  <c r="W339" i="1"/>
  <c r="AN151" i="1"/>
  <c r="W151" i="1"/>
  <c r="W805" i="1"/>
  <c r="W741" i="1"/>
  <c r="W704" i="1"/>
  <c r="W640" i="1"/>
  <c r="W576" i="1"/>
  <c r="W512" i="1"/>
  <c r="W895" i="1"/>
  <c r="W639" i="1"/>
  <c r="W798" i="1"/>
  <c r="W734" i="1"/>
  <c r="W670" i="1"/>
  <c r="W542" i="1"/>
  <c r="W478" i="1"/>
  <c r="W350" i="1"/>
  <c r="W222" i="1"/>
  <c r="W158" i="1"/>
  <c r="W329" i="1"/>
  <c r="W265" i="1"/>
  <c r="W189" i="1"/>
  <c r="W609" i="1"/>
  <c r="W545" i="1"/>
  <c r="W828" i="1"/>
  <c r="W764" i="1"/>
  <c r="W907" i="1"/>
  <c r="W779" i="1"/>
  <c r="W651" i="1"/>
  <c r="W523" i="1"/>
  <c r="W618" i="1"/>
  <c r="W362" i="1"/>
  <c r="W234" i="1"/>
  <c r="W829" i="1"/>
  <c r="W916" i="1"/>
  <c r="W788" i="1"/>
  <c r="W851" i="1"/>
  <c r="W723" i="1"/>
  <c r="W685" i="1"/>
  <c r="W742" i="1"/>
  <c r="W217" i="1"/>
  <c r="W275" i="1"/>
  <c r="W562" i="1"/>
  <c r="W434" i="1"/>
  <c r="W306" i="1"/>
  <c r="W50" i="1"/>
  <c r="W429" i="1"/>
  <c r="W285" i="1"/>
  <c r="W145" i="1"/>
  <c r="W5" i="1"/>
  <c r="W392" i="1"/>
  <c r="W271" i="1"/>
  <c r="W541" i="1"/>
  <c r="W632" i="1"/>
  <c r="W870" i="1"/>
  <c r="W486" i="1"/>
  <c r="W289" i="1"/>
  <c r="W171" i="1"/>
  <c r="W385" i="1"/>
  <c r="W296" i="1"/>
  <c r="W156" i="1"/>
  <c r="W12" i="1"/>
  <c r="W323" i="1"/>
  <c r="W904" i="1"/>
  <c r="W568" i="1"/>
  <c r="W806" i="1"/>
  <c r="W150" i="1"/>
  <c r="AP18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2" i="1"/>
  <c r="AP19" i="1" l="1"/>
  <c r="AP15" i="1"/>
  <c r="AP14" i="1"/>
</calcChain>
</file>

<file path=xl/sharedStrings.xml><?xml version="1.0" encoding="utf-8"?>
<sst xmlns="http://schemas.openxmlformats.org/spreadsheetml/2006/main" count="12277" uniqueCount="2838">
  <si>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</si>
  <si>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</si>
  <si>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</si>
  <si>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</si>
  <si>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</si>
  <si>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</si>
  <si>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</si>
  <si>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</si>
  <si>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</si>
  <si>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</si>
  <si>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</si>
  <si>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</si>
  <si>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</si>
  <si>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</si>
  <si>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</si>
  <si>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</si>
  <si>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</si>
  <si>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</si>
  <si>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</si>
  <si>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</si>
  <si>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</si>
  <si>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</si>
  <si>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</si>
  <si>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</si>
  <si>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</si>
  <si>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</si>
  <si>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</si>
  <si>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</si>
  <si>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</si>
  <si>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</si>
  <si>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</si>
  <si>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</si>
  <si>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</si>
  <si>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</si>
  <si>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</si>
  <si>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</si>
  <si>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</si>
  <si>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</si>
  <si>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</si>
  <si>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</si>
  <si>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</si>
  <si>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</si>
  <si>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</si>
  <si>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</si>
  <si>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</si>
  <si>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</si>
  <si>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</si>
  <si>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</si>
  <si>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</si>
  <si>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</si>
  <si>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</si>
  <si>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</si>
  <si>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</si>
  <si>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</si>
  <si>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</si>
  <si>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</si>
  <si>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</si>
  <si>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</si>
  <si>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</si>
  <si>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</si>
  <si>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</si>
  <si>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</si>
  <si>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</si>
  <si>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</si>
  <si>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</si>
  <si>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</si>
  <si>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</si>
  <si>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</si>
  <si>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</si>
  <si>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</si>
  <si>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</si>
  <si>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</si>
  <si>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</si>
  <si>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</si>
  <si>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</si>
  <si>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</si>
  <si>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</si>
  <si>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</si>
  <si>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</si>
  <si>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</si>
  <si>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</si>
  <si>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</si>
  <si>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</si>
  <si>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</si>
  <si>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</si>
  <si>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</si>
  <si>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</si>
  <si>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</si>
  <si>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</si>
  <si>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</si>
  <si>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</si>
  <si>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</si>
  <si>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</si>
  <si>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</si>
  <si>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</si>
  <si>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</si>
  <si>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</si>
  <si>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</si>
  <si>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</si>
  <si>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</si>
  <si>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</si>
  <si>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</si>
  <si>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</si>
  <si>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</si>
  <si>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</si>
  <si>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</si>
  <si>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</si>
  <si>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</si>
  <si>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</si>
  <si>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</si>
  <si>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</si>
  <si>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</si>
  <si>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</si>
  <si>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</si>
  <si>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</si>
  <si>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</si>
  <si>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</si>
  <si>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</si>
  <si>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</si>
  <si>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</si>
  <si>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</si>
  <si>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</si>
  <si>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</si>
  <si>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</si>
  <si>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</si>
  <si>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</si>
  <si>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</si>
  <si>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</si>
  <si>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</si>
  <si>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</si>
  <si>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</si>
  <si>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</si>
  <si>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</si>
  <si>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</si>
  <si>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</si>
  <si>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</si>
  <si>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</si>
  <si>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</si>
  <si>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</si>
  <si>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</si>
  <si>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</si>
  <si>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</si>
  <si>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</si>
  <si>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</si>
  <si>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</si>
  <si>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</si>
  <si>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</si>
  <si>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</si>
  <si>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</si>
  <si>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</si>
  <si>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</si>
  <si>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</si>
  <si>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</si>
  <si>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</si>
  <si>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</si>
  <si>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</si>
  <si>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</si>
  <si>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</si>
  <si>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</si>
  <si>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</si>
  <si>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</si>
  <si>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</si>
  <si>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</si>
  <si>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</si>
  <si>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</si>
  <si>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</si>
  <si>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</si>
  <si>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</si>
  <si>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</si>
  <si>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</si>
  <si>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</si>
  <si>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</si>
  <si>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</si>
  <si>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</si>
  <si>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</si>
  <si>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</si>
  <si>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</si>
  <si>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</si>
  <si>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</si>
  <si>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</si>
  <si>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</si>
  <si>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</si>
  <si>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</si>
  <si>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</si>
  <si>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</si>
  <si>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</si>
  <si>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</si>
  <si>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</si>
  <si>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</si>
  <si>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</si>
  <si>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</si>
  <si>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</si>
  <si>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</si>
  <si>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</si>
  <si>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</si>
  <si>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</si>
  <si>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</si>
  <si>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</si>
  <si>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</si>
  <si>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</si>
  <si>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</si>
  <si>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</si>
  <si>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</si>
  <si>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</si>
  <si>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</si>
  <si>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</si>
  <si>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</si>
  <si>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</si>
  <si>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</si>
  <si>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</si>
  <si>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</si>
  <si>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</si>
  <si>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</si>
  <si>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</si>
  <si>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</si>
  <si>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</si>
  <si>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</si>
  <si>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</si>
  <si>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</si>
  <si>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</si>
  <si>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</si>
  <si>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</si>
  <si>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</si>
  <si>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</si>
  <si>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</si>
  <si>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</si>
  <si>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</si>
  <si>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</si>
  <si>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</si>
  <si>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</si>
  <si>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</si>
  <si>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</si>
  <si>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</si>
  <si>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</si>
  <si>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</si>
  <si>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</si>
  <si>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</si>
  <si>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</si>
  <si>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</si>
  <si>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</si>
  <si>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</si>
  <si>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</si>
  <si>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</si>
  <si>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</si>
  <si>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</si>
  <si>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</si>
  <si>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</si>
  <si>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</si>
  <si>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</si>
  <si>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</si>
  <si>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</si>
  <si>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</si>
  <si>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</si>
  <si>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</si>
  <si>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</si>
  <si>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</si>
  <si>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</si>
  <si>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</si>
  <si>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</si>
  <si>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</si>
  <si>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</si>
  <si>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</si>
  <si>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</si>
  <si>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</si>
  <si>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</si>
  <si>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</si>
  <si>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</si>
  <si>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</si>
  <si>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</si>
  <si>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</si>
  <si>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</si>
  <si>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</si>
  <si>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</si>
  <si>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</si>
  <si>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</si>
  <si>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</si>
  <si>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</si>
  <si>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</si>
  <si>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</si>
  <si>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</si>
  <si>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</si>
  <si>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</si>
  <si>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</si>
  <si>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</si>
  <si>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</si>
  <si>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</si>
  <si>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</si>
  <si>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</si>
  <si>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</si>
  <si>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</si>
  <si>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</si>
  <si>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</si>
  <si>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</si>
  <si>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</si>
  <si>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</si>
  <si>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</si>
  <si>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</si>
  <si>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</si>
  <si>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</si>
  <si>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</si>
  <si>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</si>
  <si>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</si>
  <si>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</si>
  <si>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</si>
  <si>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</si>
  <si>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</si>
  <si>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</si>
  <si>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</si>
  <si>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</si>
  <si>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</si>
  <si>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</si>
  <si>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</si>
  <si>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</si>
  <si>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</si>
  <si>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</si>
  <si>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</si>
  <si>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</si>
  <si>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</si>
  <si>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</si>
  <si>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</si>
  <si>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</si>
  <si>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</si>
  <si>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</si>
  <si>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</si>
  <si>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</si>
  <si>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</si>
  <si>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</si>
  <si>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</si>
  <si>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</si>
  <si>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</si>
  <si>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</si>
  <si>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</si>
  <si>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</si>
  <si>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</si>
  <si>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</si>
  <si>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</si>
  <si>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</si>
  <si>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</si>
  <si>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</si>
  <si>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</si>
  <si>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</si>
  <si>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</si>
  <si>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</si>
  <si>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</si>
  <si>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</si>
  <si>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</si>
  <si>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</si>
  <si>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</si>
  <si>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</si>
  <si>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</si>
  <si>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</si>
  <si>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</si>
  <si>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</si>
  <si>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</si>
  <si>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</si>
  <si>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</si>
  <si>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</si>
  <si>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</si>
  <si>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</si>
  <si>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</si>
  <si>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</si>
  <si>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</si>
  <si>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</si>
  <si>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</si>
  <si>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</si>
  <si>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</si>
  <si>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</si>
  <si>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</si>
  <si>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</si>
  <si>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</si>
  <si>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</si>
  <si>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</si>
  <si>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</si>
  <si>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</si>
  <si>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</si>
  <si>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</si>
  <si>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</si>
  <si>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</si>
  <si>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</si>
  <si>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</si>
  <si>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</si>
  <si>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</si>
  <si>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</si>
  <si>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</si>
  <si>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</si>
  <si>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</si>
  <si>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</si>
  <si>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</si>
  <si>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</si>
  <si>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</si>
  <si>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</si>
  <si>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</si>
  <si>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</si>
  <si>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</si>
  <si>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</si>
  <si>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</si>
  <si>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</si>
  <si>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</si>
  <si>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</si>
  <si>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</si>
  <si>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</si>
  <si>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</si>
  <si>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</si>
  <si>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</si>
  <si>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</si>
  <si>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</si>
  <si>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</si>
  <si>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</si>
  <si>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</si>
  <si>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</si>
  <si>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</si>
  <si>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</si>
  <si>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</si>
  <si>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</si>
  <si>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</si>
  <si>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</si>
  <si>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</si>
  <si>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</si>
  <si>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</si>
  <si>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</si>
  <si>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</si>
  <si>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</si>
  <si>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</si>
  <si>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</si>
  <si>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</si>
  <si>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</si>
  <si>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</si>
  <si>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</si>
  <si>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</si>
  <si>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</si>
  <si>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</si>
  <si>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</si>
  <si>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</si>
  <si>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</si>
  <si>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</si>
  <si>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</si>
  <si>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</si>
  <si>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</si>
  <si>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</si>
  <si>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</si>
  <si>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</si>
  <si>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</si>
  <si>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</si>
  <si>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</si>
  <si>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</si>
  <si>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</si>
  <si>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</si>
  <si>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</si>
  <si>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</si>
  <si>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</si>
  <si>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</si>
  <si>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</si>
  <si>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</si>
  <si>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</si>
  <si>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</si>
  <si>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</si>
  <si>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</si>
  <si>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</si>
  <si>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</si>
  <si>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</si>
  <si>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</si>
  <si>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</si>
  <si>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</si>
  <si>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</si>
  <si>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</si>
  <si>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</si>
  <si>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</si>
  <si>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</si>
  <si>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</si>
  <si>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</si>
  <si>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</si>
  <si>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</si>
  <si>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</si>
  <si>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</si>
  <si>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</si>
  <si>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</si>
  <si>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</si>
  <si>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</si>
  <si>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</si>
  <si>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</si>
  <si>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</si>
  <si>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</si>
  <si>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</si>
  <si>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</si>
  <si>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</si>
  <si>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</si>
  <si>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</si>
  <si>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</si>
  <si>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</si>
  <si>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</si>
  <si>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</si>
  <si>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</si>
  <si>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</si>
  <si>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</si>
  <si>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</si>
  <si>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</si>
  <si>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</si>
  <si>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</si>
  <si>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</si>
  <si>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</si>
  <si>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</si>
  <si>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</si>
  <si>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</si>
  <si>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</si>
  <si>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</si>
  <si>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</si>
  <si>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</si>
  <si>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</si>
  <si>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</si>
  <si>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</si>
  <si>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</si>
  <si>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</si>
  <si>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</si>
  <si>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</si>
  <si>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</si>
  <si>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</si>
  <si>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</si>
  <si>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</si>
  <si>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</si>
  <si>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</si>
  <si>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</si>
  <si>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</si>
  <si>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</si>
  <si>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</si>
  <si>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</si>
  <si>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</si>
  <si>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</si>
  <si>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</si>
  <si>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</si>
  <si>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</si>
  <si>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</si>
  <si>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</si>
  <si>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</si>
  <si>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</si>
  <si>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</si>
  <si>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</si>
  <si>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</si>
  <si>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</si>
  <si>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</si>
  <si>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</si>
  <si>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</si>
  <si>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</si>
  <si>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</si>
  <si>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</si>
  <si>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</si>
  <si>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</si>
  <si>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</si>
  <si>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</si>
  <si>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</si>
  <si>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</si>
  <si>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</si>
  <si>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</si>
  <si>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</si>
  <si>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</si>
  <si>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</si>
  <si>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</si>
  <si>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</si>
  <si>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</si>
  <si>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</si>
  <si>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</si>
  <si>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</si>
  <si>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</si>
  <si>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</si>
  <si>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</si>
  <si>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</si>
  <si>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</si>
  <si>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</si>
  <si>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</si>
  <si>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</si>
  <si>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</si>
  <si>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</si>
  <si>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</si>
  <si>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</si>
  <si>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</si>
  <si>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</si>
  <si>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</si>
  <si>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</si>
  <si>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</si>
  <si>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</si>
  <si>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</si>
  <si>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</si>
  <si>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</si>
  <si>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</si>
  <si>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</si>
  <si>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</si>
  <si>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</si>
  <si>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</si>
  <si>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</si>
  <si>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</si>
  <si>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</si>
  <si>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</si>
  <si>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</si>
  <si>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</si>
  <si>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</si>
  <si>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</si>
  <si>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</si>
  <si>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</si>
  <si>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</si>
  <si>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</si>
  <si>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</si>
  <si>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</si>
  <si>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</si>
  <si>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</si>
  <si>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</si>
  <si>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</si>
  <si>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</si>
  <si>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</si>
  <si>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</si>
  <si>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</si>
  <si>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</si>
  <si>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</si>
  <si>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</si>
  <si>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</si>
  <si>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</si>
  <si>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</si>
  <si>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</si>
  <si>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</si>
  <si>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</si>
  <si>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</si>
  <si>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</si>
  <si>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</si>
  <si>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</si>
  <si>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</si>
  <si>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</si>
  <si>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</si>
  <si>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</si>
  <si>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</si>
  <si>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</si>
  <si>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</si>
  <si>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</si>
  <si>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</si>
  <si>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</si>
  <si>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</si>
  <si>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</si>
  <si>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</si>
  <si>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</si>
  <si>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</si>
  <si>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</si>
  <si>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</si>
  <si>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</si>
  <si>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</si>
  <si>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</si>
  <si>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</si>
  <si>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</si>
  <si>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</si>
  <si>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</si>
  <si>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</si>
  <si>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</si>
  <si>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</si>
  <si>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</si>
  <si>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</si>
  <si>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</si>
  <si>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</si>
  <si>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</si>
  <si>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</si>
  <si>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</si>
  <si>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</si>
  <si>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</si>
  <si>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</si>
  <si>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</si>
  <si>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</si>
  <si>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</si>
  <si>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</si>
  <si>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</si>
  <si>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</si>
  <si>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</si>
  <si>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</si>
  <si>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</si>
  <si>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</si>
  <si>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</si>
  <si>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</si>
  <si>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</si>
  <si>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</si>
  <si>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</si>
  <si>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</si>
  <si>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</si>
  <si>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</si>
  <si>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</si>
  <si>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</si>
  <si>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</si>
  <si>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</si>
  <si>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</si>
  <si>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</si>
  <si>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</si>
  <si>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</si>
  <si>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</si>
  <si>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</si>
  <si>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</si>
  <si>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</si>
  <si>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</si>
  <si>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</si>
  <si>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</si>
  <si>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</si>
  <si>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</si>
  <si>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</si>
  <si>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</si>
  <si>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</si>
  <si>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</si>
  <si>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</si>
  <si>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</si>
  <si>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</si>
  <si>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</si>
  <si>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</si>
  <si>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</si>
  <si>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</si>
  <si>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</si>
  <si>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</si>
  <si>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</si>
  <si>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</si>
  <si>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</si>
  <si>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</si>
  <si>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</si>
  <si>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</si>
  <si>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</si>
  <si>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</si>
  <si>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</si>
  <si>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</si>
  <si>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</si>
  <si>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</si>
  <si>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</si>
  <si>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</si>
  <si>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</si>
  <si>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</si>
  <si>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</si>
  <si>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</si>
  <si>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</si>
  <si>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</si>
  <si>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</si>
  <si>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</si>
  <si>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</si>
  <si>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</si>
  <si>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</si>
  <si>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</si>
  <si>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</si>
  <si>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</si>
  <si>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</si>
  <si>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</si>
  <si>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</si>
  <si>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</si>
  <si>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</si>
  <si>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</si>
  <si>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</si>
  <si>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</si>
  <si>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</si>
  <si>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</si>
  <si>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</si>
  <si>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</si>
  <si>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</si>
  <si>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</si>
  <si>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</si>
  <si>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</si>
  <si>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</si>
  <si>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</si>
  <si>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</si>
  <si>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</si>
  <si>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</si>
  <si>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</si>
  <si>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</si>
  <si>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</si>
  <si>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</si>
  <si>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</si>
  <si>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</si>
  <si>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</si>
  <si>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</si>
  <si>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</si>
  <si>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</si>
  <si>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</si>
  <si>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</si>
  <si>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</si>
  <si>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</si>
  <si>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</si>
  <si>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</si>
  <si>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</si>
  <si>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</si>
  <si>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</si>
  <si>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</si>
  <si>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</si>
  <si>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</si>
  <si>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</si>
  <si>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</si>
  <si>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</si>
  <si>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</si>
  <si>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</si>
  <si>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</si>
  <si>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</si>
  <si>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</si>
  <si>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</si>
  <si>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</si>
  <si>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</si>
  <si>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</si>
  <si>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</si>
  <si>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</si>
  <si>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</si>
  <si>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</si>
  <si>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</si>
  <si>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</si>
  <si>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</si>
  <si>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</si>
  <si>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</si>
  <si>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</si>
  <si>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</si>
  <si>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</si>
  <si>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</si>
  <si>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</si>
  <si>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</si>
  <si>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</si>
  <si>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</si>
  <si>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</si>
  <si>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</si>
  <si>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</si>
  <si>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</si>
  <si>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</si>
  <si>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</si>
  <si>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</si>
  <si>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</si>
  <si>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</si>
  <si>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</si>
  <si>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</si>
  <si>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</si>
  <si>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</si>
  <si>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</si>
  <si>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</si>
  <si>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</si>
  <si>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</si>
  <si>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</si>
  <si>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</si>
  <si>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</si>
  <si>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</si>
  <si>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</si>
  <si>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</si>
  <si>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</si>
  <si>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</si>
  <si>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</si>
  <si>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</si>
  <si>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</si>
  <si>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</si>
  <si>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</si>
  <si>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</si>
  <si>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</si>
  <si>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</si>
  <si>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</si>
  <si>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</si>
  <si>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</si>
  <si>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</si>
  <si>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</si>
  <si>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</si>
  <si>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</si>
  <si>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</si>
  <si>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</si>
  <si>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</si>
  <si>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</si>
  <si>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</si>
  <si>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</si>
  <si>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</si>
  <si>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</si>
  <si>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</si>
  <si>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</si>
  <si>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</si>
  <si>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</si>
  <si>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</si>
  <si>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</si>
  <si>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</si>
  <si>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</si>
  <si>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</si>
  <si>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</si>
  <si>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</si>
  <si>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</si>
  <si>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</si>
  <si>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</si>
  <si>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</si>
  <si>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</si>
  <si>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</si>
  <si>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</si>
  <si>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</si>
  <si>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</si>
  <si>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</si>
  <si>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</si>
  <si>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</si>
  <si>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</si>
  <si>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</si>
  <si>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</si>
  <si>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</si>
  <si>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</si>
  <si>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</si>
  <si>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</si>
  <si>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</si>
  <si>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</si>
  <si>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</si>
  <si>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</si>
  <si>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</si>
  <si>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</si>
  <si>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</si>
  <si>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</si>
  <si>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</si>
  <si>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</si>
  <si>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</si>
  <si>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</si>
  <si>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</si>
  <si>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</si>
  <si>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</si>
  <si>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</si>
  <si>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</si>
  <si>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</si>
  <si>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</si>
  <si>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</si>
  <si>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</si>
  <si>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</si>
  <si>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</si>
  <si>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</si>
  <si>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</si>
  <si>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</si>
  <si>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</si>
  <si>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</si>
  <si>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</si>
  <si>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</si>
  <si>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</si>
  <si>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</si>
  <si>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</si>
  <si>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</si>
  <si>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</si>
  <si>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</si>
  <si>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</si>
  <si>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</si>
  <si>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</si>
  <si>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</si>
  <si>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</si>
  <si>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</si>
  <si>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</si>
  <si>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</si>
  <si>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</si>
  <si>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</si>
  <si>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</si>
  <si>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</si>
  <si>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</si>
  <si>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</si>
  <si>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</si>
  <si>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</si>
  <si>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</si>
  <si>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</si>
  <si>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</si>
  <si>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</si>
  <si>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</si>
  <si>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</si>
  <si>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</si>
  <si>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</si>
  <si>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</si>
  <si>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</si>
  <si>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</si>
  <si>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</si>
  <si>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</si>
  <si>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</si>
  <si>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</si>
  <si>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</si>
  <si>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</si>
  <si>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</si>
  <si>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</si>
  <si>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</si>
  <si>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</si>
  <si>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</si>
  <si>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</si>
  <si>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</si>
  <si>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</si>
  <si>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</si>
  <si>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</si>
  <si>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</si>
  <si>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</si>
  <si>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</si>
  <si>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</si>
  <si>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</si>
  <si>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</si>
  <si>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</si>
  <si>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</si>
  <si>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</si>
  <si>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</si>
  <si>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</si>
  <si>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</si>
  <si>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</si>
  <si>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</si>
  <si>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</si>
  <si>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</si>
  <si>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</si>
  <si>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</si>
  <si>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</si>
  <si>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</si>
  <si>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</si>
  <si>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</si>
  <si>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</si>
  <si>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</si>
  <si>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</si>
  <si>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</si>
  <si>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</si>
  <si>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</si>
  <si>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</si>
  <si>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</si>
  <si>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</si>
  <si>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</si>
  <si>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</si>
  <si>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</si>
  <si>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</si>
  <si>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</si>
  <si>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</si>
  <si>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</si>
  <si>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</si>
  <si>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</si>
  <si>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</si>
  <si>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</si>
  <si>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</si>
  <si>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</si>
  <si>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</si>
  <si>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</si>
  <si>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</si>
  <si>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</si>
  <si>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</si>
  <si>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</si>
  <si>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</si>
  <si>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</si>
  <si>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</si>
  <si>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</si>
  <si>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</si>
  <si>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</si>
  <si>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</si>
  <si>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</si>
  <si>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</si>
  <si>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</si>
  <si>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</si>
  <si>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</si>
  <si>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</si>
  <si>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</si>
  <si>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</si>
  <si>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</si>
  <si>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</si>
  <si>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</si>
  <si>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</si>
  <si>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</si>
  <si>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</si>
  <si>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</si>
  <si>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</si>
  <si>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</si>
  <si>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</si>
  <si>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</si>
  <si>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</si>
  <si>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</si>
  <si>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</si>
  <si>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</si>
  <si>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</si>
  <si>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</si>
  <si>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</si>
  <si>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</si>
  <si>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</si>
  <si>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</si>
  <si>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</si>
  <si>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</si>
  <si>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</si>
  <si>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</si>
  <si>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</si>
  <si>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</si>
  <si>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</si>
  <si>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</si>
  <si>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</si>
  <si>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</si>
  <si>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</si>
  <si>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</si>
  <si>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</si>
  <si>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</si>
  <si>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</si>
  <si>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</si>
  <si>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</si>
  <si>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</si>
  <si>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</si>
  <si>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</si>
  <si>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</si>
  <si>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</si>
  <si>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</si>
  <si>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</si>
  <si>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</si>
  <si>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</si>
  <si>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</si>
  <si>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</si>
  <si>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</si>
  <si>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</si>
  <si>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</si>
  <si>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</si>
  <si>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</si>
  <si>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</si>
  <si>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</si>
  <si>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</si>
  <si>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</si>
  <si>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</si>
  <si>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</si>
  <si>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</si>
  <si>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</si>
  <si>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</si>
  <si>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</si>
  <si>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</si>
  <si>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</si>
  <si>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</si>
  <si>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</si>
  <si>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</si>
  <si>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</si>
  <si>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</si>
  <si>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</si>
  <si>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</si>
  <si>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</si>
  <si>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</si>
  <si>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</si>
  <si>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</si>
  <si>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</si>
  <si>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</si>
  <si>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</si>
  <si>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</si>
  <si>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</si>
  <si>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</si>
  <si>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</si>
  <si>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</si>
  <si>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</si>
  <si>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</si>
  <si>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</si>
  <si>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</si>
  <si>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</si>
  <si>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</si>
  <si>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</si>
  <si>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</si>
  <si>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</si>
  <si>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</si>
  <si>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</si>
  <si>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</si>
  <si>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</si>
  <si>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</si>
  <si>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</si>
  <si>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</si>
  <si>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</si>
  <si>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</si>
  <si>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</si>
  <si>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</si>
  <si>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</si>
  <si>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</si>
  <si>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</si>
  <si>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</si>
  <si>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</si>
  <si>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</si>
  <si>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</si>
  <si>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</si>
  <si>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</si>
  <si>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</si>
  <si>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</si>
  <si>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</si>
  <si>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</si>
  <si>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</si>
  <si>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</si>
  <si>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</si>
  <si>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</si>
  <si>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</si>
  <si>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</si>
  <si>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</si>
  <si>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</si>
  <si>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</si>
  <si>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</si>
  <si>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</si>
  <si>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</si>
  <si>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</si>
  <si>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</si>
  <si>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</si>
  <si>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</si>
  <si>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</si>
  <si>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</si>
  <si>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</si>
  <si>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</si>
  <si>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</si>
  <si>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</si>
  <si>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</si>
  <si>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</si>
  <si>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</si>
  <si>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</si>
  <si>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</si>
  <si>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</si>
  <si>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</si>
  <si>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</si>
  <si>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</si>
  <si>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</si>
  <si>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</si>
  <si>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</si>
  <si>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</si>
  <si>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</si>
  <si>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</si>
  <si>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</si>
  <si>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</si>
  <si>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</si>
  <si>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</si>
  <si>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</si>
  <si>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</si>
  <si>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</si>
  <si>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</si>
  <si>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</si>
  <si>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</si>
  <si>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</si>
  <si>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</si>
  <si>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</si>
  <si>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</si>
  <si>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</si>
  <si>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</si>
  <si>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</si>
  <si>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</si>
  <si>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</si>
  <si>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</si>
  <si>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</si>
  <si>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</si>
  <si>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</si>
  <si>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</si>
  <si>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</si>
  <si>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</si>
  <si>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</si>
  <si>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</si>
  <si>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</si>
  <si>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</si>
  <si>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</si>
  <si>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</si>
  <si>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</si>
  <si>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</si>
  <si>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</si>
  <si>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</si>
  <si>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</si>
  <si>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</si>
  <si>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</si>
  <si>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</si>
  <si>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</si>
  <si>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</si>
  <si>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</si>
  <si>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</si>
  <si>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</si>
  <si>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</si>
  <si>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</si>
  <si>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</si>
  <si>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</si>
  <si>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</si>
  <si>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</si>
  <si>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</si>
  <si>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</si>
  <si>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</si>
  <si>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</si>
  <si>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</si>
  <si>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</si>
  <si>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</si>
  <si>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</si>
  <si>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</si>
  <si>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</si>
  <si>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</si>
  <si>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</si>
  <si>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</si>
  <si>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</si>
  <si>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</si>
  <si>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</si>
  <si>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</si>
  <si>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</si>
  <si>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</si>
  <si>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</si>
  <si>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</si>
  <si>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</si>
  <si>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</si>
  <si>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</si>
  <si>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</si>
  <si>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</si>
  <si>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</si>
  <si>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</si>
  <si>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</si>
  <si>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</si>
  <si>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</si>
  <si>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</si>
  <si>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</si>
  <si>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</si>
  <si>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</si>
  <si>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</si>
  <si>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</si>
  <si>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</si>
  <si>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</si>
  <si>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</si>
  <si>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</si>
  <si>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</si>
  <si>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</si>
  <si>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</si>
  <si>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</si>
  <si>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</si>
  <si>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</si>
  <si>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</si>
  <si>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</si>
  <si>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</si>
  <si>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</si>
  <si>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</si>
  <si>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</si>
  <si>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</si>
  <si>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</si>
  <si>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</si>
  <si>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</si>
  <si>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</si>
  <si>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</si>
  <si>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</si>
  <si>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</si>
  <si>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</si>
  <si>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</si>
  <si>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</si>
  <si>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</si>
  <si>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</si>
  <si>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</si>
  <si>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</si>
  <si>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</si>
  <si>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</si>
  <si>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</si>
  <si>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</si>
  <si>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</si>
  <si>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</si>
  <si>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</si>
  <si>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</si>
  <si>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</si>
  <si>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</si>
  <si>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</si>
  <si>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</si>
  <si>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</si>
  <si>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</si>
  <si>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</si>
  <si>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</si>
  <si>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</si>
  <si>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</si>
  <si>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</si>
  <si>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</si>
  <si>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</si>
  <si>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</si>
  <si>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</si>
  <si>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</si>
  <si>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</si>
  <si>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</si>
  <si>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</si>
  <si>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</si>
  <si>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</si>
  <si>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</si>
  <si>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</si>
  <si>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</si>
  <si>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</si>
  <si>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</si>
  <si>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</si>
  <si>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</si>
  <si>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</si>
  <si>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</si>
  <si>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</si>
  <si>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</si>
  <si>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</si>
  <si>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</si>
  <si>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</si>
  <si>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</si>
  <si>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</si>
  <si>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</si>
  <si>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</si>
  <si>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</si>
  <si>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</si>
  <si>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</si>
  <si>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</si>
  <si>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</si>
  <si>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</si>
  <si>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</si>
  <si>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</si>
  <si>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</si>
  <si>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</si>
  <si>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</si>
  <si>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</si>
  <si>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</si>
  <si>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</si>
  <si>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</si>
  <si>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</si>
  <si>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</si>
  <si>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</si>
  <si>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</si>
  <si>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</si>
  <si>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</si>
  <si>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</si>
  <si>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</si>
  <si>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</si>
  <si>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</si>
  <si>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</si>
  <si>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</si>
  <si>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</si>
  <si>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</si>
  <si>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</si>
  <si>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</si>
  <si>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</si>
  <si>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</si>
  <si>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</si>
  <si>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</si>
  <si>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</si>
  <si>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</si>
  <si>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</si>
  <si>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</si>
  <si>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</si>
  <si>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</si>
  <si>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</si>
  <si>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</si>
  <si>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</si>
  <si>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</si>
  <si>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</si>
  <si>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</si>
  <si>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</si>
  <si>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</si>
  <si>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</si>
  <si>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</si>
  <si>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</si>
  <si>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</si>
  <si>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</si>
  <si>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</si>
  <si>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</si>
  <si>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</si>
  <si>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</si>
  <si>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</si>
  <si>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</si>
  <si>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</si>
  <si>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</si>
  <si>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</si>
  <si>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</si>
  <si>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</si>
  <si>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</si>
  <si>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</si>
  <si>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</si>
  <si>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</si>
  <si>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</si>
  <si>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</si>
  <si>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</si>
  <si>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</si>
  <si>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</si>
  <si>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</si>
  <si>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</si>
  <si>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</si>
  <si>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</si>
  <si>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</si>
  <si>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</si>
  <si>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</si>
  <si>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</si>
  <si>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</si>
  <si>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</si>
  <si>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</si>
  <si>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</si>
  <si>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</si>
  <si>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</si>
  <si>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</si>
  <si>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</si>
  <si>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</si>
  <si>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</si>
  <si>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</si>
  <si>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</si>
  <si>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</si>
  <si>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</si>
  <si>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</si>
  <si>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</si>
  <si>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</si>
  <si>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</si>
  <si>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</si>
  <si>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</si>
  <si>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</si>
  <si>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</si>
  <si>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</si>
  <si>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</si>
  <si>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</si>
  <si>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</si>
  <si>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</si>
  <si>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</si>
  <si>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</si>
  <si>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</si>
  <si>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</si>
  <si>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</si>
  <si>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</si>
  <si>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</si>
  <si>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</si>
  <si>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</si>
  <si>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</si>
  <si>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</si>
  <si>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</si>
  <si>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</si>
  <si>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</si>
  <si>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</si>
  <si>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</si>
  <si>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</si>
  <si>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</si>
  <si>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</si>
  <si>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</si>
  <si>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</si>
  <si>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</si>
  <si>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</si>
  <si>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</si>
  <si>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</si>
  <si>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</si>
  <si>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</si>
  <si>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</si>
  <si>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</si>
  <si>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</si>
  <si>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</si>
  <si>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</si>
  <si>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</si>
  <si>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</si>
  <si>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</si>
  <si>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</si>
  <si>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</si>
  <si>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</si>
  <si>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</si>
  <si>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</si>
  <si>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</si>
  <si>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</si>
  <si>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</si>
  <si>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</si>
  <si>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</si>
  <si>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</si>
  <si>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</si>
  <si>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</si>
  <si>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</si>
  <si>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</si>
  <si>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</si>
  <si>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</si>
  <si>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</si>
  <si>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</si>
  <si>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</si>
  <si>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</si>
  <si>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</si>
  <si>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</si>
  <si>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</si>
  <si>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</si>
  <si>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</si>
  <si>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</si>
  <si>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</si>
  <si>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</si>
  <si>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</si>
  <si>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</si>
  <si>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</si>
  <si>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</si>
  <si>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</si>
  <si>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</si>
  <si>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</si>
  <si>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</si>
  <si>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</si>
  <si>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</si>
  <si>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</si>
  <si>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</si>
  <si>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</si>
  <si>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</si>
  <si>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</si>
  <si>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</si>
  <si>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</si>
  <si>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</si>
  <si>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</si>
  <si>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</si>
  <si>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</si>
  <si>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</si>
  <si>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</si>
  <si>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</si>
  <si>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</si>
  <si>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</si>
  <si>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</si>
  <si>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</si>
  <si>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</si>
  <si>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</si>
  <si>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</si>
  <si>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</si>
  <si>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</si>
  <si>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</si>
  <si>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</si>
  <si>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</si>
  <si>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</si>
  <si>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</si>
  <si>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</si>
  <si>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</si>
  <si>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</si>
  <si>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</si>
  <si>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</si>
  <si>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</si>
  <si>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</si>
  <si>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</si>
  <si>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</si>
  <si>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</si>
  <si>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</si>
  <si>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</si>
  <si>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</si>
  <si>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</si>
  <si>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</si>
  <si>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</si>
  <si>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</si>
  <si>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</si>
  <si>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</si>
  <si>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</si>
  <si>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</si>
  <si>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</si>
  <si>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</si>
  <si>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</si>
  <si>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</si>
  <si>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</si>
  <si>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</si>
  <si>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</si>
  <si>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</si>
  <si>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</si>
  <si>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</si>
  <si>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</si>
  <si>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</si>
  <si>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</si>
  <si>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</si>
  <si>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</si>
  <si>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</si>
  <si>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</si>
  <si>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</si>
  <si>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</si>
  <si>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</si>
  <si>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</si>
  <si>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</si>
  <si>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</si>
  <si>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</si>
  <si>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</si>
  <si>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</si>
  <si>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</si>
  <si>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</si>
  <si>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</si>
  <si>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</si>
  <si>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</si>
  <si>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</si>
  <si>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</si>
  <si>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</si>
  <si>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</si>
  <si>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</si>
  <si>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</si>
  <si>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</si>
  <si>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</si>
  <si>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</si>
  <si>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</si>
  <si>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</si>
  <si>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</si>
  <si>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</si>
  <si>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</si>
  <si>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</si>
  <si>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</si>
  <si>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</si>
  <si>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</si>
  <si>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</si>
  <si>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</si>
  <si>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</si>
  <si>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</si>
  <si>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</si>
  <si>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</si>
  <si>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</si>
  <si>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</si>
  <si>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</si>
  <si>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</si>
  <si>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</si>
  <si>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</si>
  <si>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</si>
  <si>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</si>
  <si>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</si>
  <si>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</si>
  <si>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</si>
  <si>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</si>
  <si>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</si>
  <si>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</si>
  <si>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</si>
  <si>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</si>
  <si>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</si>
  <si>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</si>
  <si>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</si>
  <si>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</si>
  <si>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</si>
  <si>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</si>
  <si>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</si>
  <si>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</si>
  <si>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</si>
  <si>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</si>
  <si>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</si>
  <si>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</si>
  <si>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</si>
  <si>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</si>
  <si>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</si>
  <si>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</si>
  <si>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</si>
  <si>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</si>
  <si>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</si>
  <si>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</si>
  <si>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</si>
  <si>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</si>
  <si>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</si>
  <si>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</si>
  <si>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</si>
  <si>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</si>
  <si>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</si>
  <si>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</si>
  <si>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</si>
  <si>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</si>
  <si>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</si>
  <si>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</si>
  <si>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</si>
  <si>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</si>
  <si>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</si>
  <si>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</si>
  <si>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</si>
  <si>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</si>
  <si>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</si>
  <si>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</si>
  <si>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</si>
  <si>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</si>
  <si>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</si>
  <si>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</si>
  <si>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</si>
  <si>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</si>
  <si>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</si>
  <si>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</si>
  <si>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</si>
  <si>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</si>
  <si>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</si>
  <si>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</si>
  <si>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</si>
  <si>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</si>
  <si>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</si>
  <si>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</si>
  <si>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</si>
  <si>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</si>
  <si>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</si>
  <si>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</si>
  <si>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</si>
  <si>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</si>
  <si>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</si>
  <si>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</si>
  <si>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</si>
  <si>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</si>
  <si>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</si>
  <si>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</si>
  <si>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</si>
  <si>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</si>
  <si>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</si>
  <si>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</si>
  <si>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</si>
  <si>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</si>
  <si>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</si>
  <si>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</si>
  <si>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</si>
  <si>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</si>
  <si>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</si>
  <si>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</si>
  <si>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</si>
  <si>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</si>
  <si>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</si>
  <si>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</si>
  <si>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</si>
  <si>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</si>
  <si>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</si>
  <si>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</si>
  <si>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</si>
  <si>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</si>
  <si>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</si>
  <si>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</si>
  <si>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</si>
  <si>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</si>
  <si>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</si>
  <si>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</si>
  <si>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</si>
  <si>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</si>
  <si>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</si>
  <si>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</si>
  <si>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</si>
  <si>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</si>
  <si>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</si>
  <si>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</si>
  <si>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</si>
  <si>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</si>
  <si>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</si>
  <si>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</si>
  <si>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</si>
  <si>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</si>
  <si>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</si>
  <si>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</si>
  <si>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</si>
  <si>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</si>
  <si>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</si>
  <si>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</si>
  <si>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</si>
  <si>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</si>
  <si>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</si>
  <si>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</si>
  <si>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</si>
  <si>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</si>
  <si>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</si>
  <si>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</si>
  <si>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</si>
  <si>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</si>
  <si>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</si>
  <si>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</si>
  <si>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</si>
  <si>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</si>
  <si>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</si>
  <si>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</si>
  <si>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</si>
  <si>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</si>
  <si>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</si>
  <si>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</si>
  <si>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</si>
  <si>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</si>
  <si>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</si>
  <si>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</si>
  <si>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</si>
  <si>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</si>
  <si>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</si>
  <si>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</si>
  <si>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</si>
  <si>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</si>
  <si>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</si>
  <si>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</si>
  <si>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</si>
  <si>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</si>
  <si>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</si>
  <si>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</si>
  <si>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</si>
  <si>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</si>
  <si>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</si>
  <si>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</si>
  <si>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</si>
  <si>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</si>
  <si>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</si>
  <si>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</si>
  <si>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</si>
  <si>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</si>
  <si>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</si>
  <si>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</si>
  <si>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</si>
  <si>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</si>
  <si>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</si>
  <si>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</si>
  <si>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</si>
  <si>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</si>
  <si>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</si>
  <si>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</si>
  <si>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</si>
  <si>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</si>
  <si>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</si>
  <si>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</si>
  <si>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</si>
  <si>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</si>
  <si>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</si>
  <si>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</si>
  <si>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</si>
  <si>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</si>
  <si>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</si>
  <si>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</si>
  <si>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</si>
  <si>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</si>
  <si>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</si>
  <si>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</si>
  <si>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</si>
  <si>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</si>
  <si>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</si>
  <si>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</si>
  <si>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</si>
  <si>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</si>
  <si>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</si>
  <si>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</si>
  <si>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</si>
  <si>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</si>
  <si>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</si>
  <si>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</si>
  <si>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</si>
  <si>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</si>
  <si>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</si>
  <si>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</si>
  <si>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</si>
  <si>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</si>
  <si>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</si>
  <si>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</si>
  <si>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</si>
  <si>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</si>
  <si>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</si>
  <si>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</si>
  <si>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</si>
  <si>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</si>
  <si>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</si>
  <si>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</si>
  <si>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</si>
  <si>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</si>
  <si>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</si>
  <si>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</si>
  <si>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</si>
  <si>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</si>
  <si>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</si>
  <si>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</si>
  <si>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</si>
  <si>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</si>
  <si>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</si>
  <si>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</si>
  <si>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</si>
  <si>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</si>
  <si>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</si>
  <si>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</si>
  <si>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</si>
  <si>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</si>
  <si>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</si>
  <si>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</si>
  <si>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</si>
  <si>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</si>
  <si>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</si>
  <si>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</si>
  <si>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</si>
  <si>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</si>
  <si>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</si>
  <si>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</si>
  <si>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</si>
  <si>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</si>
  <si>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</si>
  <si>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</si>
  <si>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</si>
  <si>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</si>
  <si>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</si>
  <si>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</si>
  <si>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</si>
  <si>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</si>
  <si>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</si>
  <si>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</si>
  <si>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</si>
  <si>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</si>
  <si>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</si>
  <si>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</si>
  <si>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</si>
  <si>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</si>
  <si>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</si>
  <si>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</si>
  <si>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</si>
  <si>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</si>
  <si>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</si>
  <si>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</si>
  <si>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</si>
  <si>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</si>
  <si>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</si>
  <si>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</si>
  <si>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</si>
  <si>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</si>
  <si>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</si>
  <si>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</si>
  <si>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</si>
  <si>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</si>
  <si>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</si>
  <si>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</si>
  <si>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</si>
  <si>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</si>
  <si>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</si>
  <si>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</si>
  <si>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</si>
  <si>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</si>
  <si>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</si>
  <si>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</si>
  <si>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</si>
  <si>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</si>
  <si>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</si>
  <si>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</si>
  <si>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</si>
  <si>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</si>
  <si>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</si>
  <si>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</si>
  <si>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</si>
  <si>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</si>
  <si>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</si>
  <si>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</si>
  <si>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</si>
  <si>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</si>
  <si>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</si>
  <si>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</si>
  <si>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</si>
  <si>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</si>
  <si>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</si>
  <si>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</si>
  <si>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</si>
  <si>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</si>
  <si>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</si>
  <si>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</si>
  <si>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</si>
  <si>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</si>
  <si>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</si>
  <si>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</si>
  <si>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</si>
  <si>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</si>
  <si>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</si>
  <si>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</si>
  <si>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</si>
  <si>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</si>
  <si>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</si>
  <si>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</si>
  <si>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</si>
  <si>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</si>
  <si>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</si>
  <si>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</si>
  <si>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</si>
  <si>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</si>
  <si>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</si>
  <si>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</si>
  <si>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</si>
  <si>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</si>
  <si>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</si>
  <si>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</si>
  <si>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</si>
  <si>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</si>
  <si>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</si>
  <si>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</si>
  <si>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</si>
  <si>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</si>
  <si>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</si>
  <si>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</si>
  <si>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</si>
  <si>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</si>
  <si>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</si>
  <si>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</si>
  <si>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</si>
  <si>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</si>
  <si>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</si>
  <si>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</si>
  <si>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</si>
  <si>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</si>
  <si>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</si>
  <si>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</si>
  <si>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</si>
  <si>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</si>
  <si>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</si>
  <si>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</si>
  <si>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</si>
  <si>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</si>
  <si>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</si>
  <si>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</si>
  <si>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</si>
  <si>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</si>
  <si>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</si>
  <si>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</si>
  <si>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</si>
  <si>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</si>
  <si>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</si>
  <si>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</si>
  <si>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</si>
  <si>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</si>
  <si>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</si>
  <si>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</si>
  <si>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</si>
  <si>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</si>
  <si>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</si>
  <si>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</si>
  <si>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</si>
  <si>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</si>
  <si>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</si>
  <si>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</si>
  <si>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</si>
  <si>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</si>
  <si>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</si>
  <si>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</si>
  <si>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</si>
  <si>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</si>
  <si>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</si>
  <si>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</si>
  <si>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</si>
  <si>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</si>
  <si>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</si>
  <si>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</si>
  <si>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</si>
  <si>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</si>
  <si>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</si>
  <si>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</si>
  <si>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</si>
  <si>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</si>
  <si>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</si>
  <si>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</si>
  <si>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</si>
  <si>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</si>
  <si>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</si>
  <si>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</si>
  <si>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</si>
  <si>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</si>
  <si>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</si>
  <si>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</si>
  <si>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</si>
  <si>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</si>
  <si>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</si>
  <si>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</si>
  <si>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</si>
  <si>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</si>
  <si>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</si>
  <si>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</si>
  <si>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</si>
  <si>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</si>
  <si>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</si>
  <si>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</si>
  <si>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</si>
  <si>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</si>
  <si>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</si>
  <si>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</si>
  <si>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</si>
  <si>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</si>
  <si>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</si>
  <si>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</si>
  <si>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</si>
  <si>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</si>
  <si>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</si>
  <si>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</si>
  <si>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</si>
  <si>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</si>
  <si>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</si>
  <si>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</si>
  <si>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</si>
  <si>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</si>
  <si>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</si>
  <si>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</si>
  <si>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</si>
  <si>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</si>
  <si>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</si>
  <si>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</si>
  <si>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</si>
  <si>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</si>
  <si>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</si>
  <si>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</si>
  <si>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</si>
  <si>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</si>
  <si>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</si>
  <si>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</si>
  <si>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</si>
  <si>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</si>
  <si>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</si>
  <si>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</si>
  <si>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</si>
  <si>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</si>
  <si>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</si>
  <si>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</si>
  <si>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</si>
  <si>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</si>
  <si>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</si>
  <si>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</si>
  <si>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</si>
  <si>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</si>
  <si>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</si>
  <si>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</si>
  <si>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</si>
  <si>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</si>
  <si>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</si>
  <si>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</si>
  <si>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</si>
  <si>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</si>
  <si>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</si>
  <si>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</si>
  <si>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</si>
  <si>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</si>
  <si>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</si>
  <si>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</si>
  <si>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</si>
  <si>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</si>
  <si>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</si>
  <si>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</si>
  <si>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</si>
  <si>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</si>
  <si>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</si>
  <si>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</si>
  <si>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</si>
  <si>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</si>
  <si>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</si>
  <si>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</si>
  <si>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</si>
  <si>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</si>
  <si>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</si>
  <si>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</si>
  <si>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</si>
  <si>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</si>
  <si>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</si>
  <si>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</si>
  <si>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</si>
  <si>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</si>
  <si>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</si>
  <si>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</si>
  <si>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</si>
  <si>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</si>
  <si>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</si>
  <si>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</si>
  <si>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</si>
  <si>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</si>
  <si>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</si>
  <si>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</si>
  <si>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</si>
  <si>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</si>
  <si>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</si>
  <si>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</si>
  <si>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</si>
  <si>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</si>
  <si>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</si>
  <si>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</si>
  <si>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</si>
  <si>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</si>
  <si>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</si>
  <si>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</si>
  <si>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</si>
  <si>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</si>
  <si>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</si>
  <si>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</si>
  <si>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</si>
  <si>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</si>
  <si>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</si>
  <si>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</si>
  <si>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</si>
  <si>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</si>
  <si>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</si>
  <si>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</si>
  <si>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</si>
  <si>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</si>
  <si>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</si>
  <si>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</si>
  <si>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</si>
  <si>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</si>
  <si>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</si>
  <si>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</si>
  <si>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</si>
  <si>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</si>
  <si>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</si>
  <si>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</si>
  <si>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</si>
  <si>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</si>
  <si>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</si>
  <si>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</si>
  <si>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</si>
  <si>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</si>
  <si>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</si>
  <si>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</si>
  <si>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</si>
  <si>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</si>
  <si>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</si>
  <si>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</si>
  <si>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</si>
  <si>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</si>
  <si>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</si>
  <si>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</si>
  <si>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</si>
  <si>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</si>
  <si>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</si>
  <si>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</si>
  <si>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</si>
  <si>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</si>
  <si>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</si>
  <si>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</si>
  <si>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</si>
  <si>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</si>
  <si>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</si>
  <si>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</si>
  <si>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</si>
  <si>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</si>
  <si>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</si>
  <si>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</si>
  <si>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</si>
  <si>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</si>
  <si>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</si>
  <si>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</si>
  <si>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</si>
  <si>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</si>
  <si>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</si>
  <si>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</si>
  <si>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</si>
  <si>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</si>
  <si>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</si>
  <si>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</si>
  <si>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</si>
  <si>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</si>
  <si>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</si>
  <si>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</si>
  <si>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</si>
  <si>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</si>
  <si>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</si>
  <si>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</si>
  <si>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</si>
  <si>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</si>
  <si>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</si>
  <si>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</si>
  <si>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</si>
  <si>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</si>
  <si>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</si>
  <si>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</si>
  <si>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</si>
  <si>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</si>
  <si>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</si>
  <si>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</si>
  <si>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</si>
  <si>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</si>
  <si>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</si>
  <si>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</si>
  <si>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</si>
  <si>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</si>
  <si>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</si>
  <si>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</si>
  <si>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</si>
  <si>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</si>
  <si>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</si>
  <si>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</si>
  <si>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</si>
  <si>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</si>
  <si>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</si>
  <si>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</si>
  <si>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</si>
  <si>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</si>
  <si>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</si>
  <si>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</si>
  <si>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</si>
  <si>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</si>
  <si>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</si>
  <si>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</si>
  <si>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</si>
  <si>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</si>
  <si>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</si>
  <si>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</si>
  <si>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</si>
  <si>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</si>
  <si>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</si>
  <si>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</si>
  <si>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</si>
  <si>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</si>
  <si>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</si>
  <si>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</si>
  <si>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</si>
  <si>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</si>
  <si>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</si>
  <si>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</si>
  <si>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</si>
  <si>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</si>
  <si>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</si>
  <si>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</si>
  <si>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</si>
  <si>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</si>
  <si>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</si>
  <si>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</si>
  <si>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</si>
  <si>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</si>
  <si>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</si>
  <si>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</si>
  <si>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</si>
  <si>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</si>
  <si>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</si>
  <si>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</si>
  <si>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</si>
  <si>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</si>
  <si>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</si>
  <si>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</si>
  <si>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</si>
  <si>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</si>
  <si>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</si>
  <si>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</si>
  <si>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</si>
  <si>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</si>
  <si>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</si>
  <si>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</si>
  <si>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</si>
  <si>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</si>
  <si>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</si>
  <si>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</si>
  <si>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</si>
  <si>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</si>
  <si>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</si>
  <si>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</si>
  <si>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</si>
  <si>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</si>
  <si>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</si>
  <si>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</si>
  <si>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</si>
  <si>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</si>
  <si>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</si>
  <si>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</si>
  <si>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</si>
  <si>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</si>
  <si>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</si>
  <si>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</si>
  <si>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</si>
  <si>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</si>
  <si>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</si>
  <si>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</si>
  <si>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</si>
  <si>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</si>
  <si>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</si>
  <si>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</si>
  <si>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</si>
  <si>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</si>
  <si>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</si>
  <si>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</si>
  <si>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</si>
  <si>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</si>
  <si>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</si>
  <si>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</si>
  <si>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</si>
  <si>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</si>
  <si>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</si>
  <si>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</si>
  <si>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</si>
  <si>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</si>
  <si>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</si>
  <si>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</si>
  <si>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</si>
  <si>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</si>
  <si>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</si>
  <si>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</si>
  <si>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</si>
  <si>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</si>
  <si>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</si>
  <si>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</si>
  <si>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</si>
  <si>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</si>
  <si>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</si>
  <si>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</si>
  <si>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</si>
  <si>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</si>
  <si>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</si>
  <si>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</si>
  <si>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</si>
  <si>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</si>
  <si>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</si>
  <si>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</si>
  <si>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</si>
  <si>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</si>
  <si>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</si>
  <si>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</si>
  <si>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</si>
  <si>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</si>
  <si>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</si>
  <si>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</si>
  <si>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</si>
  <si>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</si>
  <si>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</si>
  <si>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</si>
  <si>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</si>
  <si>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</si>
  <si>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</si>
  <si>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</si>
  <si>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</si>
  <si>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</si>
  <si>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</si>
  <si>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</si>
  <si>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</si>
  <si>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</si>
  <si>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</si>
  <si>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</si>
  <si>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</si>
  <si>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</si>
  <si>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</si>
  <si>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</si>
  <si>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</si>
  <si>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</si>
  <si>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</si>
  <si>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</si>
  <si>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</si>
  <si>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</si>
  <si>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</si>
  <si>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</si>
  <si>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</si>
  <si>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</si>
  <si>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</si>
  <si>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</si>
  <si>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</si>
  <si>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</si>
  <si>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</si>
  <si>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</si>
  <si>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</si>
  <si>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</si>
  <si>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</si>
  <si>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</si>
  <si>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</si>
  <si>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</si>
  <si>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</si>
  <si>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</si>
  <si>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</si>
  <si>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</si>
  <si>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</si>
  <si>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</si>
  <si>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</si>
  <si>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</si>
  <si>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</si>
  <si>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</si>
  <si>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</si>
  <si>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</si>
  <si>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</si>
  <si>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</si>
  <si>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</si>
  <si>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</si>
  <si>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</si>
  <si>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</si>
  <si>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</si>
  <si>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</si>
  <si>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</si>
  <si>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</si>
  <si>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</si>
  <si>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</si>
  <si>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</si>
  <si>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</si>
  <si>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</si>
  <si>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</si>
  <si>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</si>
  <si>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</si>
  <si>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</si>
  <si>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</si>
  <si>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</si>
  <si>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</si>
  <si>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</si>
  <si>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</si>
  <si>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</si>
  <si>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</si>
  <si>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</si>
  <si>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</si>
  <si>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</si>
  <si>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</si>
  <si>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</si>
  <si>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</si>
  <si>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</si>
  <si>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</si>
  <si>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</si>
  <si>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</si>
  <si>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</si>
  <si>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</si>
  <si>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</si>
  <si>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</si>
  <si>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</si>
  <si>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</si>
  <si>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</si>
  <si>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</si>
  <si>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</si>
  <si>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</si>
  <si>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</si>
  <si>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</si>
  <si>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</si>
  <si>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</si>
  <si>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</si>
  <si>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</si>
  <si>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</si>
  <si>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</si>
  <si>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</si>
  <si>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</si>
  <si>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</si>
  <si>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</si>
  <si>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</si>
  <si>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</si>
  <si>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</si>
  <si>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</si>
  <si>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</si>
  <si>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</si>
  <si>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</si>
  <si>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</si>
  <si>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</si>
  <si>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</si>
  <si>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</si>
  <si>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</si>
  <si>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</si>
  <si>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</si>
  <si>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</si>
  <si>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</si>
  <si>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</si>
  <si>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</si>
  <si>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</si>
  <si>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</si>
  <si>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</si>
  <si>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</si>
  <si>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</si>
  <si>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</si>
  <si>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</si>
  <si>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</si>
  <si>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</si>
  <si>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</si>
  <si>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</si>
  <si>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</si>
  <si>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</si>
  <si>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</si>
  <si>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</si>
  <si>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</si>
  <si>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</si>
  <si>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</si>
  <si>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</si>
  <si>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</si>
  <si>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</si>
  <si>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</si>
  <si>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</si>
  <si>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</si>
  <si>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</si>
  <si>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</si>
  <si>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</si>
  <si>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</si>
  <si>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</si>
  <si>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</si>
  <si>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</si>
  <si>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</si>
  <si>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</si>
  <si>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</si>
  <si>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</si>
  <si>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</si>
  <si>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</si>
  <si>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</si>
  <si>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</si>
  <si>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</si>
  <si>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</si>
  <si>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</si>
  <si>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</si>
  <si>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</si>
  <si>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</si>
  <si>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</si>
  <si>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</si>
  <si>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</si>
  <si>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</si>
  <si>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</si>
  <si>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</si>
  <si>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</si>
  <si>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</si>
  <si>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</si>
  <si>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</si>
  <si>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</si>
  <si>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</si>
  <si>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</si>
  <si>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</si>
  <si>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</si>
  <si>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</si>
  <si>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</si>
  <si>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</si>
  <si>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</si>
  <si>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</si>
  <si>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</si>
  <si>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</si>
  <si>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</si>
  <si>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</si>
  <si>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</si>
  <si>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</si>
  <si>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</si>
  <si>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</si>
  <si>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</si>
  <si>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</si>
  <si>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</si>
  <si>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</si>
  <si>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</si>
  <si>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</si>
  <si>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</si>
  <si>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</si>
  <si>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</si>
  <si>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</si>
  <si>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</si>
  <si>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</si>
  <si>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</si>
  <si>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</si>
  <si>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</si>
  <si>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</si>
  <si>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</si>
  <si>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</si>
  <si>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</si>
  <si>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</si>
  <si>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</si>
  <si>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</si>
  <si>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</si>
  <si>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</si>
  <si>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</si>
  <si>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</si>
  <si>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</si>
  <si>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</si>
  <si>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</si>
  <si>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</si>
  <si>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</si>
  <si>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</si>
  <si>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</si>
  <si>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</si>
  <si>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</si>
  <si>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</si>
  <si>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</si>
  <si>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</si>
  <si>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</si>
  <si>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</si>
  <si>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</si>
  <si>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</si>
  <si>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</si>
  <si>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</si>
  <si>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</si>
  <si>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</si>
  <si>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</si>
  <si>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</si>
  <si>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</si>
  <si>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</si>
  <si>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</si>
  <si>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</si>
  <si>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</si>
  <si>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</si>
  <si>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</si>
  <si>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</si>
  <si>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</si>
  <si>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</si>
  <si>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</si>
  <si>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</si>
  <si>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</si>
  <si>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</si>
  <si>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</si>
  <si>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</si>
  <si>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</si>
  <si>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</si>
  <si>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</si>
  <si>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</si>
  <si>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</si>
  <si>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</si>
  <si>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</si>
  <si>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</si>
  <si>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</si>
  <si>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</si>
  <si>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</si>
  <si>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</si>
  <si>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</si>
  <si>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</si>
  <si>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</si>
  <si>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</si>
  <si>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</si>
  <si>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</si>
  <si>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</si>
  <si>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</si>
  <si>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</si>
  <si>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</si>
  <si>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</si>
  <si>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</si>
  <si>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</si>
  <si>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</si>
  <si>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</si>
  <si>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</si>
  <si>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</si>
  <si>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</si>
  <si>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</si>
  <si>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</si>
  <si>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</si>
  <si>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</si>
  <si>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</si>
  <si>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</si>
  <si>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</si>
  <si>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</si>
  <si>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</si>
  <si>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</si>
  <si>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</si>
  <si>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</si>
  <si>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</si>
  <si>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</si>
  <si>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</si>
  <si>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</si>
  <si>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</si>
  <si>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</si>
  <si>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</si>
  <si>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</si>
  <si>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</si>
  <si>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</si>
  <si>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</si>
  <si>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</si>
  <si>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</si>
  <si>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</si>
  <si>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</si>
  <si>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</si>
  <si>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</si>
  <si>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</si>
  <si>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</si>
  <si>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</si>
  <si>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</si>
  <si>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</si>
  <si>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</si>
  <si>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</si>
  <si>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</si>
  <si>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</si>
  <si>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</si>
  <si>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</si>
  <si>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</si>
  <si>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</si>
  <si>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</si>
  <si>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</si>
  <si>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</si>
  <si>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</si>
  <si>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</si>
  <si>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</si>
  <si>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</si>
  <si>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</si>
  <si>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</si>
  <si>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</si>
  <si>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</si>
  <si>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</si>
  <si>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</si>
  <si>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</si>
  <si>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</si>
  <si>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</si>
  <si>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</si>
  <si>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</si>
  <si>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</si>
  <si>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</si>
  <si>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</si>
  <si>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</si>
  <si>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</si>
  <si>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</si>
  <si>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</si>
  <si>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</si>
  <si>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</si>
  <si>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</si>
  <si>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</si>
  <si>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</si>
  <si>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</si>
  <si>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</si>
  <si>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</si>
  <si>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</si>
  <si>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</si>
  <si>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Column1</t>
  </si>
  <si>
    <t>Column7</t>
  </si>
  <si>
    <t/>
  </si>
  <si>
    <t>shipping_days_delay</t>
  </si>
  <si>
    <t>date_check</t>
  </si>
  <si>
    <t>ship_date_validation</t>
  </si>
  <si>
    <t>duplicate_order_identification</t>
  </si>
  <si>
    <t>missing_region</t>
  </si>
  <si>
    <t>missing_Ship_mode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</si>
  <si>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</si>
  <si>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</si>
  <si>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</si>
  <si>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</si>
  <si>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</si>
  <si>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</si>
  <si>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</si>
  <si>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Missing Discount</t>
  </si>
  <si>
    <t>Negative Discount</t>
  </si>
  <si>
    <t>Discount &gt;100%</t>
  </si>
  <si>
    <t>Invalid Discount Total</t>
  </si>
  <si>
    <t>Missing Order Date</t>
  </si>
  <si>
    <t>Missing Ship Date</t>
  </si>
  <si>
    <t>Ship Before Order</t>
  </si>
  <si>
    <t>Invalid Dates</t>
  </si>
  <si>
    <t>date_issues</t>
  </si>
  <si>
    <t>invalid_dates</t>
  </si>
  <si>
    <t>Failed Payment</t>
  </si>
  <si>
    <t>sales_missmatch</t>
  </si>
  <si>
    <t>Sales Mismatch</t>
  </si>
  <si>
    <t>Profit Mismatch</t>
  </si>
  <si>
    <t>profit_missmatched</t>
  </si>
  <si>
    <t>Clean</t>
  </si>
  <si>
    <t>Warning</t>
  </si>
  <si>
    <t>Invalid</t>
  </si>
  <si>
    <t>Total Records</t>
  </si>
  <si>
    <t>Row Labels</t>
  </si>
  <si>
    <t>Grand Total</t>
  </si>
  <si>
    <t>Column Labels</t>
  </si>
  <si>
    <t>Sum of calculated_sales</t>
  </si>
  <si>
    <t>Sum of calculated_profit</t>
  </si>
  <si>
    <t>(All)</t>
  </si>
  <si>
    <t>Count of order_id</t>
  </si>
  <si>
    <t>Average of profit_margin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</si>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</sst>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/>
    <xf numFmtId="166" fontId="1" fillId="2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-14009]dd/mm/yyyy;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das" refreshedDate="46200.529367592593" createdVersion="8" refreshedVersion="8" minRefreshableVersion="3" recordCount="932" xr:uid="{6C31D69E-408B-4469-BFDD-71404EA96327}">
  <cacheSource type="worksheet">
    <worksheetSource name="Table1"/>
  </cacheSource>
  <cacheFields count="40">
    <cacheField name="order_id" numFmtId="0">
      <sharedItems/>
    </cacheField>
    <cacheField name="order_date" numFmtId="166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7-27T00:00:00" maxDate="2027-02-14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calculated_sales" numFmtId="0">
      <sharedItems containsSemiMixedTypes="0" containsString="0" containsNumber="1" minValue="36.447000000000003" maxValue="36782.271000000008" count="900">
        <n v="19049.28"/>
        <n v="7312.5"/>
        <n v="1917.7739999999999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3879.9458"/>
        <n v="16398.975000000002"/>
        <n v="3432.6348000000003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1279.841099999998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8976.2850000000017"/>
        <n v="6321.0800000000008"/>
        <n v="1884.3000000000002"/>
        <n v="1458.9360000000001"/>
        <n v="17414.599999999999"/>
        <n v="511.04999999999995"/>
        <n v="634.13"/>
        <n v="4813.3709999999992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9047.64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5808.1895999999997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36.447000000000003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12615.907499999999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23198.065200000005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3081.0569999999998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7480.9080000000004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788.52600000000018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21285.520800000002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6761.2930000000006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1676.3280000000002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2276.9951999999998"/>
        <n v="3784.7239999999997"/>
        <n v="6635.5560000000005"/>
        <n v="2485.5040000000004"/>
        <n v="850.34500000000003"/>
        <n v="9997.8299999999981"/>
        <n v="5124.5865000000003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4770.5843000000004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750.072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1260.0075000000002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11554.62"/>
        <n v="2033"/>
        <n v="19966.940000000002"/>
        <n v="710.89600000000007"/>
        <n v="15994.476000000001"/>
        <n v="1627.5"/>
        <n v="9637.92"/>
        <n v="7898.8248000000003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692.6840000000002"/>
        <n v="14800.96"/>
        <n v="6001.35"/>
        <n v="7772.34"/>
        <n v="7902.9600000000009"/>
        <n v="24621.239999999998"/>
        <n v="3313.5074999999993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8375.9849999999988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18067.084800000001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6623.793600000005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833.2639999999999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calculated_profit" numFmtId="0">
      <sharedItems containsSemiMixedTypes="0" containsString="0" containsNumber="1" minValue="-23452.5635" maxValue="15225.999000000003" count="900">
        <n v="3207.3899999999994"/>
        <n v="2407.7700000000004"/>
        <n v="-547.91600000000017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350.6357999999991"/>
        <n v="6842.4550000000017"/>
        <n v="1394.9248000000002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8824.0610999999972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-11393.874999999998"/>
        <n v="1913.8600000000006"/>
        <n v="366.61000000000013"/>
        <n v="565.7360000000001"/>
        <n v="5653.6899999999987"/>
        <n v="143.86999999999995"/>
        <n v="180.77999999999997"/>
        <n v="1369.6309999999994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-10350.040000000001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2853.3295999999996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-124.97299999999998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-6222.8425000000007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14784.535200000004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-3459.983000000000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-2371.0019999999995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-753.01399999999978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8376.680800000001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1883.913000000000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-4677.2619999999997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707.61519999999973"/>
        <n v="1365.4839999999999"/>
        <n v="2982.6460000000006"/>
        <n v="457.0740000000003"/>
        <n v="249.36500000000001"/>
        <n v="3938.7599999999984"/>
        <n v="-23452.5635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2687.1743000000006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-829.09800000000007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-5188.0424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3858.3400000000011"/>
        <n v="741.58999999999992"/>
        <n v="7276.1100000000024"/>
        <n v="197.01600000000008"/>
        <n v="6770.1959999999999"/>
        <n v="687.6"/>
        <n v="2308.63"/>
        <n v="4745.8448000000008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-2188.826"/>
        <n v="2752.5699999999997"/>
        <n v="1818.3600000000006"/>
        <n v="3658.6800000000003"/>
        <n v="2390.9300000000012"/>
        <n v="7465.7599999999984"/>
        <n v="-2293.2825000000007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-3302.3350000000009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978.4348000000009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707.693600000006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866.71399999999994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" numFmtId="0">
      <sharedItems containsSemiMixedTypes="0" containsString="0" containsNumber="1" minValue="42.35" maxValue="15226"/>
    </cacheField>
    <cacheField name="profit_margin" numFmtId="0">
      <sharedItems containsSemiMixedTypes="0" containsString="0" containsNumber="1" minValue="-635384.68000000028" maxValue="304519.98000000004"/>
    </cacheField>
    <cacheField name="payment_status" numFmtId="0">
      <sharedItems count="4">
        <s v="Paid"/>
        <s v="Refunded"/>
        <s v="Pending"/>
        <s v="Failed"/>
      </sharedItems>
    </cacheField>
    <cacheField name="Column7" numFmtId="0">
      <sharedItems/>
    </cacheField>
    <cacheField name="order_status" numFmtId="0">
      <sharedItems count="3">
        <s v="Completed"/>
        <s v="Cancelled"/>
        <s v="Returned"/>
      </sharedItems>
    </cacheField>
    <cacheField name="shipping_days_delay" numFmtId="0">
      <sharedItems containsSemiMixedTypes="0" containsString="0" containsNumber="1" containsInteger="1" minValue="-488" maxValue="1105"/>
    </cacheField>
    <cacheField name="date_check" numFmtId="0">
      <sharedItems/>
    </cacheField>
    <cacheField name="ship_date_validation" numFmtId="0">
      <sharedItems/>
    </cacheField>
    <cacheField name="duplicate_order_identification" numFmtId="0">
      <sharedItems/>
    </cacheField>
    <cacheField name="missing_region" numFmtId="0">
      <sharedItems/>
    </cacheField>
    <cacheField name="missing_Ship_mode" numFmtId="0">
      <sharedItems/>
    </cacheField>
    <cacheField name="Column1" numFmtId="0">
      <sharedItems/>
    </cacheField>
    <cacheField name="order_month" numFmtId="0">
      <sharedItems count="12">
        <s v="July"/>
        <s v="August"/>
        <s v="November"/>
        <s v="May"/>
        <s v="October"/>
        <s v="February"/>
        <s v="September"/>
        <s v="December"/>
        <s v="January"/>
        <s v="April"/>
        <s v="June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  <cacheField name="date_issues" numFmtId="0">
      <sharedItems/>
    </cacheField>
    <cacheField name="invalid_dates" numFmtId="0">
      <sharedItems/>
    </cacheField>
    <cacheField name="sales_missmatch" numFmtId="0">
      <sharedItems/>
    </cacheField>
    <cacheField name="profit_missmatc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5841.89"/>
    <x v="0"/>
    <x v="0"/>
    <n v="3207.39"/>
    <n v="16036.949999999997"/>
    <x v="0"/>
    <s v="Paid"/>
    <x v="0"/>
    <n v="6"/>
    <s v="OK"/>
    <s v="Valid"/>
    <s v="Unique"/>
    <s v="North"/>
    <s v="Second Class"/>
    <s v="Valid"/>
    <x v="0"/>
    <n v="2024"/>
    <s v="Clean"/>
    <s v="OK"/>
    <s v="Valid"/>
    <s v="Ok"/>
    <s v="Ok"/>
  </r>
  <r>
    <s v="ORD-2024-10002"/>
    <d v="2024-08-31T00:00:00"/>
    <d v="2024-07-28T00:00:00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4904.7299999999996"/>
    <x v="1"/>
    <x v="1"/>
    <n v="2407.77"/>
    <n v="0"/>
    <x v="0"/>
    <s v="Paid"/>
    <x v="0"/>
    <n v="-34"/>
    <s v="OK"/>
    <s v="Invalid"/>
    <s v="Unique"/>
    <s v="East"/>
    <s v="Same Day"/>
    <s v="Valid"/>
    <x v="1"/>
    <n v="2024"/>
    <s v="Invalid"/>
    <s v="Ship Before Order"/>
    <s v="Valid"/>
    <s v="Ok"/>
    <s v="Ok"/>
  </r>
  <r>
    <s v="ORD-2024-10003"/>
    <d v="2024-08-06T00:00:00"/>
    <d v="2024-07-29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4261.72"/>
    <n v="2465.69"/>
    <x v="2"/>
    <x v="2"/>
    <n v="1796.03"/>
    <n v="-996.21090909090935"/>
    <x v="0"/>
    <s v="Paid"/>
    <x v="0"/>
    <n v="-8"/>
    <s v="OK"/>
    <s v="Invalid"/>
    <s v="Unique"/>
    <s v="East"/>
    <s v="First Class"/>
    <s v="Valid"/>
    <x v="1"/>
    <n v="2024"/>
    <s v="Invalid"/>
    <s v="Ship Before Order"/>
    <s v="Valid"/>
    <s v="Missmatched"/>
    <s v="Missmatched"/>
  </r>
  <r>
    <s v="ORD-2024-10004"/>
    <d v="2024-11-28T00:00:00"/>
    <d v="2024-07-30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6796.77"/>
    <x v="3"/>
    <x v="3"/>
    <n v="1521.16"/>
    <n v="6084.6599999999962"/>
    <x v="0"/>
    <s v="Paid"/>
    <x v="0"/>
    <n v="-121"/>
    <s v="OK"/>
    <s v="Invalid"/>
    <s v="Unique"/>
    <s v="South"/>
    <s v="Standard Class"/>
    <s v="Valid"/>
    <x v="2"/>
    <n v="2024"/>
    <s v="Invalid"/>
    <s v="Ship Before Order"/>
    <s v="Valid"/>
    <s v="Missmatched"/>
    <s v="Missmatched"/>
  </r>
  <r>
    <s v="ORD-2025-10005"/>
    <d v="2025-08-29T00:00:00"/>
    <d v="2024-07-31T00:00:00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17705.37"/>
    <x v="4"/>
    <x v="4"/>
    <n v="3110.95"/>
    <n v="0"/>
    <x v="0"/>
    <s v="Paid"/>
    <x v="1"/>
    <n v="-394"/>
    <s v="OK"/>
    <s v="Invalid"/>
    <s v="Unique"/>
    <s v="West"/>
    <s v="First Class"/>
    <s v="Valid"/>
    <x v="1"/>
    <n v="2025"/>
    <s v="Invalid"/>
    <s v="Ship Before Order"/>
    <s v="Valid"/>
    <s v="Ok"/>
    <s v="Ok"/>
  </r>
  <r>
    <s v="ORD-2024-10006"/>
    <d v="2024-05-24T00:00:00"/>
    <d v="2024-08-01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"/>
    <n v="1533.58"/>
    <x v="5"/>
    <x v="5"/>
    <n v="993.88"/>
    <n v="4969.42"/>
    <x v="0"/>
    <s v="Paid"/>
    <x v="0"/>
    <n v="69"/>
    <s v="OK"/>
    <s v="Valid"/>
    <s v="Unique"/>
    <s v="West"/>
    <s v="Same Day"/>
    <s v="Valid"/>
    <x v="3"/>
    <n v="2024"/>
    <s v="Clean"/>
    <s v="OK"/>
    <s v="Valid"/>
    <s v="Missmatched"/>
    <s v="Missmatched"/>
  </r>
  <r>
    <s v="ORD-2025-10007"/>
    <d v="2025-10-04T00:00:00"/>
    <d v="2024-08-02T00:00:00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4727.25"/>
    <x v="6"/>
    <x v="6"/>
    <n v="1120.31"/>
    <n v="7468.7199999999939"/>
    <x v="0"/>
    <s v="Paid"/>
    <x v="0"/>
    <n v="-428"/>
    <s v="OK"/>
    <s v="Invalid"/>
    <s v="Duplicate"/>
    <s v="East"/>
    <s v="Standard Class"/>
    <s v="Valid"/>
    <x v="4"/>
    <n v="2025"/>
    <s v="Invalid"/>
    <s v="Ship Before Order"/>
    <s v="Valid"/>
    <s v="Missmatched"/>
    <s v="Missmatched"/>
  </r>
  <r>
    <s v="ORD-2025-10008"/>
    <d v="2025-02-23T00:00:00"/>
    <d v="2024-08-03T00:00:00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357.2199999999998"/>
    <x v="7"/>
    <x v="7"/>
    <n v="623.49"/>
    <n v="0"/>
    <x v="0"/>
    <s v="Paid"/>
    <x v="0"/>
    <n v="-204"/>
    <s v="OK"/>
    <s v="Invalid"/>
    <s v="Unique"/>
    <s v="South"/>
    <s v="First Class"/>
    <s v="Valid"/>
    <x v="5"/>
    <n v="2025"/>
    <s v="Invalid"/>
    <s v="Ship Before Order"/>
    <s v="Valid"/>
    <s v="Ok"/>
    <s v="Ok"/>
  </r>
  <r>
    <s v="ORD-2024-10009"/>
    <d v="2024-05-11T00:00:00"/>
    <d v="2024-08-04T00:00:00"/>
    <s v="CUST-2598"/>
    <s v="Aditi Sen"/>
    <x v="2"/>
    <x v="2"/>
    <s v="Telangana"/>
    <s v="Hyderabad"/>
    <x v="0"/>
    <x v="7"/>
    <s v="Classic Labels 815"/>
    <x v="2"/>
    <n v="8"/>
    <n v="3134.2"/>
    <n v="0"/>
    <n v="0"/>
    <n v="25073.599999999999"/>
    <n v="17347.23"/>
    <x v="8"/>
    <x v="8"/>
    <n v="7726.37"/>
    <n v="0"/>
    <x v="0"/>
    <s v="Paid"/>
    <x v="0"/>
    <n v="85"/>
    <s v="OK"/>
    <s v="Valid"/>
    <s v="Unique"/>
    <s v="South"/>
    <s v="First Class"/>
    <s v="Valid"/>
    <x v="3"/>
    <n v="2024"/>
    <s v="Clean"/>
    <s v="OK"/>
    <s v="Valid"/>
    <s v="Ok"/>
    <s v="Ok"/>
  </r>
  <r>
    <s v="ORD-2025-10010"/>
    <d v="2025-09-07T00:00:00"/>
    <d v="2024-08-05T00:00:00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9"/>
    <n v="3800.19"/>
    <x v="9"/>
    <x v="9"/>
    <n v="2334.5"/>
    <n v="11672.49"/>
    <x v="0"/>
    <s v="Paid"/>
    <x v="0"/>
    <n v="-398"/>
    <s v="OK"/>
    <s v="Invalid"/>
    <s v="Unique"/>
    <s v="South"/>
    <s v="Second Class"/>
    <s v="Valid"/>
    <x v="6"/>
    <n v="2025"/>
    <s v="Invalid"/>
    <s v="Ship Before Order"/>
    <s v="Valid"/>
    <s v="Missmatched"/>
    <s v="Missmatched"/>
  </r>
  <r>
    <s v="ORD-2025-10011"/>
    <d v="2025-05-20T00:00:00"/>
    <d v="2024-08-06T00:00:00"/>
    <s v="CUST-8092"/>
    <s v="Ananya Rao"/>
    <x v="2"/>
    <x v="1"/>
    <s v="West Bengal"/>
    <s v="Kolkata"/>
    <x v="0"/>
    <x v="7"/>
    <s v="Prime Labels 644"/>
    <x v="0"/>
    <n v="3"/>
    <n v="3534.83"/>
    <n v="0.05"/>
    <n v="0.05"/>
    <n v="10074.27"/>
    <n v="6048.27"/>
    <x v="10"/>
    <x v="10"/>
    <n v="4026"/>
    <n v="80519.909999999974"/>
    <x v="1"/>
    <s v="Refunded"/>
    <x v="2"/>
    <n v="-287"/>
    <s v="OK"/>
    <s v="Invalid"/>
    <s v="Unique"/>
    <s v="East"/>
    <s v="Second Class"/>
    <s v="Valid"/>
    <x v="3"/>
    <n v="2025"/>
    <s v="Invalid"/>
    <s v="Ship Before Order"/>
    <s v="Valid"/>
    <s v="Missmatched"/>
    <s v="Missmatched"/>
  </r>
  <r>
    <s v="ORD-2024-10012"/>
    <d v="2024-07-22T00:00:00"/>
    <d v="2024-08-07T00:00:00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"/>
    <n v="8038.59"/>
    <x v="11"/>
    <x v="11"/>
    <n v="1589.97"/>
    <n v="7949.8500000000058"/>
    <x v="0"/>
    <s v="Paid"/>
    <x v="0"/>
    <n v="16"/>
    <s v="OK"/>
    <s v="Valid"/>
    <s v="Unique"/>
    <s v="East"/>
    <s v="Same Day"/>
    <s v="Valid"/>
    <x v="0"/>
    <n v="2024"/>
    <s v="Clean"/>
    <s v="OK"/>
    <s v="Valid"/>
    <s v="Ok"/>
    <s v="Ok"/>
  </r>
  <r>
    <s v="ORD-2024-10013"/>
    <d v="2024-12-20T00:00:00"/>
    <d v="2024-08-08T00:00:00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380.25"/>
    <x v="12"/>
    <x v="12"/>
    <n v="216.57"/>
    <n v="1443.7933333333331"/>
    <x v="2"/>
    <s v="Pending"/>
    <x v="2"/>
    <n v="-134"/>
    <s v="OK"/>
    <s v="Invalid"/>
    <s v="Unique"/>
    <s v="West"/>
    <s v="First Class"/>
    <s v="Valid"/>
    <x v="7"/>
    <n v="2024"/>
    <s v="Invalid"/>
    <s v="Ship Before Order"/>
    <s v="Valid"/>
    <s v="Missmatched"/>
    <s v="Missmatched"/>
  </r>
  <r>
    <s v="ORD-2025-10014"/>
    <d v="2025-12-10T00:00:00"/>
    <d v="2024-08-09T00:00:00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2306.240000000002"/>
    <x v="13"/>
    <x v="13"/>
    <n v="4059.15"/>
    <n v="81182.959999999875"/>
    <x v="0"/>
    <s v="Paid"/>
    <x v="0"/>
    <n v="-488"/>
    <s v="OK"/>
    <s v="Invalid"/>
    <s v="Unique"/>
    <s v="West"/>
    <s v="Second Class"/>
    <s v="Valid"/>
    <x v="7"/>
    <n v="2025"/>
    <s v="Invalid"/>
    <s v="Ship Before Order"/>
    <s v="Valid"/>
    <s v="Missmatched"/>
    <s v="Missmatched"/>
  </r>
  <r>
    <s v="ORD-2024-10015"/>
    <d v="2024-12-27T00:00:00"/>
    <d v="2024-08-10T00:00:00"/>
    <s v="CUST-4912"/>
    <s v="Rahul Verma"/>
    <x v="0"/>
    <x v="3"/>
    <s v="Rajasthan"/>
    <s v="Udaipur"/>
    <x v="2"/>
    <x v="6"/>
    <s v="Max Copiers 983"/>
    <x v="3"/>
    <n v="2"/>
    <n v="2737.83"/>
    <n v="0.25"/>
    <n v="0.25"/>
    <n v="4106.74"/>
    <n v="2666.3"/>
    <x v="14"/>
    <x v="14"/>
    <n v="1440.44"/>
    <n v="5761.7799999999988"/>
    <x v="0"/>
    <s v="Paid"/>
    <x v="0"/>
    <n v="-139"/>
    <s v="OK"/>
    <s v="Invalid"/>
    <s v="Unique"/>
    <s v="West"/>
    <s v="Standard Class"/>
    <s v="Valid"/>
    <x v="7"/>
    <n v="2024"/>
    <s v="Invalid"/>
    <s v="Ship Before Order"/>
    <s v="Valid"/>
    <s v="Missmatched"/>
    <s v="Missmatched"/>
  </r>
  <r>
    <s v="ORD-2024-10016"/>
    <d v="2024-09-07T00:00:00"/>
    <d v="2024-08-11T00:00:00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15698.47"/>
    <x v="15"/>
    <x v="15"/>
    <n v="8096.09"/>
    <n v="0"/>
    <x v="0"/>
    <s v="Paid"/>
    <x v="0"/>
    <n v="-27"/>
    <s v="OK"/>
    <s v="Invalid"/>
    <s v="Unique"/>
    <s v="North"/>
    <s v="Second Class"/>
    <s v="Valid"/>
    <x v="6"/>
    <n v="2024"/>
    <s v="Invalid"/>
    <s v="Ship Before Order"/>
    <s v="Valid"/>
    <s v="Ok"/>
    <s v="Ok"/>
  </r>
  <r>
    <s v="ORD-2024-10017"/>
    <d v="2024-08-05T00:00:00"/>
    <d v="2024-08-12T00:00:00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5668.17"/>
    <x v="16"/>
    <x v="16"/>
    <n v="4302.3599999999997"/>
    <n v="17209.440000000002"/>
    <x v="0"/>
    <s v="Paid"/>
    <x v="0"/>
    <n v="7"/>
    <s v="OK"/>
    <s v="Valid"/>
    <s v="Unique"/>
    <s v="South"/>
    <s v="First Class"/>
    <s v="Valid"/>
    <x v="1"/>
    <n v="2024"/>
    <s v="Clean"/>
    <s v="OK"/>
    <s v="Valid"/>
    <s v="Ok"/>
    <s v="Ok"/>
  </r>
  <r>
    <s v="ORD-2024-10018"/>
    <d v="2024-07-01T00:00:00"/>
    <d v="2024-08-13T00:00:00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4706.91"/>
    <x v="17"/>
    <x v="17"/>
    <n v="2926.99"/>
    <n v="0"/>
    <x v="0"/>
    <s v="Paid"/>
    <x v="0"/>
    <n v="43"/>
    <s v="OK"/>
    <s v="Valid"/>
    <s v="Unique"/>
    <s v="North"/>
    <s v="Same Day"/>
    <s v="Valid"/>
    <x v="0"/>
    <n v="2024"/>
    <s v="Clean"/>
    <s v="OK"/>
    <s v="Valid"/>
    <s v="Ok"/>
    <s v="Ok"/>
  </r>
  <r>
    <s v="ORD-2025-10019"/>
    <d v="2025-07-15T00:00:00"/>
    <d v="2024-08-14T00:00:00"/>
    <s v="CUST-2110"/>
    <s v="Aarav Sharma"/>
    <x v="3"/>
    <x v="0"/>
    <s v="Uttar Pradesh"/>
    <s v="Noida"/>
    <x v="2"/>
    <x v="6"/>
    <s v="Eco Copiers 755"/>
    <x v="2"/>
    <n v="2"/>
    <n v="1997.99"/>
    <n v="0"/>
    <n v="0"/>
    <n v="3995.98"/>
    <n v="2633.2"/>
    <x v="18"/>
    <x v="18"/>
    <n v="1362.78"/>
    <n v="0"/>
    <x v="1"/>
    <s v="Refunded"/>
    <x v="1"/>
    <n v="-335"/>
    <s v="OK"/>
    <s v="Invalid"/>
    <s v="Unique"/>
    <s v="North"/>
    <s v="First Class"/>
    <s v="Valid"/>
    <x v="0"/>
    <n v="2025"/>
    <s v="Invalid"/>
    <s v="Ship Before Order"/>
    <s v="Valid"/>
    <s v="Ok"/>
    <s v="Ok"/>
  </r>
  <r>
    <s v="ORD-2024-10020"/>
    <d v="2024-07-27T00:00:00"/>
    <d v="2024-08-15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-0.19"/>
    <n v="9331.06"/>
    <n v="7529.31"/>
    <x v="19"/>
    <x v="19"/>
    <n v="1801.75"/>
    <n v="-33424.398947368412"/>
    <x v="0"/>
    <s v="Paid"/>
    <x v="0"/>
    <n v="19"/>
    <s v="OK"/>
    <s v="Valid"/>
    <s v="Unique"/>
    <s v="West"/>
    <s v="Second Class"/>
    <s v="Invalid"/>
    <x v="0"/>
    <n v="2024"/>
    <s v="Clean"/>
    <s v="OK"/>
    <s v="Valid"/>
    <s v="Missmatched"/>
    <s v="Missmatched"/>
  </r>
  <r>
    <s v="ORD-2025-10021"/>
    <d v="2025-01-21T00:00:00"/>
    <d v="2024-08-16T00:00:00"/>
    <s v="CUST-3190"/>
    <s v="Aditi Sen"/>
    <x v="3"/>
    <x v="1"/>
    <s v="Bihar"/>
    <s v="Patna"/>
    <x v="2"/>
    <x v="6"/>
    <s v="Elite Copiers 233"/>
    <x v="2"/>
    <n v="5"/>
    <n v="4373.0600000000004"/>
    <n v="0.25"/>
    <n v="0.25"/>
    <n v="16398.98"/>
    <n v="9556.52"/>
    <x v="20"/>
    <x v="20"/>
    <n v="6842.46"/>
    <n v="27369.820000000007"/>
    <x v="0"/>
    <s v="Paid"/>
    <x v="0"/>
    <n v="-158"/>
    <s v="OK"/>
    <s v="Invalid"/>
    <s v="Unique"/>
    <s v="East"/>
    <s v="First Class"/>
    <s v="Valid"/>
    <x v="8"/>
    <n v="2025"/>
    <s v="Invalid"/>
    <s v="Ship Before Order"/>
    <s v="Valid"/>
    <s v="Missmatched"/>
    <s v="Missmatched"/>
  </r>
  <r>
    <s v="ORD-2025-10022"/>
    <d v="2025-01-24T00:00:00"/>
    <d v="2024-08-17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n v="2790.76"/>
    <n v="2037.71"/>
    <x v="21"/>
    <x v="21"/>
    <n v="753.05"/>
    <n v="-6064.8904347826092"/>
    <x v="0"/>
    <s v="Paid"/>
    <x v="0"/>
    <n v="-160"/>
    <s v="OK"/>
    <s v="Invalid"/>
    <s v="Unique"/>
    <s v="West"/>
    <s v="Second Class"/>
    <s v="Invalid"/>
    <x v="8"/>
    <n v="2025"/>
    <s v="Invalid"/>
    <s v="Ship Before Order"/>
    <s v="Valid"/>
    <s v="Missmatched"/>
    <s v="Missmatched"/>
  </r>
  <r>
    <s v="ORD-2025-10023"/>
    <d v="2025-01-19T00:00:00"/>
    <d v="2024-08-18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"/>
    <n v="6685.03"/>
    <x v="22"/>
    <x v="22"/>
    <n v="1606.48"/>
    <n v="10709.879999999994"/>
    <x v="3"/>
    <s v="Failed"/>
    <x v="2"/>
    <n v="-154"/>
    <s v="OK"/>
    <s v="Invalid"/>
    <s v="Unique"/>
    <s v="South"/>
    <s v="Standard Class"/>
    <s v="Valid"/>
    <x v="8"/>
    <n v="2025"/>
    <s v="Invalid"/>
    <s v="Ship Before Order"/>
    <s v="Valid"/>
    <s v="Missmatched"/>
    <s v="Missmatched"/>
  </r>
  <r>
    <s v="ORD-2025-10024"/>
    <d v="2025-08-29T00:00:00"/>
    <d v="2024-08-19T00:00:00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"/>
    <n v="4321.8599999999997"/>
    <x v="23"/>
    <x v="23"/>
    <n v="1943.77"/>
    <n v="9718.8600000000042"/>
    <x v="0"/>
    <s v="Paid"/>
    <x v="0"/>
    <n v="-375"/>
    <s v="OK"/>
    <s v="Invalid"/>
    <s v="Unique"/>
    <s v="East"/>
    <s v="First Class"/>
    <s v="Valid"/>
    <x v="1"/>
    <n v="2025"/>
    <s v="Invalid"/>
    <s v="Ship Before Order"/>
    <s v="Valid"/>
    <s v="Missmatched"/>
    <s v="Missmatched"/>
  </r>
  <r>
    <s v="ORD-2024-10025"/>
    <d v="2024-04-03T00:00:00"/>
    <d v="2024-08-20T00:00:00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0937.35"/>
    <x v="24"/>
    <x v="24"/>
    <n v="2541.4699999999998"/>
    <n v="10165.879999999997"/>
    <x v="2"/>
    <s v="Pending"/>
    <x v="1"/>
    <n v="139"/>
    <s v="OK"/>
    <s v="Valid"/>
    <s v="Unique"/>
    <s v="North"/>
    <s v="Standard Class"/>
    <s v="Valid"/>
    <x v="9"/>
    <n v="2024"/>
    <s v="Clean"/>
    <s v="OK"/>
    <s v="Valid"/>
    <s v="Ok"/>
    <s v="Ok"/>
  </r>
  <r>
    <s v="ORD-2024-10026"/>
    <d v="2024-10-11T00:00:00"/>
    <d v="2024-08-21T00:00:00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4"/>
    <n v="4968.41"/>
    <x v="25"/>
    <x v="25"/>
    <n v="2367.4299999999998"/>
    <n v="15782.866666666663"/>
    <x v="0"/>
    <s v="Paid"/>
    <x v="0"/>
    <n v="-51"/>
    <s v="OK"/>
    <s v="Invalid"/>
    <s v="Unique"/>
    <s v="East"/>
    <s v="First Class"/>
    <s v="Valid"/>
    <x v="4"/>
    <n v="2024"/>
    <s v="Invalid"/>
    <s v="Ship Before Order"/>
    <s v="Valid"/>
    <s v="Ok"/>
    <s v="Ok"/>
  </r>
  <r>
    <s v="ORD-2024-10027"/>
    <d v="2024-11-23T00:00:00"/>
    <d v="2024-08-22T00:00:0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700000000002"/>
    <n v="1527.55"/>
    <x v="26"/>
    <x v="26"/>
    <n v="1050.52"/>
    <n v="10505.180000000002"/>
    <x v="0"/>
    <s v="Paid"/>
    <x v="2"/>
    <n v="-93"/>
    <s v="OK"/>
    <s v="Invalid"/>
    <s v="Unique"/>
    <s v="North"/>
    <s v="Standard Class"/>
    <s v="Valid"/>
    <x v="2"/>
    <n v="2024"/>
    <s v="Invalid"/>
    <s v="Ship Before Order"/>
    <s v="Valid"/>
    <s v="Missmatched"/>
    <s v="Missmatched"/>
  </r>
  <r>
    <s v="ORD-2025-10028"/>
    <d v="2025-09-29T00:00:00"/>
    <d v="2024-08-23T00:00:00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4710.3599999999997"/>
    <x v="27"/>
    <x v="27"/>
    <n v="2064.0500000000002"/>
    <n v="8256.2099999999991"/>
    <x v="3"/>
    <s v="Failed"/>
    <x v="2"/>
    <n v="-402"/>
    <s v="OK"/>
    <s v="Invalid"/>
    <s v="Unique"/>
    <s v="South"/>
    <s v="Second Class"/>
    <s v="Valid"/>
    <x v="6"/>
    <n v="2025"/>
    <s v="Invalid"/>
    <s v="Ship Before Order"/>
    <s v="Valid"/>
    <s v="Missmatched"/>
    <s v="Missmatched"/>
  </r>
  <r>
    <s v="ORD-2024-10029"/>
    <d v="2024-10-11T00:00:00"/>
    <d v="2024-08-24T00:00:00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2122.33"/>
    <x v="28"/>
    <x v="28"/>
    <n v="791"/>
    <n v="3164"/>
    <x v="1"/>
    <s v="Refunded"/>
    <x v="1"/>
    <n v="-48"/>
    <s v="OK"/>
    <s v="Invalid"/>
    <s v="Unique"/>
    <s v="West"/>
    <s v="Second Class"/>
    <s v="Valid"/>
    <x v="4"/>
    <n v="2024"/>
    <s v="Invalid"/>
    <s v="Ship Before Order"/>
    <s v="Valid"/>
    <s v="Ok"/>
    <s v="Ok"/>
  </r>
  <r>
    <s v="ORD-2025-10030"/>
    <d v="2025-08-13T00:00:00"/>
    <d v="2024-08-25T00:00:0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1"/>
    <n v="119.77"/>
    <x v="29"/>
    <x v="29"/>
    <n v="97.84"/>
    <n v="652.25666666666666"/>
    <x v="0"/>
    <s v="Paid"/>
    <x v="0"/>
    <n v="-353"/>
    <s v="OK"/>
    <s v="Invalid"/>
    <s v="Unique"/>
    <s v="South"/>
    <s v="Standard Class"/>
    <s v="Valid"/>
    <x v="1"/>
    <n v="2025"/>
    <s v="Invalid"/>
    <s v="Ship Before Order"/>
    <s v="Valid"/>
    <s v="Missmatched"/>
    <s v="Missmatched"/>
  </r>
  <r>
    <s v="ORD-2024-10031"/>
    <d v="2024-09-02T00:00:00"/>
    <d v="2024-08-26T00:00:00"/>
    <s v="CUST-8759"/>
    <s v="Ananya Rao"/>
    <x v="2"/>
    <x v="3"/>
    <s v="Goa"/>
    <s v="Panaji"/>
    <x v="0"/>
    <x v="7"/>
    <s v="Pro Labels 355"/>
    <x v="2"/>
    <n v="1"/>
    <n v="3421.77"/>
    <n v="0.1"/>
    <n v="0.1"/>
    <n v="3079.59"/>
    <n v="2001.89"/>
    <x v="30"/>
    <x v="30"/>
    <n v="1077.7"/>
    <n v="10777.029999999997"/>
    <x v="0"/>
    <s v="Paid"/>
    <x v="0"/>
    <n v="-7"/>
    <s v="OK"/>
    <s v="Invalid"/>
    <s v="Unique"/>
    <s v="West"/>
    <s v="First Class"/>
    <s v="Valid"/>
    <x v="6"/>
    <n v="2024"/>
    <s v="Invalid"/>
    <s v="Ship Before Order"/>
    <s v="Valid"/>
    <s v="Missmatched"/>
    <s v="Missmatched"/>
  </r>
  <r>
    <s v="ORD-2025-10032"/>
    <d v="2025-06-15T00:00:00"/>
    <d v="2024-08-27T00:00:00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17769.75"/>
    <x v="31"/>
    <x v="31"/>
    <n v="10063.200000000001"/>
    <n v="0"/>
    <x v="3"/>
    <s v="Failed"/>
    <x v="2"/>
    <n v="-292"/>
    <s v="OK"/>
    <s v="Invalid"/>
    <s v="Unique"/>
    <s v="West"/>
    <s v="Second Class"/>
    <s v="Valid"/>
    <x v="10"/>
    <n v="2025"/>
    <s v="Invalid"/>
    <s v="Ship Before Order"/>
    <s v="Valid"/>
    <s v="Ok"/>
    <s v="Ok"/>
  </r>
  <r>
    <s v="ORD-2024-10033"/>
    <d v="2024-11-22T00:00:00"/>
    <d v="2024-08-28T00:00:00"/>
    <s v="CUST-6509"/>
    <s v="Aarav Sharma"/>
    <x v="2"/>
    <x v="2"/>
    <s v="Andhra Pradesh"/>
    <s v="Vijayawada"/>
    <x v="2"/>
    <x v="11"/>
    <s v="Basic Phones 242"/>
    <x v="0"/>
    <n v="3"/>
    <n v="4001.25"/>
    <m/>
    <n v="0"/>
    <n v="9002.81"/>
    <n v="7529.92"/>
    <x v="32"/>
    <x v="32"/>
    <n v="1472.89"/>
    <n v="0"/>
    <x v="0"/>
    <s v="Paid"/>
    <x v="0"/>
    <n v="-86"/>
    <s v="OK"/>
    <s v="Invalid"/>
    <s v="Unique"/>
    <s v="South"/>
    <s v="Second Class"/>
    <s v="Valid"/>
    <x v="2"/>
    <n v="2024"/>
    <s v="Invalid"/>
    <s v="Ship Before Order"/>
    <s v="Valid"/>
    <s v="Missmatched"/>
    <s v="Missmatched"/>
  </r>
  <r>
    <s v="ORD-2024-10034"/>
    <d v="2024-07-22T00:00:00"/>
    <d v="2024-08-29T00:00:00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"/>
    <n v="2070.73"/>
    <x v="33"/>
    <x v="33"/>
    <n v="514.41999999999996"/>
    <n v="2057.6900000000005"/>
    <x v="0"/>
    <s v="Paid"/>
    <x v="0"/>
    <n v="38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035"/>
    <d v="2025-01-31T00:00:00"/>
    <d v="2024-08-30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"/>
    <n v="4340.21"/>
    <x v="34"/>
    <x v="34"/>
    <n v="2607.3200000000002"/>
    <n v="11576.47"/>
    <x v="0"/>
    <s v="Paid"/>
    <x v="0"/>
    <n v="-154"/>
    <s v="OK"/>
    <s v="Invalid"/>
    <s v="Unique"/>
    <s v="East"/>
    <s v="Unknown"/>
    <s v="Valid"/>
    <x v="8"/>
    <n v="2025"/>
    <s v="Invalid"/>
    <s v="Ship Before Order"/>
    <s v="Valid"/>
    <s v="Missmatched"/>
    <s v="Missmatched"/>
  </r>
  <r>
    <s v="ORD-2024-10036"/>
    <d v="2024-05-29T00:00:00"/>
    <d v="2024-08-31T00:00:0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"/>
    <n v="15313.83"/>
    <x v="35"/>
    <x v="35"/>
    <n v="3740.28"/>
    <n v="74805.639999999941"/>
    <x v="2"/>
    <s v="Pending"/>
    <x v="2"/>
    <n v="94"/>
    <s v="OK"/>
    <s v="Valid"/>
    <s v="Unique"/>
    <s v="West"/>
    <s v="Second Class"/>
    <s v="Valid"/>
    <x v="3"/>
    <n v="2024"/>
    <s v="Clean"/>
    <s v="OK"/>
    <s v="Valid"/>
    <s v="Missmatched"/>
    <s v="Missmatched"/>
  </r>
  <r>
    <s v="ORD-2024-10037"/>
    <d v="2024-10-25T00:00:00"/>
    <d v="2024-09-01T00:00:00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6670.85"/>
    <x v="36"/>
    <x v="36"/>
    <n v="2708.56"/>
    <n v="0"/>
    <x v="0"/>
    <s v="Paid"/>
    <x v="2"/>
    <n v="-54"/>
    <s v="OK"/>
    <s v="Invalid"/>
    <s v="Unique"/>
    <s v="West"/>
    <s v="Second Class"/>
    <s v="Valid"/>
    <x v="4"/>
    <n v="2024"/>
    <s v="Invalid"/>
    <s v="Ship Before Order"/>
    <s v="Valid"/>
    <s v="Ok"/>
    <s v="Ok"/>
  </r>
  <r>
    <s v="ORD-2025-10038"/>
    <d v="2025-07-29T00:00:00"/>
    <d v="2024-09-02T00:00:00"/>
    <s v="CUST-4646"/>
    <s v="Diya Patel"/>
    <x v="0"/>
    <x v="3"/>
    <s v="Maharashtra"/>
    <s v="Mumbai"/>
    <x v="2"/>
    <x v="6"/>
    <s v="Pro Copiers 830"/>
    <x v="3"/>
    <n v="4"/>
    <n v="1327.54"/>
    <n v="0.2"/>
    <n v="0.2"/>
    <n v="4248.13"/>
    <n v="3321.09"/>
    <x v="37"/>
    <x v="37"/>
    <n v="927.04"/>
    <n v="4635.1899999999978"/>
    <x v="0"/>
    <s v="Paid"/>
    <x v="0"/>
    <n v="-330"/>
    <s v="OK"/>
    <s v="Invalid"/>
    <s v="Unique"/>
    <s v="West"/>
    <s v="Standard Class"/>
    <s v="Valid"/>
    <x v="0"/>
    <n v="2025"/>
    <s v="Invalid"/>
    <s v="Ship Before Order"/>
    <s v="Valid"/>
    <s v="Missmatched"/>
    <s v="Missmatched"/>
  </r>
  <r>
    <s v="ORD-2024-10039"/>
    <d v="2024-06-17T00:00:00"/>
    <d v="2024-09-03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"/>
    <n v="10504.87"/>
    <x v="38"/>
    <x v="38"/>
    <n v="3422.41"/>
    <n v="34224.139999999985"/>
    <x v="0"/>
    <s v="Paid"/>
    <x v="0"/>
    <n v="78"/>
    <s v="OK"/>
    <s v="Valid"/>
    <s v="Unique"/>
    <s v="West"/>
    <s v="First Class"/>
    <s v="Valid"/>
    <x v="10"/>
    <n v="2024"/>
    <s v="Clean"/>
    <s v="OK"/>
    <s v="Valid"/>
    <s v="Missmatched"/>
    <s v="Missmatched"/>
  </r>
  <r>
    <s v="ORD-2024-10040"/>
    <d v="2024-11-12T00:00:00"/>
    <d v="2024-09-04T00:00:00"/>
    <s v="CUST-5830"/>
    <s v="Mira Das"/>
    <x v="1"/>
    <x v="3"/>
    <s v="Madhya Pradesh"/>
    <s v="Indore"/>
    <x v="2"/>
    <x v="6"/>
    <s v="Classic Copiers 590"/>
    <x v="2"/>
    <n v="4"/>
    <n v="1370.92"/>
    <n v="0.1"/>
    <n v="0.1"/>
    <n v="4935.3100000000004"/>
    <n v="3374.77"/>
    <x v="39"/>
    <x v="39"/>
    <n v="1560.54"/>
    <n v="15605.420000000007"/>
    <x v="2"/>
    <s v="Pending"/>
    <x v="2"/>
    <n v="-69"/>
    <s v="OK"/>
    <s v="Invalid"/>
    <s v="Unique"/>
    <s v="West"/>
    <s v="First Class"/>
    <s v="Valid"/>
    <x v="2"/>
    <n v="2024"/>
    <s v="Invalid"/>
    <s v="Ship Before Order"/>
    <s v="Valid"/>
    <s v="Missmatched"/>
    <s v="Missmatched"/>
  </r>
  <r>
    <s v="ORD-2024-10041"/>
    <d v="2024-10-10T00:00:00"/>
    <d v="2024-09-05T00:00:00"/>
    <s v="CUST-7178"/>
    <s v="Isha Nair"/>
    <x v="3"/>
    <x v="3"/>
    <s v="Rajasthan"/>
    <s v="Udaipur"/>
    <x v="2"/>
    <x v="6"/>
    <s v="Eco Copiers 865"/>
    <x v="3"/>
    <n v="7"/>
    <n v="2509.27"/>
    <n v="0.2"/>
    <n v="0.2"/>
    <n v="14051.91"/>
    <n v="11990.37"/>
    <x v="40"/>
    <x v="40"/>
    <n v="2061.54"/>
    <n v="10307.709999999997"/>
    <x v="0"/>
    <s v="Paid"/>
    <x v="0"/>
    <n v="-35"/>
    <s v="OK"/>
    <s v="Invalid"/>
    <s v="Unique"/>
    <s v="West"/>
    <s v="Standard Class"/>
    <s v="Valid"/>
    <x v="4"/>
    <n v="2024"/>
    <s v="Invalid"/>
    <s v="Ship Before Order"/>
    <s v="Valid"/>
    <s v="Missmatched"/>
    <s v="Missmatched"/>
  </r>
  <r>
    <s v="ORD-2024-10042"/>
    <d v="2024-12-03T00:00:00"/>
    <d v="2024-09-06T00:00:00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4239.8900000000003"/>
    <x v="41"/>
    <x v="41"/>
    <n v="2606.59"/>
    <n v="0"/>
    <x v="2"/>
    <s v="Pending"/>
    <x v="1"/>
    <n v="-88"/>
    <s v="OK"/>
    <s v="Invalid"/>
    <s v="Unique"/>
    <s v="East"/>
    <s v="Same Day"/>
    <s v="Valid"/>
    <x v="7"/>
    <n v="2024"/>
    <s v="Invalid"/>
    <s v="Ship Before Order"/>
    <s v="Valid"/>
    <s v="Ok"/>
    <s v="Ok"/>
  </r>
  <r>
    <s v="ORD-2025-10043"/>
    <d v="2025-10-10T00:00:00"/>
    <d v="2024-09-07T00:00:00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"/>
    <n v="4496.22"/>
    <x v="42"/>
    <x v="42"/>
    <n v="2950.79"/>
    <n v="59015.839999999989"/>
    <x v="0"/>
    <s v="Paid"/>
    <x v="0"/>
    <n v="-398"/>
    <s v="OK"/>
    <s v="Invalid"/>
    <s v="Unique"/>
    <s v="East"/>
    <s v="Standard Class"/>
    <s v="Valid"/>
    <x v="4"/>
    <n v="2025"/>
    <s v="Invalid"/>
    <s v="Ship Before Order"/>
    <s v="Valid"/>
    <s v="Missmatched"/>
    <s v="Missmatched"/>
  </r>
  <r>
    <s v="ORD-2024-10044"/>
    <d v="2024-08-07T00:00:00"/>
    <d v="2024-09-08T00:00:00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1721.08"/>
    <x v="43"/>
    <x v="43"/>
    <n v="1309.6099999999999"/>
    <n v="0"/>
    <x v="0"/>
    <s v="Paid"/>
    <x v="0"/>
    <n v="32"/>
    <s v="OK"/>
    <s v="Valid"/>
    <s v="Unique"/>
    <s v="East"/>
    <s v="Same Day"/>
    <s v="Valid"/>
    <x v="1"/>
    <n v="2024"/>
    <s v="Clean"/>
    <s v="OK"/>
    <s v="Valid"/>
    <s v="Ok"/>
    <s v="Ok"/>
  </r>
  <r>
    <s v="ORD-2024-10045"/>
    <d v="2024-06-22T00:00:00"/>
    <d v="2024-09-09T00:00:00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4"/>
    <n v="17376.2"/>
    <x v="44"/>
    <x v="44"/>
    <n v="9594.94"/>
    <n v="95949.37000000001"/>
    <x v="0"/>
    <s v="Paid"/>
    <x v="0"/>
    <n v="79"/>
    <s v="OK"/>
    <s v="Valid"/>
    <s v="Unique"/>
    <s v="North"/>
    <s v="Standard Class"/>
    <s v="Valid"/>
    <x v="10"/>
    <n v="2024"/>
    <s v="Clean"/>
    <s v="OK"/>
    <s v="Valid"/>
    <s v="Missmatched"/>
    <s v="Missmatched"/>
  </r>
  <r>
    <s v="ORD-2024-10046"/>
    <d v="2024-01-18T00:00:00"/>
    <d v="2024-09-10T00:00:00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"/>
    <n v="17487.48"/>
    <x v="45"/>
    <x v="45"/>
    <n v="12363.95"/>
    <n v="247279.04"/>
    <x v="2"/>
    <s v="Pending"/>
    <x v="2"/>
    <n v="236"/>
    <s v="OK"/>
    <s v="Valid"/>
    <s v="Unique"/>
    <s v="East"/>
    <s v="Second Class"/>
    <s v="Valid"/>
    <x v="8"/>
    <n v="2024"/>
    <s v="Clean"/>
    <s v="OK"/>
    <s v="Valid"/>
    <s v="Missmatched"/>
    <s v="Missmatched"/>
  </r>
  <r>
    <s v="ORD-2024-10047"/>
    <d v="2024-07-19T00:00:00"/>
    <d v="2024-09-11T00:00:0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"/>
    <n v="10680.03"/>
    <x v="46"/>
    <x v="46"/>
    <n v="5430.8"/>
    <n v="21723.21"/>
    <x v="1"/>
    <s v="Refunded"/>
    <x v="2"/>
    <n v="54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4-10048"/>
    <d v="2024-08-12T00:00:00"/>
    <d v="2024-09-12T00:00:0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"/>
    <n v="12438.96"/>
    <x v="47"/>
    <x v="47"/>
    <n v="5167.2700000000004"/>
    <n v="51672.720000000008"/>
    <x v="0"/>
    <s v="Paid"/>
    <x v="0"/>
    <n v="31"/>
    <s v="OK"/>
    <s v="Valid"/>
    <s v="Unique"/>
    <s v="South"/>
    <s v="Standard Class"/>
    <s v="Valid"/>
    <x v="1"/>
    <n v="2024"/>
    <s v="Clean"/>
    <s v="OK"/>
    <s v="Valid"/>
    <s v="Missmatched"/>
    <s v="Missmatched"/>
  </r>
  <r>
    <s v="ORD-2025-10049"/>
    <d v="2025-01-30T00:00:00"/>
    <d v="2024-09-13T00:00:00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0938.59"/>
    <x v="48"/>
    <x v="48"/>
    <n v="7507.03"/>
    <n v="0"/>
    <x v="0"/>
    <s v="Paid"/>
    <x v="0"/>
    <n v="-139"/>
    <s v="OK"/>
    <s v="Invalid"/>
    <s v="Unique"/>
    <s v="West"/>
    <s v="Second Class"/>
    <s v="Valid"/>
    <x v="8"/>
    <n v="2025"/>
    <s v="Invalid"/>
    <s v="Ship Before Order"/>
    <s v="Valid"/>
    <s v="Ok"/>
    <s v="Ok"/>
  </r>
  <r>
    <s v="ORD-2024-10050"/>
    <d v="2024-06-04T00:00:00"/>
    <d v="2024-09-14T00:00:00"/>
    <s v="CUST-2380"/>
    <s v="Aarav Sharma"/>
    <x v="3"/>
    <x v="0"/>
    <s v="Uttar Pradesh"/>
    <s v="Noida"/>
    <x v="2"/>
    <x v="6"/>
    <s v="Classic Copiers 295"/>
    <x v="0"/>
    <n v="9"/>
    <n v="792.11"/>
    <n v="0.05"/>
    <n v="0.05"/>
    <n v="6772.54"/>
    <n v="5755.46"/>
    <x v="49"/>
    <x v="49"/>
    <n v="1017.08"/>
    <n v="20341.609999999982"/>
    <x v="0"/>
    <s v="Paid"/>
    <x v="0"/>
    <n v="102"/>
    <s v="OK"/>
    <s v="Valid"/>
    <s v="Unique"/>
    <s v="North"/>
    <s v="Second Class"/>
    <s v="Valid"/>
    <x v="10"/>
    <n v="2024"/>
    <s v="Clean"/>
    <s v="OK"/>
    <s v="Valid"/>
    <s v="Missmatched"/>
    <s v="Missmatched"/>
  </r>
  <r>
    <s v="ORD-2025-10051"/>
    <d v="2025-11-05T00:00:00"/>
    <d v="2024-09-15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1140.6500000000001"/>
    <x v="50"/>
    <x v="50"/>
    <n v="884.73"/>
    <n v="5898.2000000000007"/>
    <x v="0"/>
    <s v="Paid"/>
    <x v="0"/>
    <n v="-416"/>
    <s v="OK"/>
    <s v="Invalid"/>
    <s v="Unique"/>
    <s v="East"/>
    <s v="Standard Class"/>
    <s v="Valid"/>
    <x v="2"/>
    <n v="2025"/>
    <s v="Invalid"/>
    <s v="Ship Before Order"/>
    <s v="Valid"/>
    <s v="Ok"/>
    <s v="Ok"/>
  </r>
  <r>
    <s v="ORD-2024-10052"/>
    <d v="2024-04-24T00:00:00"/>
    <d v="2024-09-16T00:00:00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7439.77"/>
    <x v="51"/>
    <x v="51"/>
    <n v="1728.71"/>
    <n v="0"/>
    <x v="0"/>
    <s v="Paid"/>
    <x v="0"/>
    <n v="145"/>
    <s v="OK"/>
    <s v="Valid"/>
    <s v="Unique"/>
    <s v="South"/>
    <s v="Standard Class"/>
    <s v="Valid"/>
    <x v="9"/>
    <n v="2024"/>
    <s v="Clean"/>
    <s v="OK"/>
    <s v="Valid"/>
    <s v="Ok"/>
    <s v="Ok"/>
  </r>
  <r>
    <s v="ORD-2024-10053"/>
    <d v="2024-10-26T00:00:00"/>
    <d v="2024-09-17T00:00:00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"/>
    <n v="10603.29"/>
    <x v="52"/>
    <x v="52"/>
    <n v="1993.38"/>
    <n v="0"/>
    <x v="3"/>
    <s v="Failed"/>
    <x v="1"/>
    <n v="-39"/>
    <s v="OK"/>
    <s v="Invalid"/>
    <s v="Unique"/>
    <s v="North"/>
    <s v="First Class"/>
    <s v="Valid"/>
    <x v="4"/>
    <n v="2024"/>
    <s v="Invalid"/>
    <s v="Ship Before Order"/>
    <s v="Valid"/>
    <s v="Ok"/>
    <s v="Ok"/>
  </r>
  <r>
    <s v="ORD-2025-10054"/>
    <d v="2025-03-31T00:00:00"/>
    <d v="2024-09-18T00:00:0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5"/>
    <n v="2838.68"/>
    <x v="53"/>
    <x v="53"/>
    <n v="2293.0700000000002"/>
    <n v="15287.11666666667"/>
    <x v="0"/>
    <s v="Paid"/>
    <x v="0"/>
    <n v="-194"/>
    <s v="OK"/>
    <s v="Invalid"/>
    <s v="Unique"/>
    <s v="West"/>
    <s v="First Class"/>
    <s v="Valid"/>
    <x v="11"/>
    <n v="2025"/>
    <s v="Invalid"/>
    <s v="Ship Before Order"/>
    <s v="Valid"/>
    <s v="Missmatched"/>
    <s v="Missmatched"/>
  </r>
  <r>
    <s v="ORD-2025-10055"/>
    <d v="2025-05-30T00:00:00"/>
    <d v="2024-09-19T00:00:00"/>
    <s v="CUST-9039"/>
    <s v="Arjun Bose"/>
    <x v="2"/>
    <x v="2"/>
    <s v="Tamil Nadu"/>
    <s v="Chennai"/>
    <x v="0"/>
    <x v="7"/>
    <s v="Pro Labels 957"/>
    <x v="1"/>
    <n v="8"/>
    <n v="474.37"/>
    <n v="0.1"/>
    <n v="0.1"/>
    <n v="3415.46"/>
    <n v="1993.23"/>
    <x v="54"/>
    <x v="54"/>
    <n v="1422.23"/>
    <n v="14222.339999999998"/>
    <x v="3"/>
    <s v="Failed"/>
    <x v="1"/>
    <n v="-253"/>
    <s v="OK"/>
    <s v="Invalid"/>
    <s v="Unique"/>
    <s v="South"/>
    <s v="Same Day"/>
    <s v="Valid"/>
    <x v="3"/>
    <n v="2025"/>
    <s v="Invalid"/>
    <s v="Ship Before Order"/>
    <s v="Valid"/>
    <s v="Missmatched"/>
    <s v="Missmatched"/>
  </r>
  <r>
    <s v="ORD-2025-10056"/>
    <d v="2025-07-01T00:00:00"/>
    <d v="2024-09-20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2803.13"/>
    <x v="55"/>
    <x v="55"/>
    <n v="608.41"/>
    <n v="2433.6399999999994"/>
    <x v="0"/>
    <s v="Paid"/>
    <x v="0"/>
    <n v="-284"/>
    <s v="OK"/>
    <s v="Invalid"/>
    <s v="Unique"/>
    <s v="South"/>
    <s v="Same Day"/>
    <s v="Valid"/>
    <x v="0"/>
    <n v="2025"/>
    <s v="Invalid"/>
    <s v="Ship Before Order"/>
    <s v="Valid"/>
    <s v="Ok"/>
    <s v="Ok"/>
  </r>
  <r>
    <s v="ORD-2025-10057"/>
    <d v="2025-05-01T00:00:00"/>
    <d v="2024-09-21T00:00:00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6557.83"/>
    <x v="56"/>
    <x v="56"/>
    <n v="2909"/>
    <n v="0"/>
    <x v="1"/>
    <s v="Refunded"/>
    <x v="1"/>
    <n v="-222"/>
    <s v="OK"/>
    <s v="Invalid"/>
    <s v="Unique"/>
    <s v="South"/>
    <s v="Second Class"/>
    <s v="Valid"/>
    <x v="3"/>
    <n v="2025"/>
    <s v="Invalid"/>
    <s v="Ship Before Order"/>
    <s v="Valid"/>
    <s v="Ok"/>
    <s v="Ok"/>
  </r>
  <r>
    <s v="ORD-2024-10058"/>
    <d v="2024-07-02T00:00:00"/>
    <d v="2024-09-22T00:00:00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091.54"/>
    <x v="57"/>
    <x v="57"/>
    <n v="187.81"/>
    <n v="0"/>
    <x v="0"/>
    <s v="Paid"/>
    <x v="0"/>
    <n v="82"/>
    <s v="OK"/>
    <s v="Valid"/>
    <s v="Unique"/>
    <s v="West"/>
    <s v="Same Day"/>
    <s v="Valid"/>
    <x v="0"/>
    <n v="2024"/>
    <s v="Clean"/>
    <s v="OK"/>
    <s v="Valid"/>
    <s v="Ok"/>
    <s v="Ok"/>
  </r>
  <r>
    <s v="ORD-2024-10059"/>
    <d v="2024-01-09T00:00:00"/>
    <d v="2024-09-23T00:00:00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9"/>
    <n v="6578.06"/>
    <x v="58"/>
    <x v="58"/>
    <n v="4676.7299999999996"/>
    <n v="46767.28"/>
    <x v="2"/>
    <s v="Pending"/>
    <x v="2"/>
    <n v="258"/>
    <s v="OK"/>
    <s v="Valid"/>
    <s v="Unique"/>
    <s v="North"/>
    <s v="Unknown"/>
    <s v="Valid"/>
    <x v="8"/>
    <n v="2024"/>
    <s v="Clean"/>
    <s v="OK"/>
    <s v="Valid"/>
    <s v="Missmatched"/>
    <s v="Missmatched"/>
  </r>
  <r>
    <s v="ORD-2024-10060"/>
    <d v="2024-07-20T00:00:00"/>
    <d v="2024-09-24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0.2"/>
    <n v="16535.400000000001"/>
    <n v="12990.21"/>
    <x v="59"/>
    <x v="59"/>
    <n v="3545.19"/>
    <n v="17725.950000000012"/>
    <x v="0"/>
    <s v="Paid"/>
    <x v="1"/>
    <n v="66"/>
    <s v="OK"/>
    <s v="Valid"/>
    <s v="Unique"/>
    <s v="East"/>
    <s v="Same Day"/>
    <s v="Valid"/>
    <x v="0"/>
    <n v="2024"/>
    <s v="Clean"/>
    <s v="OK"/>
    <s v="Valid"/>
    <s v="Ok"/>
    <s v="Ok"/>
  </r>
  <r>
    <s v="ORD-2024-10061"/>
    <d v="2024-07-13T00:00:00"/>
    <d v="2024-09-25T00:00:00"/>
    <s v="CUST-2892"/>
    <s v="Ananya Rao"/>
    <x v="2"/>
    <x v="1"/>
    <s v="Assam"/>
    <s v="Guwahati"/>
    <x v="0"/>
    <x v="7"/>
    <s v="Eco Labels 210"/>
    <x v="1"/>
    <n v="3"/>
    <n v="275.76"/>
    <n v="0.2"/>
    <n v="0.2"/>
    <n v="661.82"/>
    <n v="481.47"/>
    <x v="60"/>
    <x v="60"/>
    <n v="180.35"/>
    <n v="901.77000000000021"/>
    <x v="1"/>
    <s v="Refunded"/>
    <x v="1"/>
    <n v="74"/>
    <s v="OK"/>
    <s v="Valid"/>
    <s v="Unique"/>
    <s v="East"/>
    <s v="Same Day"/>
    <s v="Valid"/>
    <x v="0"/>
    <n v="2024"/>
    <s v="Clean"/>
    <s v="OK"/>
    <s v="Valid"/>
    <s v="Missmatched"/>
    <s v="Missmatched"/>
  </r>
  <r>
    <s v="ORD-2024-10062"/>
    <d v="2024-04-16T00:00:00"/>
    <d v="2024-09-26T00:00:0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751.25"/>
    <x v="61"/>
    <x v="61"/>
    <n v="198.34"/>
    <n v="0"/>
    <x v="0"/>
    <s v="Paid"/>
    <x v="0"/>
    <n v="163"/>
    <s v="OK"/>
    <s v="Valid"/>
    <s v="Unique"/>
    <s v="East"/>
    <s v="Standard Class"/>
    <s v="Valid"/>
    <x v="9"/>
    <n v="2024"/>
    <s v="Clean"/>
    <s v="OK"/>
    <s v="Valid"/>
    <s v="Ok"/>
    <s v="Ok"/>
  </r>
  <r>
    <s v="ORD-2024-10063"/>
    <d v="2024-10-30T00:00:00"/>
    <d v="2024-09-27T00:00:00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9"/>
    <n v="13570.55"/>
    <x v="62"/>
    <x v="62"/>
    <n v="8333.94"/>
    <n v="41669.69000000001"/>
    <x v="0"/>
    <s v="Paid"/>
    <x v="0"/>
    <n v="-33"/>
    <s v="OK"/>
    <s v="Invalid"/>
    <s v="Unique"/>
    <s v="North"/>
    <s v="Standard Class"/>
    <s v="Valid"/>
    <x v="4"/>
    <n v="2024"/>
    <s v="Invalid"/>
    <s v="Ship Before Order"/>
    <s v="Valid"/>
    <s v="Missmatched"/>
    <s v="Missmatched"/>
  </r>
  <r>
    <s v="ORD-2024-10064"/>
    <d v="2024-01-25T00:00:00"/>
    <d v="2024-09-28T00:00:00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1"/>
    <n v="3027.75"/>
    <x v="63"/>
    <x v="63"/>
    <n v="1917.47"/>
    <n v="11919.726666666666"/>
    <x v="0"/>
    <s v="Paid"/>
    <x v="0"/>
    <n v="247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4-10065"/>
    <d v="2024-12-23T00:00:00"/>
    <d v="2024-09-29T00:00:00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8"/>
    <n v="2367.63"/>
    <x v="64"/>
    <x v="64"/>
    <n v="767.25"/>
    <n v="0"/>
    <x v="1"/>
    <s v="Refunded"/>
    <x v="2"/>
    <n v="-85"/>
    <s v="OK"/>
    <s v="Invalid"/>
    <s v="Unique"/>
    <s v="East"/>
    <s v="First Class"/>
    <s v="Valid"/>
    <x v="7"/>
    <n v="2024"/>
    <s v="Invalid"/>
    <s v="Ship Before Order"/>
    <s v="Valid"/>
    <s v="Ok"/>
    <s v="Ok"/>
  </r>
  <r>
    <s v="ORD-2024-10066"/>
    <d v="2024-04-22T00:00:00"/>
    <d v="2024-09-30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2628.92"/>
    <x v="65"/>
    <x v="65"/>
    <n v="1437.26"/>
    <n v="28745.209999999988"/>
    <x v="0"/>
    <s v="Paid"/>
    <x v="0"/>
    <n v="161"/>
    <s v="OK"/>
    <s v="Valid"/>
    <s v="Unique"/>
    <s v="West"/>
    <s v="Second Class"/>
    <s v="Valid"/>
    <x v="9"/>
    <n v="2024"/>
    <s v="Clean"/>
    <s v="OK"/>
    <s v="Valid"/>
    <s v="Missmatched"/>
    <s v="Missmatched"/>
  </r>
  <r>
    <s v="ORD-2025-10067"/>
    <d v="2025-08-28T00:00:00"/>
    <d v="2024-10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1"/>
    <n v="4610.34"/>
    <x v="66"/>
    <x v="66"/>
    <n v="2421.77"/>
    <n v="48435.379999999983"/>
    <x v="0"/>
    <s v="Paid"/>
    <x v="0"/>
    <n v="-331"/>
    <s v="OK"/>
    <s v="Invalid"/>
    <s v="Unique"/>
    <s v="South"/>
    <s v="Same Day"/>
    <s v="Valid"/>
    <x v="1"/>
    <n v="2025"/>
    <s v="Invalid"/>
    <s v="Ship Before Order"/>
    <s v="Valid"/>
    <s v="Missmatched"/>
    <s v="Missmatched"/>
  </r>
  <r>
    <s v="ORD-2025-10068"/>
    <d v="2025-03-02T00:00:00"/>
    <d v="2024-10-02T00:00:00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"/>
    <n v="18707.57"/>
    <x v="67"/>
    <x v="67"/>
    <n v="5294.54"/>
    <n v="105890.82000000002"/>
    <x v="0"/>
    <s v="Paid"/>
    <x v="0"/>
    <n v="-151"/>
    <s v="OK"/>
    <s v="Invalid"/>
    <s v="Unique"/>
    <s v="North"/>
    <s v="First Class"/>
    <s v="Valid"/>
    <x v="11"/>
    <n v="2025"/>
    <s v="Invalid"/>
    <s v="Ship Before Order"/>
    <s v="Valid"/>
    <s v="Missmatched"/>
    <s v="Missmatched"/>
  </r>
  <r>
    <s v="ORD-2024-10069"/>
    <d v="2024-10-11T00:00:00"/>
    <d v="2024-10-03T00:00:00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80000000002"/>
    <n v="10962.66"/>
    <x v="68"/>
    <x v="68"/>
    <n v="8937.42"/>
    <n v="0"/>
    <x v="3"/>
    <s v="Failed"/>
    <x v="2"/>
    <n v="-8"/>
    <s v="OK"/>
    <s v="Invalid"/>
    <s v="Unique"/>
    <s v="East"/>
    <s v="Second Class"/>
    <s v="Valid"/>
    <x v="4"/>
    <n v="2024"/>
    <s v="Invalid"/>
    <s v="Ship Before Order"/>
    <s v="Valid"/>
    <s v="Ok"/>
    <s v="Ok"/>
  </r>
  <r>
    <s v="ORD-2024-10070"/>
    <d v="2024-09-04T00:00:00"/>
    <d v="2024-10-04T00:00:00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18287.580000000002"/>
    <x v="69"/>
    <x v="69"/>
    <n v="3240.09"/>
    <n v="32400.869999999995"/>
    <x v="1"/>
    <s v="Refunded"/>
    <x v="2"/>
    <n v="30"/>
    <s v="OK"/>
    <s v="Valid"/>
    <s v="Unique"/>
    <s v="West"/>
    <s v="Same Day"/>
    <s v="Valid"/>
    <x v="6"/>
    <n v="2024"/>
    <s v="Clean"/>
    <s v="OK"/>
    <s v="Valid"/>
    <s v="Missmatched"/>
    <s v="Missmatched"/>
  </r>
  <r>
    <s v="ORD-2025-10071"/>
    <d v="2025-08-22T00:00:00"/>
    <d v="2024-10-05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8"/>
    <n v="1070.2"/>
    <x v="70"/>
    <x v="70"/>
    <n v="469.78"/>
    <n v="3131.86"/>
    <x v="0"/>
    <s v="Paid"/>
    <x v="0"/>
    <n v="-321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5-10072"/>
    <d v="2025-04-16T00:00:00"/>
    <d v="2024-10-06T00:00:00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3"/>
    <n v="6447.36"/>
    <x v="71"/>
    <x v="71"/>
    <n v="4500.17"/>
    <n v="45001.68"/>
    <x v="0"/>
    <s v="Paid"/>
    <x v="0"/>
    <n v="-192"/>
    <s v="OK"/>
    <s v="Invalid"/>
    <s v="Unique"/>
    <s v="West"/>
    <s v="Standard Class"/>
    <s v="Valid"/>
    <x v="9"/>
    <n v="2025"/>
    <s v="Invalid"/>
    <s v="Ship Before Order"/>
    <s v="Valid"/>
    <s v="Missmatched"/>
    <s v="Missmatched"/>
  </r>
  <r>
    <s v="ORD-2024-10073"/>
    <d v="2024-11-02T00:00:00"/>
    <d v="2024-10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0039.049999999999"/>
    <x v="72"/>
    <x v="72"/>
    <n v="3571.4"/>
    <n v="23809.309999999994"/>
    <x v="0"/>
    <s v="Paid"/>
    <x v="0"/>
    <n v="-26"/>
    <s v="OK"/>
    <s v="Invalid"/>
    <s v="Unique"/>
    <s v="South"/>
    <s v="First Class"/>
    <s v="Valid"/>
    <x v="2"/>
    <n v="2024"/>
    <s v="Invalid"/>
    <s v="Ship Before Order"/>
    <s v="Valid"/>
    <s v="Missmatched"/>
    <s v="Missmatched"/>
  </r>
  <r>
    <s v="ORD-2025-10074"/>
    <d v="2025-03-29T00:00:00"/>
    <d v="2024-10-08T00:00:00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4382.1499999999996"/>
    <x v="73"/>
    <x v="73"/>
    <n v="2746.55"/>
    <n v="0"/>
    <x v="0"/>
    <s v="Paid"/>
    <x v="0"/>
    <n v="-172"/>
    <s v="OK"/>
    <s v="Invalid"/>
    <s v="Unique"/>
    <s v="East"/>
    <s v="First Class"/>
    <s v="Valid"/>
    <x v="11"/>
    <n v="2025"/>
    <s v="Invalid"/>
    <s v="Ship Before Order"/>
    <s v="Valid"/>
    <s v="Ok"/>
    <s v="Ok"/>
  </r>
  <r>
    <s v="ORD-2025-10075"/>
    <d v="2025-02-27T00:00:00"/>
    <d v="2024-10-09T00:00:00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2671.08"/>
    <x v="74"/>
    <x v="74"/>
    <n v="638.76"/>
    <n v="0"/>
    <x v="0"/>
    <s v="Paid"/>
    <x v="0"/>
    <n v="-141"/>
    <s v="OK"/>
    <s v="Invalid"/>
    <s v="Unique"/>
    <s v="East"/>
    <s v="Standard Class"/>
    <s v="Valid"/>
    <x v="5"/>
    <n v="2025"/>
    <s v="Invalid"/>
    <s v="Ship Before Order"/>
    <s v="Valid"/>
    <s v="Ok"/>
    <s v="Ok"/>
  </r>
  <r>
    <s v="ORD-2025-10076"/>
    <d v="2025-08-22T00:00:00"/>
    <d v="2024-10-10T00:00:00"/>
    <s v="CUST-5808"/>
    <s v="Priya Menon"/>
    <x v="1"/>
    <x v="1"/>
    <s v="Odisha"/>
    <s v="Bhubaneswar"/>
    <x v="0"/>
    <x v="7"/>
    <s v="Eco Labels 653"/>
    <x v="2"/>
    <n v="3"/>
    <n v="3294.82"/>
    <n v="0.2"/>
    <n v="0.2"/>
    <n v="7907.57"/>
    <n v="5391.18"/>
    <x v="75"/>
    <x v="75"/>
    <n v="2516.39"/>
    <n v="12581.940000000004"/>
    <x v="0"/>
    <s v="Paid"/>
    <x v="0"/>
    <n v="-316"/>
    <s v="OK"/>
    <s v="Invalid"/>
    <s v="Unique"/>
    <s v="East"/>
    <s v="First Class"/>
    <s v="Valid"/>
    <x v="1"/>
    <n v="2025"/>
    <s v="Invalid"/>
    <s v="Ship Before Order"/>
    <s v="Valid"/>
    <s v="Missmatched"/>
    <s v="Missmatched"/>
  </r>
  <r>
    <s v="ORD-2024-10077"/>
    <d v="2024-03-11T00:00:00"/>
    <d v="2024-10-11T00:00:00"/>
    <s v="CUST-2642"/>
    <s v="Ananya Rao"/>
    <x v="2"/>
    <x v="1"/>
    <s v="Jharkhand"/>
    <s v="Ranchi"/>
    <x v="0"/>
    <x v="7"/>
    <s v="Max Labels 617"/>
    <x v="0"/>
    <n v="3"/>
    <n v="3406.27"/>
    <n v="0"/>
    <n v="0"/>
    <n v="10218.81"/>
    <n v="7616.97"/>
    <x v="76"/>
    <x v="76"/>
    <n v="2601.84"/>
    <n v="0"/>
    <x v="0"/>
    <s v="Paid"/>
    <x v="0"/>
    <n v="214"/>
    <s v="OK"/>
    <s v="Valid"/>
    <s v="Unique"/>
    <s v="East"/>
    <s v="Second Class"/>
    <s v="Valid"/>
    <x v="11"/>
    <n v="2024"/>
    <s v="Clean"/>
    <s v="OK"/>
    <s v="Valid"/>
    <s v="Ok"/>
    <s v="Ok"/>
  </r>
  <r>
    <s v="ORD-2025-10078"/>
    <d v="2025-08-07T00:00:00"/>
    <d v="2024-10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1223.17"/>
    <x v="77"/>
    <x v="77"/>
    <n v="971.7"/>
    <n v="6477.9999999999991"/>
    <x v="1"/>
    <s v="Refunded"/>
    <x v="1"/>
    <n v="-299"/>
    <s v="OK"/>
    <s v="Invalid"/>
    <s v="Unique"/>
    <s v="North"/>
    <s v="Standard Class"/>
    <s v="Valid"/>
    <x v="1"/>
    <n v="2025"/>
    <s v="Invalid"/>
    <s v="Ship Before Order"/>
    <s v="Valid"/>
    <s v="Ok"/>
    <s v="Ok"/>
  </r>
  <r>
    <s v="ORD-2025-10079"/>
    <d v="2025-07-16T00:00:00"/>
    <d v="2024-10-13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6778.85"/>
    <x v="78"/>
    <x v="78"/>
    <n v="2271.5700000000002"/>
    <n v="15143.78333333334"/>
    <x v="0"/>
    <s v="Paid"/>
    <x v="0"/>
    <n v="-276"/>
    <s v="OK"/>
    <s v="Invalid"/>
    <s v="Unique"/>
    <s v="East"/>
    <s v="First Class"/>
    <s v="Valid"/>
    <x v="0"/>
    <n v="2025"/>
    <s v="Invalid"/>
    <s v="Ship Before Order"/>
    <s v="Valid"/>
    <s v="Missmatched"/>
    <s v="Missmatched"/>
  </r>
  <r>
    <s v="ORD-2025-10080"/>
    <d v="2025-09-27T00:00:00"/>
    <d v="2024-10-14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"/>
    <n v="24781.26"/>
    <x v="79"/>
    <x v="79"/>
    <n v="8684.0499999999993"/>
    <n v="86840.520000000062"/>
    <x v="0"/>
    <s v="Paid"/>
    <x v="0"/>
    <n v="-348"/>
    <s v="OK"/>
    <s v="Invalid"/>
    <s v="Unique"/>
    <s v="South"/>
    <s v="Same Day"/>
    <s v="Valid"/>
    <x v="6"/>
    <n v="2025"/>
    <s v="Invalid"/>
    <s v="Ship Before Order"/>
    <s v="Valid"/>
    <s v="Missmatched"/>
    <s v="Missmatched"/>
  </r>
  <r>
    <s v="ORD-2024-10081"/>
    <d v="2024-10-08T00:00:00"/>
    <d v="2024-10-15T00:00:00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00000000004"/>
    <n v="2495.33"/>
    <x v="80"/>
    <x v="80"/>
    <n v="1761.02"/>
    <n v="17610.219999999998"/>
    <x v="2"/>
    <s v="Pending"/>
    <x v="2"/>
    <n v="7"/>
    <s v="OK"/>
    <s v="Valid"/>
    <s v="Unique"/>
    <s v="North"/>
    <s v="Second Class"/>
    <s v="Valid"/>
    <x v="4"/>
    <n v="2024"/>
    <s v="Clean"/>
    <s v="OK"/>
    <s v="Valid"/>
    <s v="Missmatched"/>
    <s v="Missmatched"/>
  </r>
  <r>
    <s v="ORD-2025-10082"/>
    <d v="2025-03-16T00:00:00"/>
    <d v="2024-10-16T00:00:00"/>
    <s v="CUST-7907"/>
    <s v="Karan Malhotra"/>
    <x v="3"/>
    <x v="3"/>
    <s v="Goa"/>
    <s v="Panaji"/>
    <x v="0"/>
    <x v="7"/>
    <s v="Eco Labels 662"/>
    <x v="1"/>
    <n v="3"/>
    <n v="1841.91"/>
    <n v="0"/>
    <n v="0"/>
    <n v="5525.73"/>
    <n v="3093.42"/>
    <x v="81"/>
    <x v="81"/>
    <n v="2432.31"/>
    <n v="0"/>
    <x v="0"/>
    <s v="Paid"/>
    <x v="0"/>
    <n v="-151"/>
    <s v="OK"/>
    <s v="Invalid"/>
    <s v="Unique"/>
    <s v="West"/>
    <s v="Same Day"/>
    <s v="Valid"/>
    <x v="11"/>
    <n v="2025"/>
    <s v="Invalid"/>
    <s v="Ship Before Order"/>
    <s v="Valid"/>
    <s v="Ok"/>
    <s v="Ok"/>
  </r>
  <r>
    <s v="ORD-2024-10083"/>
    <d v="2024-03-08T00:00:00"/>
    <d v="2024-10-17T00:00:00"/>
    <s v="CUST-6516"/>
    <s v="Arjun Bose"/>
    <x v="0"/>
    <x v="0"/>
    <s v="Uttar Pradesh"/>
    <s v="Noida"/>
    <x v="2"/>
    <x v="6"/>
    <s v="Smart Copiers 702"/>
    <x v="0"/>
    <n v="6"/>
    <n v="1001.73"/>
    <n v="0"/>
    <n v="0"/>
    <n v="6010.38"/>
    <n v="3762.85"/>
    <x v="82"/>
    <x v="82"/>
    <n v="2247.5300000000002"/>
    <n v="0"/>
    <x v="3"/>
    <s v="Failed"/>
    <x v="2"/>
    <n v="223"/>
    <s v="OK"/>
    <s v="Valid"/>
    <s v="Unique"/>
    <s v="North"/>
    <s v="Second Class"/>
    <s v="Valid"/>
    <x v="11"/>
    <n v="2024"/>
    <s v="Clean"/>
    <s v="OK"/>
    <s v="Valid"/>
    <s v="Ok"/>
    <s v="Ok"/>
  </r>
  <r>
    <s v="ORD-2024-10084"/>
    <d v="2024-10-26T00:00:00"/>
    <d v="2024-10-18T00:00:00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3"/>
    <n v="674.62"/>
    <x v="83"/>
    <x v="83"/>
    <n v="273.91000000000003"/>
    <n v="1369.5400000000006"/>
    <x v="0"/>
    <s v="Paid"/>
    <x v="0"/>
    <n v="-8"/>
    <s v="OK"/>
    <s v="Invalid"/>
    <s v="Unique"/>
    <s v="West"/>
    <s v="Second Class"/>
    <s v="Valid"/>
    <x v="4"/>
    <n v="2024"/>
    <s v="Invalid"/>
    <s v="Ship Before Order"/>
    <s v="Valid"/>
    <s v="Missmatched"/>
    <s v="Missmatched"/>
  </r>
  <r>
    <s v="ORD-2024-10085"/>
    <d v="2024-01-10T00:00:00"/>
    <d v="2024-10-19T00:00:00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"/>
    <n v="2085.44"/>
    <x v="84"/>
    <x v="84"/>
    <n v="651.9"/>
    <n v="3259.52"/>
    <x v="0"/>
    <s v="Paid"/>
    <x v="0"/>
    <n v="283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4-10086"/>
    <d v="2024-07-30T00:00:00"/>
    <d v="2024-10-20T00:00:00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343.99"/>
    <x v="85"/>
    <x v="85"/>
    <n v="264.64999999999998"/>
    <n v="0"/>
    <x v="0"/>
    <s v="Paid"/>
    <x v="1"/>
    <n v="82"/>
    <s v="OK"/>
    <s v="Valid"/>
    <s v="Unique"/>
    <s v="North"/>
    <s v="Standard Class"/>
    <s v="Valid"/>
    <x v="0"/>
    <n v="2024"/>
    <s v="Clean"/>
    <s v="OK"/>
    <s v="Valid"/>
    <s v="Ok"/>
    <s v="Ok"/>
  </r>
  <r>
    <s v="ORD-2024-10087"/>
    <d v="2024-01-07T00:00:00"/>
    <d v="2024-10-21T00:00:00"/>
    <s v="CUST-9148"/>
    <s v="Ananya Rao"/>
    <x v="1"/>
    <x v="0"/>
    <s v="Delhi"/>
    <s v="New Delhi"/>
    <x v="2"/>
    <x v="6"/>
    <s v="Basic Copiers 525"/>
    <x v="0"/>
    <n v="3"/>
    <n v="885.28"/>
    <n v="0.1"/>
    <n v="0.1"/>
    <n v="2390.2600000000002"/>
    <n v="1495.94"/>
    <x v="86"/>
    <x v="86"/>
    <n v="894.32"/>
    <n v="8943.1600000000017"/>
    <x v="1"/>
    <s v="Refunded"/>
    <x v="1"/>
    <n v="288"/>
    <s v="OK"/>
    <s v="Valid"/>
    <s v="Unique"/>
    <s v="North"/>
    <s v="Second Class"/>
    <s v="Valid"/>
    <x v="8"/>
    <n v="2024"/>
    <s v="Clean"/>
    <s v="OK"/>
    <s v="Valid"/>
    <s v="Missmatched"/>
    <s v="Missmatched"/>
  </r>
  <r>
    <s v="ORD-2024-10088"/>
    <d v="2024-08-02T00:00:00"/>
    <d v="2024-10-22T00:00:00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4"/>
    <n v="15490.89"/>
    <x v="87"/>
    <x v="87"/>
    <n v="7925.65"/>
    <n v="0"/>
    <x v="0"/>
    <s v="Paid"/>
    <x v="0"/>
    <n v="81"/>
    <s v="OK"/>
    <s v="Valid"/>
    <s v="Unique"/>
    <s v="East"/>
    <s v="Standard Class"/>
    <s v="Valid"/>
    <x v="1"/>
    <n v="2024"/>
    <s v="Clean"/>
    <s v="OK"/>
    <s v="Valid"/>
    <s v="Ok"/>
    <s v="Ok"/>
  </r>
  <r>
    <s v="ORD-2024-10089"/>
    <d v="2024-03-24T00:00:00"/>
    <d v="2024-10-23T00:00:00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"/>
    <n v="5345.88"/>
    <x v="88"/>
    <x v="88"/>
    <n v="895.14"/>
    <n v="17902.899999999991"/>
    <x v="0"/>
    <s v="Paid"/>
    <x v="0"/>
    <n v="213"/>
    <s v="OK"/>
    <s v="Valid"/>
    <s v="Unique"/>
    <s v="West"/>
    <s v="Standard Class"/>
    <s v="Valid"/>
    <x v="11"/>
    <n v="2024"/>
    <s v="Clean"/>
    <s v="OK"/>
    <s v="Valid"/>
    <s v="Missmatched"/>
    <s v="Missmatched"/>
  </r>
  <r>
    <s v="ORD-2024-10090"/>
    <d v="2024-05-09T00:00:00"/>
    <d v="2024-10-24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"/>
    <n v="12057.13"/>
    <x v="89"/>
    <x v="89"/>
    <n v="9004.9699999999993"/>
    <n v="45024.870000000017"/>
    <x v="2"/>
    <s v="Pending"/>
    <x v="1"/>
    <n v="168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5-10091"/>
    <d v="2025-08-24T00:00:00"/>
    <d v="2024-10-25T00:00:00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445.1"/>
    <n v="5586.28"/>
    <x v="90"/>
    <x v="90"/>
    <n v="3858.82"/>
    <n v="25725.453333333335"/>
    <x v="0"/>
    <s v="Paid"/>
    <x v="0"/>
    <n v="-303"/>
    <s v="OK"/>
    <s v="Invalid"/>
    <s v="Duplicate"/>
    <s v="East"/>
    <s v="First Class"/>
    <s v="Valid"/>
    <x v="1"/>
    <n v="2025"/>
    <s v="Invalid"/>
    <s v="Ship Before Order"/>
    <s v="Valid"/>
    <s v="Missmatched"/>
    <s v="Missmatched"/>
  </r>
  <r>
    <s v="ORD-2025-10092"/>
    <d v="2025-03-02T00:00:00"/>
    <d v="2024-10-26T00:00:00"/>
    <s v="CUST-6409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1538.35"/>
    <x v="91"/>
    <x v="91"/>
    <n v="804.53"/>
    <n v="0"/>
    <x v="0"/>
    <s v="Paid"/>
    <x v="0"/>
    <n v="-127"/>
    <s v="OK"/>
    <s v="Invalid"/>
    <s v="Unique"/>
    <s v="West"/>
    <s v="Second Class"/>
    <s v="Valid"/>
    <x v="11"/>
    <n v="2025"/>
    <s v="Invalid"/>
    <s v="Ship Before Order"/>
    <s v="Valid"/>
    <s v="Ok"/>
    <s v="Missmatched"/>
  </r>
  <r>
    <s v="ORD-2025-10093"/>
    <d v="2025-01-23T00:00:00"/>
    <d v="2024-10-27T00:00:00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29194.5"/>
    <x v="92"/>
    <x v="92"/>
    <n v="6917.41"/>
    <n v="69174.060000000027"/>
    <x v="0"/>
    <s v="Paid"/>
    <x v="0"/>
    <n v="-88"/>
    <s v="OK"/>
    <s v="Invalid"/>
    <s v="Unique"/>
    <s v="West"/>
    <s v="Standard Class"/>
    <s v="Valid"/>
    <x v="8"/>
    <n v="2025"/>
    <s v="Invalid"/>
    <s v="Ship Before Order"/>
    <s v="Valid"/>
    <s v="Missmatched"/>
    <s v="Missmatched"/>
  </r>
  <r>
    <s v="ORD-2024-10094"/>
    <d v="2024-07-01T00:00:00"/>
    <d v="2024-10-28T00:00:00"/>
    <s v="CUST-6106"/>
    <s v="Rohan Mehta"/>
    <x v="2"/>
    <x v="0"/>
    <s v="Uttar Pradesh"/>
    <s v="Noida"/>
    <x v="0"/>
    <x v="9"/>
    <s v="Eco Binders 780"/>
    <x v="3"/>
    <n v="7"/>
    <n v="2788.97"/>
    <n v="-0.09"/>
    <n v="-0.09"/>
    <n v="19522.79"/>
    <n v="12455.78"/>
    <x v="93"/>
    <x v="93"/>
    <n v="7067.01"/>
    <n v="-98045.123333333308"/>
    <x v="0"/>
    <s v="Paid"/>
    <x v="0"/>
    <n v="119"/>
    <s v="OK"/>
    <s v="Valid"/>
    <s v="Unique"/>
    <s v="North"/>
    <s v="Standard Class"/>
    <s v="Invalid"/>
    <x v="0"/>
    <n v="2024"/>
    <s v="Clean"/>
    <s v="OK"/>
    <s v="Valid"/>
    <s v="Missmatched"/>
    <s v="Missmatched"/>
  </r>
  <r>
    <s v="ORD-2024-10095"/>
    <d v="2024-06-09T00:00:00"/>
    <d v="2024-10-29T00:00:00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"/>
    <n v="21367.599999999999"/>
    <x v="94"/>
    <x v="94"/>
    <n v="5103.1099999999997"/>
    <n v="0"/>
    <x v="2"/>
    <s v="Pending"/>
    <x v="1"/>
    <n v="142"/>
    <s v="OK"/>
    <s v="Valid"/>
    <s v="Unique"/>
    <s v="North"/>
    <s v="Second Class"/>
    <s v="Valid"/>
    <x v="10"/>
    <n v="2024"/>
    <s v="Clean"/>
    <s v="OK"/>
    <s v="Valid"/>
    <s v="Ok"/>
    <s v="Ok"/>
  </r>
  <r>
    <s v="ORD-2025-10096"/>
    <d v="2025-09-05T00:00:00"/>
    <d v="2024-10-30T00:00:00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8841.0499999999993"/>
    <x v="95"/>
    <x v="95"/>
    <n v="1683.73"/>
    <n v="0"/>
    <x v="0"/>
    <s v="Paid"/>
    <x v="0"/>
    <n v="-310"/>
    <s v="OK"/>
    <s v="Invalid"/>
    <s v="Unique"/>
    <s v="West"/>
    <s v="Same Day"/>
    <s v="Valid"/>
    <x v="6"/>
    <n v="2025"/>
    <s v="Invalid"/>
    <s v="Ship Before Order"/>
    <s v="Valid"/>
    <s v="Ok"/>
    <s v="Ok"/>
  </r>
  <r>
    <s v="ORD-2024-10097"/>
    <d v="2024-05-06T00:00:00"/>
    <d v="2024-10-31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0.15"/>
    <n v="3840.71"/>
    <n v="2516.29"/>
    <x v="96"/>
    <x v="96"/>
    <n v="1324.42"/>
    <n v="8829.4533333333311"/>
    <x v="0"/>
    <s v="Paid"/>
    <x v="0"/>
    <n v="178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5-10098"/>
    <d v="2025-08-08T00:00:00"/>
    <d v="2024-11-01T00:00:00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8809.9699999999993"/>
    <x v="97"/>
    <x v="97"/>
    <n v="5599.47"/>
    <n v="27997.350000000006"/>
    <x v="2"/>
    <s v="Pending"/>
    <x v="2"/>
    <n v="-280"/>
    <s v="OK"/>
    <s v="Invalid"/>
    <s v="Unique"/>
    <s v="West"/>
    <s v="Same Day"/>
    <s v="Valid"/>
    <x v="1"/>
    <n v="2025"/>
    <s v="Invalid"/>
    <s v="Ship Before Order"/>
    <s v="Valid"/>
    <s v="Ok"/>
    <s v="Ok"/>
  </r>
  <r>
    <s v="ORD-2024-10099"/>
    <d v="2024-01-26T00:00:00"/>
    <d v="2024-11-02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0.1"/>
    <n v="15184.3"/>
    <n v="11270.74"/>
    <x v="98"/>
    <x v="98"/>
    <n v="3913.56"/>
    <n v="39135.559999999983"/>
    <x v="0"/>
    <s v="Paid"/>
    <x v="0"/>
    <n v="281"/>
    <s v="OK"/>
    <s v="Valid"/>
    <s v="Unique"/>
    <s v="South"/>
    <s v="Unknown"/>
    <s v="Valid"/>
    <x v="8"/>
    <n v="2024"/>
    <s v="Clean"/>
    <s v="OK"/>
    <s v="Valid"/>
    <s v="Missmatched"/>
    <s v="Missmatched"/>
  </r>
  <r>
    <s v="ORD-2025-10100"/>
    <d v="2025-01-11T00:00:00"/>
    <d v="2024-11-03T00:00:0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4700.8900000000003"/>
    <x v="99"/>
    <x v="99"/>
    <n v="1794.98"/>
    <n v="0"/>
    <x v="0"/>
    <s v="Paid"/>
    <x v="0"/>
    <n v="-69"/>
    <s v="OK"/>
    <s v="Invalid"/>
    <s v="Unique"/>
    <s v="West"/>
    <s v="Same Day"/>
    <s v="Valid"/>
    <x v="8"/>
    <n v="2025"/>
    <s v="Invalid"/>
    <s v="Ship Before Order"/>
    <s v="Valid"/>
    <s v="Ok"/>
    <s v="Ok"/>
  </r>
  <r>
    <s v="ORD-2025-10101"/>
    <d v="2025-12-09T00:00:00"/>
    <d v="2024-11-04T00:00:00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6"/>
    <n v="5561.49"/>
    <x v="100"/>
    <x v="100"/>
    <n v="3979.17"/>
    <n v="79583.399999999965"/>
    <x v="0"/>
    <s v="Paid"/>
    <x v="0"/>
    <n v="-400"/>
    <s v="OK"/>
    <s v="Invalid"/>
    <s v="Unique"/>
    <s v="South"/>
    <s v="Standard Class"/>
    <s v="Valid"/>
    <x v="7"/>
    <n v="2025"/>
    <s v="Invalid"/>
    <s v="Ship Before Order"/>
    <s v="Valid"/>
    <s v="Ok"/>
    <s v="Ok"/>
  </r>
  <r>
    <s v="ORD-2024-10102"/>
    <d v="2024-06-22T00:00:00"/>
    <d v="2024-11-05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2054.14"/>
    <x v="101"/>
    <x v="101"/>
    <n v="4432.8100000000004"/>
    <n v="17731.240000000005"/>
    <x v="0"/>
    <s v="Paid"/>
    <x v="0"/>
    <n v="136"/>
    <s v="OK"/>
    <s v="Valid"/>
    <s v="Unique"/>
    <s v="East"/>
    <s v="First Class"/>
    <s v="Valid"/>
    <x v="10"/>
    <n v="2024"/>
    <s v="Clean"/>
    <s v="OK"/>
    <s v="Valid"/>
    <s v="Ok"/>
    <s v="Ok"/>
  </r>
  <r>
    <s v="ORD-2025-10103"/>
    <d v="2025-12-07T00:00:00"/>
    <d v="2024-11-06T00:00:00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8979.7800000000007"/>
    <x v="102"/>
    <x v="102"/>
    <n v="2483.06"/>
    <n v="0"/>
    <x v="1"/>
    <s v="Refunded"/>
    <x v="1"/>
    <n v="-396"/>
    <s v="OK"/>
    <s v="Invalid"/>
    <s v="Unique"/>
    <s v="South"/>
    <s v="First Class"/>
    <s v="Valid"/>
    <x v="7"/>
    <n v="2025"/>
    <s v="Invalid"/>
    <s v="Ship Before Order"/>
    <s v="Valid"/>
    <s v="Ok"/>
    <s v="Ok"/>
  </r>
  <r>
    <s v="ORD-2025-10104"/>
    <d v="2025-02-05T00:00:00"/>
    <d v="2024-11-07T00:00:00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6657.75"/>
    <x v="103"/>
    <x v="103"/>
    <n v="1151.3399999999999"/>
    <n v="5756.6900000000032"/>
    <x v="0"/>
    <s v="Paid"/>
    <x v="0"/>
    <n v="-90"/>
    <s v="OK"/>
    <s v="Invalid"/>
    <s v="Unique"/>
    <s v="West"/>
    <s v="First Class"/>
    <s v="Valid"/>
    <x v="5"/>
    <n v="2025"/>
    <s v="Invalid"/>
    <s v="Ship Before Order"/>
    <s v="Valid"/>
    <s v="Missmatched"/>
    <s v="Missmatched"/>
  </r>
  <r>
    <s v="ORD-2025-10105"/>
    <d v="2025-01-02T00:00:00"/>
    <d v="2024-11-08T00:00:00"/>
    <s v="CUST-1576"/>
    <s v="Ananya Rao"/>
    <x v="0"/>
    <x v="2"/>
    <s v="Karnataka"/>
    <s v="Bengaluru"/>
    <x v="0"/>
    <x v="7"/>
    <s v="Prime Labels 807"/>
    <x v="1"/>
    <n v="5"/>
    <n v="2112.54"/>
    <n v="0.25"/>
    <n v="0.25"/>
    <n v="8260.4599999999991"/>
    <n v="5619.95"/>
    <x v="104"/>
    <x v="104"/>
    <n v="2302.08"/>
    <n v="9208.3000000000029"/>
    <x v="0"/>
    <s v="Paid"/>
    <x v="1"/>
    <n v="-55"/>
    <s v="OK"/>
    <s v="Invalid"/>
    <s v="Unique"/>
    <s v="South"/>
    <s v="Same Day"/>
    <s v="Valid"/>
    <x v="8"/>
    <n v="2025"/>
    <s v="Invalid"/>
    <s v="Ship Before Order"/>
    <s v="Valid"/>
    <s v="Missmatched"/>
    <s v="Missmatched"/>
  </r>
  <r>
    <s v="ORD-2024-10106"/>
    <d v="2024-06-24T00:00:00"/>
    <d v="2024-11-09T00:00:00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006.9"/>
    <x v="105"/>
    <x v="105"/>
    <n v="226.1"/>
    <n v="2261"/>
    <x v="0"/>
    <s v="Paid"/>
    <x v="0"/>
    <n v="138"/>
    <s v="OK"/>
    <s v="Valid"/>
    <s v="Unique"/>
    <s v="East"/>
    <s v="Second Class"/>
    <s v="Valid"/>
    <x v="10"/>
    <n v="2024"/>
    <s v="Clean"/>
    <s v="OK"/>
    <s v="Valid"/>
    <s v="Ok"/>
    <s v="Ok"/>
  </r>
  <r>
    <s v="ORD-2024-10107"/>
    <d v="2024-02-20T00:00:00"/>
    <d v="2024-11-10T00:00:00"/>
    <s v="CUST-4008"/>
    <s v="Arjun Bose"/>
    <x v="3"/>
    <x v="1"/>
    <s v="West Bengal"/>
    <s v="Kolkata"/>
    <x v="0"/>
    <x v="0"/>
    <s v="Eco Paper 918"/>
    <x v="3"/>
    <n v="2"/>
    <n v="4004.04"/>
    <m/>
    <n v="0"/>
    <n v="7207.27"/>
    <n v="5709.39"/>
    <x v="106"/>
    <x v="106"/>
    <n v="1497.88"/>
    <n v="0"/>
    <x v="0"/>
    <s v="Paid"/>
    <x v="1"/>
    <n v="264"/>
    <s v="OK"/>
    <s v="Valid"/>
    <s v="Unique"/>
    <s v="East"/>
    <s v="Standard Class"/>
    <s v="Valid"/>
    <x v="5"/>
    <n v="2024"/>
    <s v="Clean"/>
    <s v="OK"/>
    <s v="Valid"/>
    <s v="Missmatched"/>
    <s v="Missmatched"/>
  </r>
  <r>
    <s v="ORD-2024-10108"/>
    <d v="2024-10-29T00:00:00"/>
    <d v="2024-11-11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8925.57"/>
    <x v="107"/>
    <x v="107"/>
    <n v="3337.67"/>
    <n v="66753.330000000016"/>
    <x v="0"/>
    <s v="Paid"/>
    <x v="0"/>
    <n v="13"/>
    <s v="OK"/>
    <s v="Valid"/>
    <s v="Unique"/>
    <s v="East"/>
    <s v="First Class"/>
    <s v="Valid"/>
    <x v="4"/>
    <n v="2024"/>
    <s v="Clean"/>
    <s v="OK"/>
    <s v="Valid"/>
    <s v="Missmatched"/>
    <s v="Missmatched"/>
  </r>
  <r>
    <s v="ORD-2024-10109"/>
    <d v="2024-08-15T00:00:00"/>
    <d v="2024-11-12T00:00:00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498.5"/>
    <x v="108"/>
    <x v="108"/>
    <n v="307.81"/>
    <n v="1231.2399999999998"/>
    <x v="0"/>
    <s v="Paid"/>
    <x v="0"/>
    <n v="89"/>
    <s v="OK"/>
    <s v="Valid"/>
    <s v="Unique"/>
    <s v="East"/>
    <s v="Same Day"/>
    <s v="Valid"/>
    <x v="1"/>
    <n v="2024"/>
    <s v="Clean"/>
    <s v="OK"/>
    <s v="Valid"/>
    <s v="Ok"/>
    <s v="Ok"/>
  </r>
  <r>
    <s v="ORD-2025-10110"/>
    <d v="2025-08-23T00:00:00"/>
    <d v="2024-11-13T00:00:00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99999999998"/>
    <n v="1317.22"/>
    <x v="109"/>
    <x v="109"/>
    <n v="774.25"/>
    <n v="3096.9800000000005"/>
    <x v="0"/>
    <s v="Paid"/>
    <x v="0"/>
    <n v="-283"/>
    <s v="OK"/>
    <s v="Invalid"/>
    <s v="Unique"/>
    <s v="North"/>
    <s v="Second Class"/>
    <s v="Valid"/>
    <x v="1"/>
    <n v="2025"/>
    <s v="Invalid"/>
    <s v="Ship Before Order"/>
    <s v="Valid"/>
    <s v="Missmatched"/>
    <s v="Missmatched"/>
  </r>
  <r>
    <s v="ORD-2024-10111"/>
    <d v="2024-10-18T00:00:00"/>
    <d v="2024-11-14T00:00:00"/>
    <s v="CUST-7128"/>
    <s v="Vikram Iyer"/>
    <x v="2"/>
    <x v="2"/>
    <s v="Kerala"/>
    <s v="Kochi"/>
    <x v="0"/>
    <x v="7"/>
    <s v="Pro Labels 255"/>
    <x v="2"/>
    <n v="2"/>
    <n v="2250.4699999999998"/>
    <n v="0"/>
    <n v="0"/>
    <n v="4500.9399999999996"/>
    <n v="2607.73"/>
    <x v="110"/>
    <x v="110"/>
    <n v="1893.21"/>
    <n v="0"/>
    <x v="1"/>
    <s v="Refunded"/>
    <x v="1"/>
    <n v="27"/>
    <s v="OK"/>
    <s v="Valid"/>
    <s v="Unique"/>
    <s v="South"/>
    <s v="First Class"/>
    <s v="Valid"/>
    <x v="4"/>
    <n v="2024"/>
    <s v="Clean"/>
    <s v="OK"/>
    <s v="Valid"/>
    <s v="Ok"/>
    <s v="Ok"/>
  </r>
  <r>
    <s v="ORD-2025-10112"/>
    <d v="2025-06-27T00:00:00"/>
    <d v="2024-11-15T00:00:00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2"/>
    <n v="1077.46"/>
    <x v="111"/>
    <x v="111"/>
    <n v="545.55999999999995"/>
    <n v="10911.16"/>
    <x v="2"/>
    <s v="Pending"/>
    <x v="1"/>
    <n v="-224"/>
    <s v="OK"/>
    <s v="Invalid"/>
    <s v="Unique"/>
    <s v="East"/>
    <s v="First Class"/>
    <s v="Valid"/>
    <x v="10"/>
    <n v="2025"/>
    <s v="Invalid"/>
    <s v="Ship Before Order"/>
    <s v="Valid"/>
    <s v="Missmatched"/>
    <s v="Missmatched"/>
  </r>
  <r>
    <s v="ORD-2024-10113"/>
    <d v="2024-10-01T00:00:00"/>
    <d v="2024-11-16T00:00:00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2"/>
    <n v="6548.74"/>
    <x v="112"/>
    <x v="112"/>
    <n v="4365.28"/>
    <n v="87305.56"/>
    <x v="0"/>
    <s v="Paid"/>
    <x v="0"/>
    <n v="46"/>
    <s v="OK"/>
    <s v="Valid"/>
    <s v="Unique"/>
    <s v="Unknown"/>
    <s v="Standard Class"/>
    <s v="Valid"/>
    <x v="4"/>
    <n v="2024"/>
    <s v="Clean"/>
    <s v="OK"/>
    <s v="Valid"/>
    <s v="Missmatched"/>
    <s v="Missmatched"/>
  </r>
  <r>
    <s v="ORD-2024-10114"/>
    <d v="2024-02-12T00:00:00"/>
    <d v="2024-11-17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1639.89"/>
    <x v="113"/>
    <x v="113"/>
    <n v="810.7"/>
    <n v="3242.79"/>
    <x v="0"/>
    <s v="Paid"/>
    <x v="0"/>
    <n v="279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115"/>
    <d v="2024-09-25T00:00:00"/>
    <d v="2024-11-18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3186.73"/>
    <x v="114"/>
    <x v="114"/>
    <n v="762.83"/>
    <n v="7628.2999999999993"/>
    <x v="2"/>
    <s v="Pending"/>
    <x v="1"/>
    <n v="54"/>
    <s v="OK"/>
    <s v="Valid"/>
    <s v="Unique"/>
    <s v="North"/>
    <s v="Second Class"/>
    <s v="Valid"/>
    <x v="6"/>
    <n v="2024"/>
    <s v="Clean"/>
    <s v="OK"/>
    <s v="Valid"/>
    <s v="Ok"/>
    <s v="Ok"/>
  </r>
  <r>
    <s v="ORD-2024-10116"/>
    <d v="2024-12-27T00:00:00"/>
    <d v="2024-11-19T00:00:00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8"/>
    <n v="490.74"/>
    <x v="115"/>
    <x v="115"/>
    <n v="268.04000000000002"/>
    <n v="1786.9199999999994"/>
    <x v="0"/>
    <s v="Paid"/>
    <x v="1"/>
    <n v="-38"/>
    <s v="OK"/>
    <s v="Invalid"/>
    <s v="Unique"/>
    <s v="South"/>
    <s v="Same Day"/>
    <s v="Valid"/>
    <x v="7"/>
    <n v="2024"/>
    <s v="Invalid"/>
    <s v="Ship Before Order"/>
    <s v="Valid"/>
    <s v="Missmatched"/>
    <s v="Missmatched"/>
  </r>
  <r>
    <s v="ORD-2025-10117"/>
    <d v="2025-02-15T00:00:00"/>
    <d v="2024-11-20T00:00:00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"/>
    <n v="3061.39"/>
    <x v="116"/>
    <x v="116"/>
    <n v="529.54"/>
    <n v="2118.17"/>
    <x v="3"/>
    <s v="Failed"/>
    <x v="1"/>
    <n v="-87"/>
    <s v="OK"/>
    <s v="Invalid"/>
    <s v="Unique"/>
    <s v="Unknown"/>
    <s v="First Class"/>
    <s v="Valid"/>
    <x v="5"/>
    <n v="2025"/>
    <s v="Invalid"/>
    <s v="Ship Before Order"/>
    <s v="Valid"/>
    <s v="Missmatched"/>
    <s v="Missmatched"/>
  </r>
  <r>
    <s v="ORD-2024-10118"/>
    <d v="2024-02-15T00:00:00"/>
    <d v="2024-11-21T00:00:00"/>
    <s v="CUST-9608"/>
    <s v="Mira Das"/>
    <x v="3"/>
    <x v="2"/>
    <s v="Tamil Nadu"/>
    <s v="Chennai"/>
    <x v="2"/>
    <x v="12"/>
    <s v="Elite Machines 705"/>
    <x v="3"/>
    <n v="9"/>
    <n v="3324.55"/>
    <s v="70%"/>
    <s v="70%"/>
    <n v="25432.81"/>
    <n v="20370.16"/>
    <x v="117"/>
    <x v="117"/>
    <n v="5062.6499999999996"/>
    <n v="-16276.964285714284"/>
    <x v="0"/>
    <s v="Paid"/>
    <x v="0"/>
    <n v="280"/>
    <s v="OK"/>
    <s v="Valid"/>
    <s v="Unique"/>
    <s v="South"/>
    <s v="Standard Class"/>
    <s v="Invalid"/>
    <x v="5"/>
    <n v="2024"/>
    <s v="Clean"/>
    <s v="OK"/>
    <s v="Valid"/>
    <s v="Missmatched"/>
    <s v="Missmatched"/>
  </r>
  <r>
    <s v="ORD-2024-10119"/>
    <d v="2024-10-06T00:00:00"/>
    <d v="2024-11-22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0.2"/>
    <n v="6321.08"/>
    <n v="4407.22"/>
    <x v="118"/>
    <x v="118"/>
    <n v="1913.86"/>
    <n v="9569.3000000000029"/>
    <x v="0"/>
    <s v="Paid"/>
    <x v="0"/>
    <n v="47"/>
    <s v="OK"/>
    <s v="Valid"/>
    <s v="Unique"/>
    <s v="South"/>
    <s v="Same Day"/>
    <s v="Valid"/>
    <x v="4"/>
    <n v="2024"/>
    <s v="Clean"/>
    <s v="OK"/>
    <s v="Valid"/>
    <s v="Ok"/>
    <s v="Ok"/>
  </r>
  <r>
    <s v="ORD-2024-10120"/>
    <d v="2024-12-06T00:00:00"/>
    <d v="2024-11-23T00:00:00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"/>
    <n v="1517.69"/>
    <x v="119"/>
    <x v="119"/>
    <n v="366.61"/>
    <n v="1466.4400000000005"/>
    <x v="1"/>
    <s v="Refunded"/>
    <x v="2"/>
    <n v="-13"/>
    <s v="OK"/>
    <s v="Invalid"/>
    <s v="Unique"/>
    <s v="South"/>
    <s v="Standard Class"/>
    <s v="Valid"/>
    <x v="7"/>
    <n v="2024"/>
    <s v="Invalid"/>
    <s v="Ship Before Order"/>
    <s v="Valid"/>
    <s v="Ok"/>
    <s v="Ok"/>
  </r>
  <r>
    <s v="ORD-2024-10121"/>
    <d v="2024-10-08T00:00:00"/>
    <d v="2024-11-24T00:00:00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4"/>
    <n v="893.2"/>
    <x v="120"/>
    <x v="120"/>
    <n v="565.74"/>
    <n v="2828.6800000000003"/>
    <x v="0"/>
    <s v="Paid"/>
    <x v="2"/>
    <n v="47"/>
    <s v="OK"/>
    <s v="Valid"/>
    <s v="Unique"/>
    <s v="East"/>
    <s v="Standard Class"/>
    <s v="Valid"/>
    <x v="4"/>
    <n v="2024"/>
    <s v="Clean"/>
    <s v="OK"/>
    <s v="Valid"/>
    <s v="Missmatched"/>
    <s v="Missmatched"/>
  </r>
  <r>
    <s v="ORD-2025-10122"/>
    <d v="2025-08-22T00:00:00"/>
    <d v="2024-11-25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1760.91"/>
    <x v="121"/>
    <x v="121"/>
    <n v="5653.69"/>
    <n v="0"/>
    <x v="1"/>
    <s v="Refunded"/>
    <x v="1"/>
    <n v="-270"/>
    <s v="OK"/>
    <s v="Invalid"/>
    <s v="Unique"/>
    <s v="South"/>
    <s v="Second Class"/>
    <s v="Valid"/>
    <x v="1"/>
    <n v="2025"/>
    <s v="Invalid"/>
    <s v="Ship Before Order"/>
    <s v="Valid"/>
    <s v="Ok"/>
    <s v="Ok"/>
  </r>
  <r>
    <s v="ORD-2024-10123"/>
    <d v="2024-11-30T00:00:00"/>
    <d v="2024-11-26T00:00:00"/>
    <s v="CUST-1721"/>
    <s v="Ananya Rao"/>
    <x v="1"/>
    <x v="1"/>
    <s v="Assam"/>
    <s v="Guwahati"/>
    <x v="1"/>
    <x v="4"/>
    <s v="Max Chairs 786"/>
    <x v="0"/>
    <n v="3"/>
    <n v="170.35"/>
    <n v="0"/>
    <n v="0"/>
    <n v="511.05"/>
    <n v="367.18"/>
    <x v="122"/>
    <x v="122"/>
    <n v="143.87"/>
    <n v="0"/>
    <x v="0"/>
    <s v="Paid"/>
    <x v="0"/>
    <n v="-4"/>
    <s v="OK"/>
    <s v="Invalid"/>
    <s v="Unique"/>
    <s v="East"/>
    <s v="Second Class"/>
    <s v="Valid"/>
    <x v="2"/>
    <n v="2024"/>
    <s v="Invalid"/>
    <s v="Ship Before Order"/>
    <s v="Valid"/>
    <s v="Ok"/>
    <s v="Ok"/>
  </r>
  <r>
    <s v="ORD-2024-10124"/>
    <d v="2024-05-24T00:00:00"/>
    <d v="2024-11-27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453.35"/>
    <x v="123"/>
    <x v="123"/>
    <n v="180.78"/>
    <n v="0"/>
    <x v="1"/>
    <s v="Refunded"/>
    <x v="1"/>
    <n v="187"/>
    <s v="OK"/>
    <s v="Valid"/>
    <s v="Duplicate"/>
    <s v="North"/>
    <s v="Same Day"/>
    <s v="Valid"/>
    <x v="3"/>
    <n v="2024"/>
    <s v="Clean"/>
    <s v="OK"/>
    <s v="Valid"/>
    <s v="Ok"/>
    <s v="Ok"/>
  </r>
  <r>
    <s v="ORD-2024-10125"/>
    <d v="2024-07-21T00:00:00"/>
    <d v="2024-11-28T00:00:00"/>
    <s v="CUST-4450"/>
    <s v="Isha Nair"/>
    <x v="2"/>
    <x v="2"/>
    <s v="Karnataka"/>
    <s v="Bengaluru"/>
    <x v="2"/>
    <x v="6"/>
    <s v="Pro Copiers 769"/>
    <x v="3"/>
    <n v="9"/>
    <n v="465.06"/>
    <n v="-0.15"/>
    <n v="-0.15"/>
    <n v="4185.54"/>
    <n v="3443.74"/>
    <x v="124"/>
    <x v="124"/>
    <n v="741.8"/>
    <n v="-9130.8733333333294"/>
    <x v="0"/>
    <s v="Paid"/>
    <x v="0"/>
    <n v="130"/>
    <s v="OK"/>
    <s v="Valid"/>
    <s v="Unique"/>
    <s v="South"/>
    <s v="Standard Class"/>
    <s v="Invalid"/>
    <x v="0"/>
    <n v="2024"/>
    <s v="Clean"/>
    <s v="OK"/>
    <s v="Valid"/>
    <s v="Missmatched"/>
    <s v="Missmatched"/>
  </r>
  <r>
    <s v="ORD-2025-10126"/>
    <d v="2025-07-17T00:00:00"/>
    <d v="2024-11-29T00:00:00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9591.48"/>
    <x v="125"/>
    <x v="125"/>
    <n v="4967.24"/>
    <n v="19868.940000000002"/>
    <x v="1"/>
    <s v="Refunded"/>
    <x v="2"/>
    <n v="-230"/>
    <s v="OK"/>
    <s v="Invalid"/>
    <s v="Unique"/>
    <s v="West"/>
    <s v="Same Day"/>
    <s v="Valid"/>
    <x v="0"/>
    <n v="2025"/>
    <s v="Invalid"/>
    <s v="Ship Before Order"/>
    <s v="Valid"/>
    <s v="Missmatched"/>
    <s v="Missmatched"/>
  </r>
  <r>
    <s v="ORD-2025-10127"/>
    <d v="2025-09-24T00:00:00"/>
    <d v="2024-11-30T00:00:00"/>
    <s v="CUST-1715"/>
    <s v="Priya Menon"/>
    <x v="2"/>
    <x v="0"/>
    <s v="Delhi"/>
    <s v="New Delhi"/>
    <x v="2"/>
    <x v="6"/>
    <s v="Prime Copiers 651"/>
    <x v="3"/>
    <n v="3"/>
    <n v="1593.86"/>
    <n v="0.1"/>
    <n v="0.1"/>
    <n v="4303.42"/>
    <n v="2568.5700000000002"/>
    <x v="126"/>
    <x v="126"/>
    <n v="1734.85"/>
    <n v="17348.52"/>
    <x v="0"/>
    <s v="Paid"/>
    <x v="0"/>
    <n v="-298"/>
    <s v="OK"/>
    <s v="Invalid"/>
    <s v="Unique"/>
    <s v="North"/>
    <s v="Standard Class"/>
    <s v="Valid"/>
    <x v="6"/>
    <n v="2025"/>
    <s v="Invalid"/>
    <s v="Ship Before Order"/>
    <s v="Valid"/>
    <s v="Missmatched"/>
    <s v="Missmatched"/>
  </r>
  <r>
    <s v="ORD-2025-10128"/>
    <d v="2025-01-30T00:00:00"/>
    <d v="2024-12-01T00:00:00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3518.36"/>
    <x v="127"/>
    <x v="127"/>
    <n v="2256.31"/>
    <n v="45126.2"/>
    <x v="0"/>
    <s v="Paid"/>
    <x v="0"/>
    <n v="-60"/>
    <s v="OK"/>
    <s v="Invalid"/>
    <s v="Duplicate"/>
    <s v="West"/>
    <s v="Second Class"/>
    <s v="Valid"/>
    <x v="8"/>
    <n v="2025"/>
    <s v="Invalid"/>
    <s v="Ship Before Order"/>
    <s v="Valid"/>
    <s v="Ok"/>
    <s v="Ok"/>
  </r>
  <r>
    <s v="ORD-2024-10129"/>
    <d v="2024-12-13T00:00:00"/>
    <d v="2024-12-02T00:00:00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3366.88"/>
    <x v="128"/>
    <x v="128"/>
    <n v="1019.51"/>
    <n v="20390.149999999994"/>
    <x v="0"/>
    <s v="Paid"/>
    <x v="2"/>
    <n v="-11"/>
    <s v="OK"/>
    <s v="Invalid"/>
    <s v="Unique"/>
    <s v="East"/>
    <s v="Standard Class"/>
    <s v="Valid"/>
    <x v="7"/>
    <n v="2024"/>
    <s v="Invalid"/>
    <s v="Ship Before Order"/>
    <s v="Valid"/>
    <s v="Missmatched"/>
    <s v="Missmatched"/>
  </r>
  <r>
    <s v="ORD-2024-10130"/>
    <d v="2024-07-19T00:00:00"/>
    <d v="2024-12-03T00:00:00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80000000002"/>
    <n v="15139.15"/>
    <x v="129"/>
    <x v="129"/>
    <n v="3090.43"/>
    <n v="61808.57"/>
    <x v="0"/>
    <s v="Paid"/>
    <x v="0"/>
    <n v="137"/>
    <s v="OK"/>
    <s v="Valid"/>
    <s v="Unique"/>
    <s v="West"/>
    <s v="Standard Class"/>
    <s v="Valid"/>
    <x v="0"/>
    <n v="2024"/>
    <s v="Clean"/>
    <s v="OK"/>
    <s v="Valid"/>
    <s v="Missmatched"/>
    <s v="Missmatched"/>
  </r>
  <r>
    <s v="ORD-2024-10131"/>
    <d v="2024-01-27T00:00:00"/>
    <d v="2024-12-04T00:00:00"/>
    <s v="CUST-5435"/>
    <s v="Arjun Bose"/>
    <x v="0"/>
    <x v="3"/>
    <s v="Gujarat"/>
    <s v="Ahmedabad"/>
    <x v="0"/>
    <x v="7"/>
    <s v="Smart Labels 878"/>
    <x v="1"/>
    <n v="5"/>
    <n v="218.42"/>
    <n v="0.2"/>
    <n v="0.2"/>
    <n v="873.68"/>
    <n v="661.72"/>
    <x v="130"/>
    <x v="130"/>
    <n v="211.96"/>
    <n v="1059.7999999999995"/>
    <x v="2"/>
    <s v="Pending"/>
    <x v="1"/>
    <n v="312"/>
    <s v="OK"/>
    <s v="Valid"/>
    <s v="Unique"/>
    <s v="West"/>
    <s v="Same Day"/>
    <s v="Valid"/>
    <x v="8"/>
    <n v="2024"/>
    <s v="Clean"/>
    <s v="OK"/>
    <s v="Valid"/>
    <s v="Ok"/>
    <s v="Ok"/>
  </r>
  <r>
    <s v="ORD-2025-10132"/>
    <d v="2025-09-29T00:00:00"/>
    <d v="2024-12-05T00:00:00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"/>
    <n v="2044.49"/>
    <x v="131"/>
    <x v="131"/>
    <n v="647.66"/>
    <n v="3238.31"/>
    <x v="0"/>
    <s v="Paid"/>
    <x v="0"/>
    <n v="-298"/>
    <s v="OK"/>
    <s v="Invalid"/>
    <s v="Unique"/>
    <s v="East"/>
    <s v="Same Day"/>
    <s v="Valid"/>
    <x v="6"/>
    <n v="2025"/>
    <s v="Invalid"/>
    <s v="Ship Before Order"/>
    <s v="Valid"/>
    <s v="Missmatched"/>
    <s v="Missmatched"/>
  </r>
  <r>
    <s v="ORD-2024-10133"/>
    <d v="2024-04-11T00:00:00"/>
    <d v="2024-12-06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656.3"/>
    <x v="132"/>
    <x v="132"/>
    <n v="409.86"/>
    <n v="0"/>
    <x v="3"/>
    <s v="Failed"/>
    <x v="1"/>
    <n v="239"/>
    <s v="OK"/>
    <s v="Valid"/>
    <s v="Unique"/>
    <s v="East"/>
    <s v="First Class"/>
    <s v="Valid"/>
    <x v="9"/>
    <n v="2024"/>
    <s v="Clean"/>
    <s v="OK"/>
    <s v="Valid"/>
    <s v="Ok"/>
    <s v="Ok"/>
  </r>
  <r>
    <s v="ORD-2024-10134"/>
    <d v="2024-12-13T00:00:00"/>
    <d v="2024-12-07T00:00:00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16875.55"/>
    <x v="133"/>
    <x v="133"/>
    <n v="6055.07"/>
    <n v="40367.133333333331"/>
    <x v="0"/>
    <s v="Paid"/>
    <x v="0"/>
    <n v="-6"/>
    <s v="OK"/>
    <s v="Invalid"/>
    <s v="Duplicate"/>
    <s v="West"/>
    <s v="Second Class"/>
    <s v="Valid"/>
    <x v="7"/>
    <n v="2024"/>
    <s v="Invalid"/>
    <s v="Ship Before Order"/>
    <s v="Valid"/>
    <s v="Ok"/>
    <s v="Ok"/>
  </r>
  <r>
    <s v="ORD-2025-10135"/>
    <d v="2025-07-14T00:00:00"/>
    <d v="2024-12-08T00:00:0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"/>
    <n v="912.52"/>
    <x v="134"/>
    <x v="134"/>
    <n v="524.1"/>
    <n v="2096.42"/>
    <x v="2"/>
    <s v="Pending"/>
    <x v="1"/>
    <n v="-218"/>
    <s v="OK"/>
    <s v="Invalid"/>
    <s v="Unique"/>
    <s v="East"/>
    <s v="Unknown"/>
    <s v="Valid"/>
    <x v="0"/>
    <n v="2025"/>
    <s v="Invalid"/>
    <s v="Ship Before Order"/>
    <s v="Valid"/>
    <s v="Missmatched"/>
    <s v="Missmatched"/>
  </r>
  <r>
    <s v="ORD-2025-10136"/>
    <d v="2025-08-24T00:00:00"/>
    <d v="2024-12-09T00:00:0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1951.45"/>
    <x v="135"/>
    <x v="135"/>
    <n v="1473.33"/>
    <n v="0"/>
    <x v="0"/>
    <s v="Paid"/>
    <x v="0"/>
    <n v="-258"/>
    <s v="OK"/>
    <s v="Invalid"/>
    <s v="Unique"/>
    <s v="South"/>
    <s v="Standard Class"/>
    <s v="Valid"/>
    <x v="1"/>
    <n v="2025"/>
    <s v="Invalid"/>
    <s v="Ship Before Order"/>
    <s v="Valid"/>
    <s v="Ok"/>
    <s v="Ok"/>
  </r>
  <r>
    <s v="ORD-2025-10137"/>
    <d v="2025-02-09T00:00:00"/>
    <d v="2024-12-10T00:00:00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8"/>
    <n v="21421.09"/>
    <x v="136"/>
    <x v="136"/>
    <n v="9757.2900000000009"/>
    <n v="48786.430000000015"/>
    <x v="0"/>
    <s v="Paid"/>
    <x v="0"/>
    <n v="-61"/>
    <s v="OK"/>
    <s v="Invalid"/>
    <s v="Unique"/>
    <s v="East"/>
    <s v="Standard Class"/>
    <s v="Valid"/>
    <x v="5"/>
    <n v="2025"/>
    <s v="Invalid"/>
    <s v="Ship Before Order"/>
    <s v="Valid"/>
    <s v="Missmatched"/>
    <s v="Missmatched"/>
  </r>
  <r>
    <s v="ORD-2025-10138"/>
    <d v="2025-09-01T00:00:00"/>
    <d v="2024-12-11T00:00:00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0000000001"/>
    <n v="15526.62"/>
    <x v="137"/>
    <x v="137"/>
    <n v="3676.28"/>
    <n v="36762.840000000011"/>
    <x v="0"/>
    <s v="Paid"/>
    <x v="0"/>
    <n v="-264"/>
    <s v="OK"/>
    <s v="Invalid"/>
    <s v="Unique"/>
    <s v="North"/>
    <s v="Same Day"/>
    <s v="Valid"/>
    <x v="6"/>
    <n v="2025"/>
    <s v="Invalid"/>
    <s v="Ship Before Order"/>
    <s v="Valid"/>
    <s v="Missmatched"/>
    <s v="Missmatched"/>
  </r>
  <r>
    <s v="ORD-2024-10139"/>
    <d v="2024-01-20T00:00:00"/>
    <d v="2024-12-12T00:00:00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14070.78"/>
    <x v="138"/>
    <x v="138"/>
    <n v="9947.52"/>
    <n v="39790.080000000009"/>
    <x v="0"/>
    <s v="Paid"/>
    <x v="0"/>
    <n v="327"/>
    <s v="OK"/>
    <s v="Valid"/>
    <s v="Unique"/>
    <s v="East"/>
    <s v="Standard Class"/>
    <s v="Valid"/>
    <x v="8"/>
    <n v="2024"/>
    <s v="Clean"/>
    <s v="OK"/>
    <s v="Valid"/>
    <s v="Ok"/>
    <s v="Ok"/>
  </r>
  <r>
    <s v="ORD-2025-10140"/>
    <d v="2025-02-03T00:00:00"/>
    <d v="2024-12-1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0"/>
    <n v="10301.040000000001"/>
    <n v="6564.06"/>
    <x v="139"/>
    <x v="139"/>
    <n v="3736.98"/>
    <n v="0"/>
    <x v="0"/>
    <s v="Paid"/>
    <x v="0"/>
    <n v="-52"/>
    <s v="OK"/>
    <s v="Invalid"/>
    <s v="Unique"/>
    <s v="South"/>
    <s v="Standard Class"/>
    <s v="Valid"/>
    <x v="5"/>
    <n v="2025"/>
    <s v="Invalid"/>
    <s v="Ship Before Order"/>
    <s v="Valid"/>
    <s v="Ok"/>
    <s v="Ok"/>
  </r>
  <r>
    <s v="ORD-2024-10141"/>
    <d v="2024-05-31T00:00:00"/>
    <d v="2024-12-14T00:00:00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"/>
    <n v="6603.76"/>
    <x v="140"/>
    <x v="140"/>
    <n v="2139.89"/>
    <n v="0"/>
    <x v="0"/>
    <s v="Paid"/>
    <x v="0"/>
    <n v="197"/>
    <s v="OK"/>
    <s v="Valid"/>
    <s v="Unique"/>
    <s v="South"/>
    <s v="Same Day"/>
    <s v="Valid"/>
    <x v="3"/>
    <n v="2024"/>
    <s v="Clean"/>
    <s v="OK"/>
    <s v="Valid"/>
    <s v="Ok"/>
    <s v="Ok"/>
  </r>
  <r>
    <s v="ORD-2024-10142"/>
    <d v="2024-03-23T00:00:00"/>
    <d v="2024-12-15T00:00:00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3"/>
    <n v="2859.51"/>
    <x v="141"/>
    <x v="141"/>
    <n v="1136.52"/>
    <n v="11365.169999999998"/>
    <x v="0"/>
    <s v="Paid"/>
    <x v="2"/>
    <n v="267"/>
    <s v="OK"/>
    <s v="Valid"/>
    <s v="Unique"/>
    <s v="North"/>
    <s v="Same Day"/>
    <s v="Valid"/>
    <x v="11"/>
    <n v="2024"/>
    <s v="Clean"/>
    <s v="OK"/>
    <s v="Valid"/>
    <s v="Missmatched"/>
    <s v="Missmatched"/>
  </r>
  <r>
    <s v="ORD-2024-10143"/>
    <d v="2024-03-30T00:00:00"/>
    <d v="2024-12-16T00:00:00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"/>
    <n v="2769.26"/>
    <x v="142"/>
    <x v="142"/>
    <n v="1087.78"/>
    <n v="7251.899999999996"/>
    <x v="0"/>
    <s v="Paid"/>
    <x v="0"/>
    <n v="261"/>
    <s v="OK"/>
    <s v="Valid"/>
    <s v="Duplicate"/>
    <s v="North"/>
    <s v="Second Class"/>
    <s v="Valid"/>
    <x v="11"/>
    <n v="2024"/>
    <s v="Clean"/>
    <s v="OK"/>
    <s v="Valid"/>
    <s v="Missmatched"/>
    <s v="Missmatched"/>
  </r>
  <r>
    <s v="ORD-2024-10144"/>
    <d v="2024-03-24T00:00:00"/>
    <d v="2024-12-17T00:00:00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1916.16"/>
    <x v="143"/>
    <x v="143"/>
    <n v="1152.3900000000001"/>
    <n v="11523.9"/>
    <x v="0"/>
    <s v="Paid"/>
    <x v="2"/>
    <n v="268"/>
    <s v="OK"/>
    <s v="Valid"/>
    <s v="Unique"/>
    <s v="West"/>
    <s v="Second Class"/>
    <s v="Valid"/>
    <x v="11"/>
    <n v="2024"/>
    <s v="Clean"/>
    <s v="OK"/>
    <s v="Valid"/>
    <s v="Ok"/>
    <s v="Ok"/>
  </r>
  <r>
    <s v="ORD-2024-10145"/>
    <d v="2024-06-07T00:00:00"/>
    <d v="2024-12-18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5"/>
    <n v="6908.76"/>
    <x v="144"/>
    <x v="144"/>
    <n v="4368.1899999999996"/>
    <n v="17472.749999999993"/>
    <x v="1"/>
    <s v="Refunded"/>
    <x v="2"/>
    <n v="194"/>
    <s v="OK"/>
    <s v="Valid"/>
    <s v="Unique"/>
    <s v="South"/>
    <s v="First Class"/>
    <s v="Valid"/>
    <x v="10"/>
    <n v="2024"/>
    <s v="Clean"/>
    <s v="OK"/>
    <s v="Valid"/>
    <s v="Missmatched"/>
    <s v="Missmatched"/>
  </r>
  <r>
    <s v="ORD-2025-10146"/>
    <d v="2025-04-11T00:00:00"/>
    <d v="2024-12-19T00:00:00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9808.83"/>
    <x v="145"/>
    <x v="145"/>
    <n v="5246.91"/>
    <n v="52469.1"/>
    <x v="0"/>
    <s v="Paid"/>
    <x v="0"/>
    <n v="-113"/>
    <s v="OK"/>
    <s v="Invalid"/>
    <s v="Unique"/>
    <s v="West"/>
    <s v="Standard Class"/>
    <s v="Valid"/>
    <x v="9"/>
    <n v="2025"/>
    <s v="Invalid"/>
    <s v="Ship Before Order"/>
    <s v="Valid"/>
    <s v="Ok"/>
    <s v="Ok"/>
  </r>
  <r>
    <s v="ORD-2025-10147"/>
    <d v="2025-07-30T00:00:00"/>
    <d v="2024-12-20T00:00:00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"/>
    <n v="21635.08"/>
    <x v="146"/>
    <x v="146"/>
    <n v="4004.9"/>
    <n v="40049.029999999984"/>
    <x v="0"/>
    <s v="Paid"/>
    <x v="0"/>
    <n v="-222"/>
    <s v="OK"/>
    <s v="Invalid"/>
    <s v="Unique"/>
    <s v="South"/>
    <s v="Same Day"/>
    <s v="Valid"/>
    <x v="0"/>
    <n v="2025"/>
    <s v="Invalid"/>
    <s v="Ship Before Order"/>
    <s v="Valid"/>
    <s v="Missmatched"/>
    <s v="Missmatched"/>
  </r>
  <r>
    <s v="ORD-2024-10148"/>
    <d v="2024-12-23T00:00:00"/>
    <d v="2024-12-21T00:00:00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1744.05"/>
    <x v="147"/>
    <x v="147"/>
    <n v="1035.8699999999999"/>
    <n v="10358.700000000001"/>
    <x v="0"/>
    <s v="Paid"/>
    <x v="0"/>
    <n v="-2"/>
    <s v="OK"/>
    <s v="Invalid"/>
    <s v="Unique"/>
    <s v="West"/>
    <s v="First Class"/>
    <s v="Valid"/>
    <x v="7"/>
    <n v="2024"/>
    <s v="Invalid"/>
    <s v="Ship Before Order"/>
    <s v="Valid"/>
    <s v="Ok"/>
    <s v="Ok"/>
  </r>
  <r>
    <s v="ORD-2025-10149"/>
    <d v="2025-09-02T00:00:00"/>
    <d v="2024-12-22T00:00:00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7604.47"/>
    <x v="148"/>
    <x v="148"/>
    <n v="2571.9499999999998"/>
    <n v="10287.799999999999"/>
    <x v="0"/>
    <s v="Paid"/>
    <x v="0"/>
    <n v="-254"/>
    <s v="OK"/>
    <s v="Invalid"/>
    <s v="Unique"/>
    <s v="West"/>
    <s v="Unknown"/>
    <s v="Valid"/>
    <x v="6"/>
    <n v="2025"/>
    <s v="Invalid"/>
    <s v="Ship Before Order"/>
    <s v="Valid"/>
    <s v="Ok"/>
    <s v="Ok"/>
  </r>
  <r>
    <s v="ORD-2024-10150"/>
    <d v="2024-01-30T00:00:00"/>
    <d v="2024-12-23T00:00:00"/>
    <s v="CUST-5876"/>
    <s v="Aarav Sharma"/>
    <x v="1"/>
    <x v="3"/>
    <s v="Rajasthan"/>
    <s v="Udaipur"/>
    <x v="2"/>
    <x v="6"/>
    <s v="Eco Copiers 381"/>
    <x v="1"/>
    <n v="7"/>
    <n v="2527.61"/>
    <n v="0.25"/>
    <n v="0.25"/>
    <n v="13269.95"/>
    <n v="8977.1"/>
    <x v="149"/>
    <x v="149"/>
    <n v="4292.8500000000004"/>
    <n v="17171.409999999996"/>
    <x v="0"/>
    <s v="Paid"/>
    <x v="0"/>
    <n v="328"/>
    <s v="OK"/>
    <s v="Valid"/>
    <s v="Unique"/>
    <s v="West"/>
    <s v="Same Day"/>
    <s v="Valid"/>
    <x v="8"/>
    <n v="2024"/>
    <s v="Clean"/>
    <s v="OK"/>
    <s v="Valid"/>
    <s v="Missmatched"/>
    <s v="Missmatched"/>
  </r>
  <r>
    <s v="ORD-2024-10151"/>
    <d v="2024-03-04T00:00:00"/>
    <d v="2024-12-24T00:00:00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1"/>
    <n v="1056.92"/>
    <x v="150"/>
    <x v="150"/>
    <n v="341.79"/>
    <n v="3417.8799999999978"/>
    <x v="0"/>
    <s v="Paid"/>
    <x v="0"/>
    <n v="295"/>
    <s v="OK"/>
    <s v="Valid"/>
    <s v="Unique"/>
    <s v="Unknown"/>
    <s v="First Class"/>
    <s v="Valid"/>
    <x v="11"/>
    <n v="2024"/>
    <s v="Clean"/>
    <s v="OK"/>
    <s v="Valid"/>
    <s v="Missmatched"/>
    <s v="Missmatched"/>
  </r>
  <r>
    <s v="ORD-2024-10152"/>
    <d v="2024-06-27T00:00:00"/>
    <d v="2024-12-25T00:00:00"/>
    <s v="CUST-6011"/>
    <s v="Neha Gupta"/>
    <x v="3"/>
    <x v="4"/>
    <s v="Madhya Pradesh"/>
    <s v="Indore"/>
    <x v="2"/>
    <x v="6"/>
    <s v="Max Copiers 992"/>
    <x v="3"/>
    <n v="2"/>
    <n v="3859.11"/>
    <n v="0"/>
    <n v="0"/>
    <n v="7718.22"/>
    <n v="5355.93"/>
    <x v="151"/>
    <x v="151"/>
    <n v="2362.29"/>
    <n v="0"/>
    <x v="2"/>
    <s v="Pending"/>
    <x v="2"/>
    <n v="181"/>
    <s v="OK"/>
    <s v="Valid"/>
    <s v="Unique"/>
    <s v="Unknown"/>
    <s v="Standard Class"/>
    <s v="Valid"/>
    <x v="10"/>
    <n v="2024"/>
    <s v="Clean"/>
    <s v="OK"/>
    <s v="Valid"/>
    <s v="Ok"/>
    <s v="Ok"/>
  </r>
  <r>
    <s v="ORD-2024-10153"/>
    <d v="2024-06-14T00:00:00"/>
    <d v="2024-12-26T00:00:00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2"/>
    <n v="4380.55"/>
    <x v="152"/>
    <x v="152"/>
    <n v="1494.87"/>
    <n v="14948.66"/>
    <x v="2"/>
    <s v="Pending"/>
    <x v="2"/>
    <n v="195"/>
    <s v="OK"/>
    <s v="Valid"/>
    <s v="Unique"/>
    <s v="South"/>
    <s v="Second Class"/>
    <s v="Valid"/>
    <x v="10"/>
    <n v="2024"/>
    <s v="Clean"/>
    <s v="OK"/>
    <s v="Valid"/>
    <s v="Missmatched"/>
    <s v="Missmatched"/>
  </r>
  <r>
    <s v="ORD-2025-10154"/>
    <d v="2025-09-23T00:00:00"/>
    <d v="2024-12-27T00:00:00"/>
    <s v="CUST-6971"/>
    <s v="Aditi Sen"/>
    <x v="0"/>
    <x v="1"/>
    <s v="Odisha"/>
    <s v="Bhubaneswar"/>
    <x v="0"/>
    <x v="7"/>
    <s v="Prime Labels 559"/>
    <x v="3"/>
    <n v="7"/>
    <n v="3280.31"/>
    <n v="0"/>
    <n v="0"/>
    <n v="22962.17"/>
    <n v="15716.5"/>
    <x v="153"/>
    <x v="153"/>
    <n v="7245.67"/>
    <n v="0"/>
    <x v="1"/>
    <s v="Refunded"/>
    <x v="2"/>
    <n v="-270"/>
    <s v="OK"/>
    <s v="Invalid"/>
    <s v="Unique"/>
    <s v="East"/>
    <s v="Standard Class"/>
    <s v="Valid"/>
    <x v="6"/>
    <n v="2025"/>
    <s v="Invalid"/>
    <s v="Ship Before Order"/>
    <s v="Valid"/>
    <s v="Ok"/>
    <s v="Ok"/>
  </r>
  <r>
    <s v="ORD-2024-10155"/>
    <d v="2024-12-02T00:00:00"/>
    <d v="2024-12-28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"/>
    <n v="1523.78"/>
    <x v="154"/>
    <x v="154"/>
    <n v="685.47"/>
    <n v="4569.8133333333335"/>
    <x v="0"/>
    <s v="Paid"/>
    <x v="0"/>
    <n v="26"/>
    <s v="OK"/>
    <s v="Valid"/>
    <s v="Unique"/>
    <s v="South"/>
    <s v="Same Day"/>
    <s v="Valid"/>
    <x v="7"/>
    <n v="2024"/>
    <s v="Clean"/>
    <s v="OK"/>
    <s v="Valid"/>
    <s v="Missmatched"/>
    <s v="Missmatched"/>
  </r>
  <r>
    <s v="ORD-2025-10156"/>
    <d v="2025-01-26T00:00:00"/>
    <d v="2024-12-29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5881"/>
    <x v="155"/>
    <x v="155"/>
    <n v="1839.16"/>
    <n v="18391.640000000007"/>
    <x v="1"/>
    <s v="Refunded"/>
    <x v="2"/>
    <n v="-28"/>
    <s v="OK"/>
    <s v="Invalid"/>
    <s v="Unique"/>
    <s v="West"/>
    <s v="Same Day"/>
    <s v="Valid"/>
    <x v="8"/>
    <n v="2025"/>
    <s v="Invalid"/>
    <s v="Ship Before Order"/>
    <s v="Valid"/>
    <s v="Missmatched"/>
    <s v="Missmatched"/>
  </r>
  <r>
    <s v="ORD-2025-10157"/>
    <d v="2025-03-27T00:00:00"/>
    <d v="2024-12-30T00:00:0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"/>
    <n v="6717.87"/>
    <x v="156"/>
    <x v="156"/>
    <n v="5385.32"/>
    <n v="21541.290000000005"/>
    <x v="0"/>
    <s v="Paid"/>
    <x v="0"/>
    <n v="-87"/>
    <s v="OK"/>
    <s v="Invalid"/>
    <s v="Unique"/>
    <s v="East"/>
    <s v="Second Class"/>
    <s v="Valid"/>
    <x v="11"/>
    <n v="2025"/>
    <s v="Invalid"/>
    <s v="Ship Before Order"/>
    <s v="Valid"/>
    <s v="Missmatched"/>
    <s v="Missmatched"/>
  </r>
  <r>
    <s v="ORD-2024-10158"/>
    <d v="2024-10-22T00:00:00"/>
    <d v="2024-12-31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"/>
    <n v="1466.15"/>
    <x v="157"/>
    <x v="157"/>
    <n v="869.24"/>
    <n v="5794.9466666666649"/>
    <x v="0"/>
    <s v="Paid"/>
    <x v="0"/>
    <n v="70"/>
    <s v="OK"/>
    <s v="Valid"/>
    <s v="Unique"/>
    <s v="South"/>
    <s v="Standard Class"/>
    <s v="Valid"/>
    <x v="4"/>
    <n v="2024"/>
    <s v="Clean"/>
    <s v="OK"/>
    <s v="Valid"/>
    <s v="Missmatched"/>
    <s v="Missmatched"/>
  </r>
  <r>
    <s v="ORD-2024-10159"/>
    <d v="2024-09-09T00:00:00"/>
    <d v="2025-01-01T00:00:00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"/>
    <n v="2381.38"/>
    <x v="158"/>
    <x v="158"/>
    <n v="1608.18"/>
    <n v="32163.659999999989"/>
    <x v="0"/>
    <s v="Paid"/>
    <x v="0"/>
    <n v="114"/>
    <s v="OK"/>
    <s v="Valid"/>
    <s v="Unique"/>
    <s v="South"/>
    <s v="First Class"/>
    <s v="Valid"/>
    <x v="6"/>
    <n v="2024"/>
    <s v="Clean"/>
    <s v="OK"/>
    <s v="Valid"/>
    <s v="Missmatched"/>
    <s v="Missmatched"/>
  </r>
  <r>
    <s v="ORD-2025-10160"/>
    <d v="2025-01-30T00:00:00"/>
    <d v="2025-01-02T00:00:00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"/>
    <n v="25750.35"/>
    <x v="159"/>
    <x v="159"/>
    <n v="8142.97"/>
    <n v="54286.499999999993"/>
    <x v="2"/>
    <s v="Pending"/>
    <x v="1"/>
    <n v="-28"/>
    <s v="OK"/>
    <s v="Invalid"/>
    <s v="Unique"/>
    <s v="North"/>
    <s v="Same Day"/>
    <s v="Valid"/>
    <x v="8"/>
    <n v="2025"/>
    <s v="Invalid"/>
    <s v="Ship Before Order"/>
    <s v="Valid"/>
    <s v="Missmatched"/>
    <s v="Missmatched"/>
  </r>
  <r>
    <s v="ORD-2025-10161"/>
    <d v="2025-10-08T00:00:00"/>
    <d v="2025-01-03T00:00:00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037.64"/>
    <x v="160"/>
    <x v="160"/>
    <n v="751.96"/>
    <n v="15039.120000000012"/>
    <x v="2"/>
    <s v="Pending"/>
    <x v="1"/>
    <n v="-278"/>
    <s v="OK"/>
    <s v="Invalid"/>
    <s v="Unique"/>
    <s v="West"/>
    <s v="Second Class"/>
    <s v="Valid"/>
    <x v="4"/>
    <n v="2025"/>
    <s v="Invalid"/>
    <s v="Ship Before Order"/>
    <s v="Valid"/>
    <s v="Missmatched"/>
    <s v="Missmatched"/>
  </r>
  <r>
    <s v="ORD-2025-10162"/>
    <d v="2025-07-24T00:00:00"/>
    <d v="2025-01-04T00:00:00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907.4"/>
    <x v="161"/>
    <x v="161"/>
    <n v="736.01"/>
    <n v="0"/>
    <x v="2"/>
    <s v="Pending"/>
    <x v="1"/>
    <n v="-201"/>
    <s v="OK"/>
    <s v="Invalid"/>
    <s v="Unique"/>
    <s v="West"/>
    <s v="Standard Class"/>
    <s v="Valid"/>
    <x v="0"/>
    <n v="2025"/>
    <s v="Invalid"/>
    <s v="Ship Before Order"/>
    <s v="Valid"/>
    <s v="Ok"/>
    <s v="Ok"/>
  </r>
  <r>
    <s v="ORD-2024-10163"/>
    <d v="2024-09-03T00:00:00"/>
    <d v="2025-01-05T00:00:00"/>
    <s v="CUST-4830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26424.41"/>
    <x v="162"/>
    <x v="162"/>
    <n v="9358.31"/>
    <n v="0"/>
    <x v="2"/>
    <s v="Pending"/>
    <x v="2"/>
    <n v="124"/>
    <s v="OK"/>
    <s v="Valid"/>
    <s v="Unique"/>
    <s v="West"/>
    <s v="Second Class"/>
    <s v="Valid"/>
    <x v="6"/>
    <n v="2024"/>
    <s v="Clean"/>
    <s v="OK"/>
    <s v="Valid"/>
    <s v="Missmatched"/>
    <s v="Ok"/>
  </r>
  <r>
    <s v="ORD-2025-10164"/>
    <d v="2025-09-21T00:00:00"/>
    <d v="2025-01-06T00:00:00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2477.82"/>
    <x v="163"/>
    <x v="163"/>
    <n v="3201.51"/>
    <n v="32015.120000000006"/>
    <x v="2"/>
    <s v="Pending"/>
    <x v="2"/>
    <n v="-258"/>
    <s v="OK"/>
    <s v="Invalid"/>
    <s v="Unique"/>
    <s v="West"/>
    <s v="Unknown"/>
    <s v="Valid"/>
    <x v="6"/>
    <n v="2025"/>
    <s v="Invalid"/>
    <s v="Ship Before Order"/>
    <s v="Valid"/>
    <s v="Missmatched"/>
    <s v="Missmatched"/>
  </r>
  <r>
    <s v="ORD-2025-10165"/>
    <d v="2025-09-09T00:00:00"/>
    <d v="2025-01-07T00:00:00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200000000002"/>
    <n v="1547.99"/>
    <x v="164"/>
    <x v="164"/>
    <n v="817.83"/>
    <n v="3271.3"/>
    <x v="0"/>
    <s v="Paid"/>
    <x v="0"/>
    <n v="-245"/>
    <s v="OK"/>
    <s v="Invalid"/>
    <s v="Unique"/>
    <s v="East"/>
    <s v="Second Class"/>
    <s v="Valid"/>
    <x v="6"/>
    <n v="2025"/>
    <s v="Invalid"/>
    <s v="Ship Before Order"/>
    <s v="Valid"/>
    <s v="Missmatched"/>
    <s v="Missmatched"/>
  </r>
  <r>
    <s v="ORD-2024-10166"/>
    <d v="2024-11-22T00:00:00"/>
    <d v="2025-01-08T00:00:00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6470.92"/>
    <x v="165"/>
    <x v="165"/>
    <n v="3798.05"/>
    <n v="15192.199999999997"/>
    <x v="0"/>
    <s v="Paid"/>
    <x v="0"/>
    <n v="47"/>
    <s v="OK"/>
    <s v="Valid"/>
    <s v="Unique"/>
    <s v="East"/>
    <s v="Standard Class"/>
    <s v="Valid"/>
    <x v="2"/>
    <n v="2024"/>
    <s v="Clean"/>
    <s v="OK"/>
    <s v="Valid"/>
    <s v="Ok"/>
    <s v="Ok"/>
  </r>
  <r>
    <s v="ORD-2025-10167"/>
    <d v="2025-02-20T00:00:00"/>
    <d v="2025-01-09T00:00:00"/>
    <s v="CUST-7215"/>
    <s v="Karan Malhotra"/>
    <x v="1"/>
    <x v="3"/>
    <s v="Gujarat"/>
    <s v="Ahmedabad"/>
    <x v="0"/>
    <x v="7"/>
    <s v="Basic Labels 671"/>
    <x v="2"/>
    <n v="1"/>
    <n v="2557.85"/>
    <n v="0.2"/>
    <n v="0.2"/>
    <n v="2046.28"/>
    <n v="1449.54"/>
    <x v="166"/>
    <x v="166"/>
    <n v="596.74"/>
    <n v="2983.7"/>
    <x v="0"/>
    <s v="Paid"/>
    <x v="0"/>
    <n v="-42"/>
    <s v="OK"/>
    <s v="Invalid"/>
    <s v="Unique"/>
    <s v="West"/>
    <s v="First Class"/>
    <s v="Valid"/>
    <x v="5"/>
    <n v="2025"/>
    <s v="Invalid"/>
    <s v="Ship Before Order"/>
    <s v="Valid"/>
    <s v="Ok"/>
    <s v="Ok"/>
  </r>
  <r>
    <s v="ORD-2025-10168"/>
    <d v="2025-08-18T00:00:00"/>
    <d v="2025-01-10T00:00:0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"/>
    <n v="17906.54"/>
    <x v="167"/>
    <x v="167"/>
    <n v="5280.07"/>
    <n v="35200.496666666659"/>
    <x v="0"/>
    <s v="Paid"/>
    <x v="2"/>
    <n v="-220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5-10169"/>
    <d v="2025-01-20T00:00:00"/>
    <d v="2025-01-11T00:00:00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2025.69"/>
    <x v="168"/>
    <x v="168"/>
    <n v="531.39"/>
    <n v="2656.9499999999994"/>
    <x v="0"/>
    <s v="Paid"/>
    <x v="1"/>
    <n v="-9"/>
    <s v="OK"/>
    <s v="Invalid"/>
    <s v="Unique"/>
    <s v="West"/>
    <s v="Same Day"/>
    <s v="Valid"/>
    <x v="8"/>
    <n v="2025"/>
    <s v="Invalid"/>
    <s v="Ship Before Order"/>
    <s v="Valid"/>
    <s v="Ok"/>
    <s v="Ok"/>
  </r>
  <r>
    <s v="ORD-2025-10170"/>
    <d v="2025-09-13T00:00:00"/>
    <d v="2025-01-12T00:00:00"/>
    <s v="CUST-2261"/>
    <s v="Diya Patel"/>
    <x v="0"/>
    <x v="1"/>
    <s v="Assam"/>
    <s v="Guwahati"/>
    <x v="0"/>
    <x v="2"/>
    <s v="Pro Art 734"/>
    <x v="3"/>
    <n v="8"/>
    <n v="733.9"/>
    <n v="0.05"/>
    <n v="0.05"/>
    <n v="5577.64"/>
    <n v="3541.29"/>
    <x v="169"/>
    <x v="169"/>
    <n v="2036.35"/>
    <n v="40726.999999999985"/>
    <x v="2"/>
    <s v="Pending"/>
    <x v="2"/>
    <n v="-244"/>
    <s v="OK"/>
    <s v="Invalid"/>
    <s v="Unique"/>
    <s v="East"/>
    <s v="Standard Class"/>
    <s v="Valid"/>
    <x v="6"/>
    <n v="2025"/>
    <s v="Invalid"/>
    <s v="Ship Before Order"/>
    <s v="Valid"/>
    <s v="Ok"/>
    <s v="Ok"/>
  </r>
  <r>
    <s v="ORD-2025-10171"/>
    <d v="2025-09-07T00:00:00"/>
    <d v="2025-01-13T00:00:00"/>
    <s v="CUST-3734"/>
    <s v="Rohan Mehta"/>
    <x v="2"/>
    <x v="1"/>
    <s v="Bihar"/>
    <s v="Patna"/>
    <x v="2"/>
    <x v="6"/>
    <s v="Eco Copiers 102"/>
    <x v="3"/>
    <n v="3"/>
    <n v="1711.32"/>
    <n v="0"/>
    <n v="0"/>
    <n v="5133.96"/>
    <n v="3930"/>
    <x v="170"/>
    <x v="170"/>
    <n v="1203.96"/>
    <n v="0"/>
    <x v="0"/>
    <s v="Paid"/>
    <x v="0"/>
    <n v="-237"/>
    <s v="OK"/>
    <s v="Invalid"/>
    <s v="Duplicate"/>
    <s v="East"/>
    <s v="Standard Class"/>
    <s v="Valid"/>
    <x v="6"/>
    <n v="2025"/>
    <s v="Invalid"/>
    <s v="Ship Before Order"/>
    <s v="Valid"/>
    <s v="Ok"/>
    <s v="Ok"/>
  </r>
  <r>
    <s v="ORD-2025-10172"/>
    <d v="2025-02-23T00:00:00"/>
    <d v="2025-01-14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0.25"/>
    <n v="15923.51"/>
    <n v="11291.8"/>
    <x v="171"/>
    <x v="171"/>
    <n v="4631.71"/>
    <n v="18526.850000000006"/>
    <x v="0"/>
    <s v="Paid"/>
    <x v="0"/>
    <n v="-40"/>
    <s v="OK"/>
    <s v="Invalid"/>
    <s v="Unique"/>
    <s v="East"/>
    <s v="Same Day"/>
    <s v="Valid"/>
    <x v="5"/>
    <n v="2025"/>
    <s v="Invalid"/>
    <s v="Ship Before Order"/>
    <s v="Valid"/>
    <s v="Missmatched"/>
    <s v="Missmatched"/>
  </r>
  <r>
    <s v="ORD-2025-10173"/>
    <d v="2025-08-02T00:00:00"/>
    <d v="2025-01-15T00:00:00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16134.63"/>
    <x v="172"/>
    <x v="172"/>
    <n v="7862.59"/>
    <n v="78625.919999999984"/>
    <x v="1"/>
    <s v="Refunded"/>
    <x v="2"/>
    <n v="-199"/>
    <s v="OK"/>
    <s v="Invalid"/>
    <s v="Unique"/>
    <s v="North"/>
    <s v="Same Day"/>
    <s v="Valid"/>
    <x v="1"/>
    <n v="2025"/>
    <s v="Invalid"/>
    <s v="Ship Before Order"/>
    <s v="Valid"/>
    <s v="Missmatched"/>
    <s v="Missmatched"/>
  </r>
  <r>
    <s v="ORD-2024-10174"/>
    <d v="2024-05-02T00:00:00"/>
    <d v="2025-01-16T00:00:00"/>
    <s v="CUST-6153"/>
    <s v="Priya Menon"/>
    <x v="3"/>
    <x v="0"/>
    <s v="Punjab"/>
    <s v="Ludhiana"/>
    <x v="2"/>
    <x v="6"/>
    <s v="Prime Copiers 440"/>
    <x v="0"/>
    <n v="1"/>
    <n v="2312.25"/>
    <n v="0.25"/>
    <n v="0.25"/>
    <n v="1734.19"/>
    <n v="1386.07"/>
    <x v="173"/>
    <x v="173"/>
    <n v="348.12"/>
    <n v="1392.4700000000003"/>
    <x v="0"/>
    <s v="Paid"/>
    <x v="0"/>
    <n v="259"/>
    <s v="OK"/>
    <s v="Valid"/>
    <s v="Unique"/>
    <s v="North"/>
    <s v="Second Class"/>
    <s v="Valid"/>
    <x v="3"/>
    <n v="2024"/>
    <s v="Clean"/>
    <s v="OK"/>
    <s v="Valid"/>
    <s v="Missmatched"/>
    <s v="Missmatched"/>
  </r>
  <r>
    <s v="ORD-2025-10175"/>
    <d v="2025-09-28T00:00:00"/>
    <d v="2025-01-17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00000000007"/>
    <n v="4768.75"/>
    <x v="174"/>
    <x v="174"/>
    <n v="3495.95"/>
    <n v="23306.353333333333"/>
    <x v="2"/>
    <s v="Pending"/>
    <x v="2"/>
    <n v="-254"/>
    <s v="OK"/>
    <s v="Invalid"/>
    <s v="Unique"/>
    <s v="South"/>
    <s v="First Class"/>
    <s v="Valid"/>
    <x v="6"/>
    <n v="2025"/>
    <s v="Invalid"/>
    <s v="Ship Before Order"/>
    <s v="Valid"/>
    <s v="Missmatched"/>
    <s v="Missmatched"/>
  </r>
  <r>
    <s v="ORD-2024-10176"/>
    <d v="2024-01-27T00:00:00"/>
    <d v="2025-01-18T00:00:00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5"/>
    <n v="11014.46"/>
    <x v="175"/>
    <x v="175"/>
    <n v="4892.3900000000003"/>
    <n v="32615.926666666688"/>
    <x v="0"/>
    <s v="Paid"/>
    <x v="2"/>
    <n v="357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5-10177"/>
    <d v="2025-03-18T00:00:00"/>
    <d v="2025-01-19T00:00:00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"/>
    <n v="13910.64"/>
    <x v="176"/>
    <x v="176"/>
    <n v="10318.370000000001"/>
    <n v="68789.146666666667"/>
    <x v="0"/>
    <s v="Paid"/>
    <x v="0"/>
    <n v="-58"/>
    <s v="OK"/>
    <s v="Invalid"/>
    <s v="Unique"/>
    <s v="East"/>
    <s v="Standard Class"/>
    <s v="Valid"/>
    <x v="11"/>
    <n v="2025"/>
    <s v="Invalid"/>
    <s v="Ship Before Order"/>
    <s v="Valid"/>
    <s v="Missmatched"/>
    <s v="Missmatched"/>
  </r>
  <r>
    <s v="ORD-2024-10178"/>
    <d v="2024-06-01T00:00:00"/>
    <d v="2025-01-20T00:00:00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20866.72"/>
    <x v="177"/>
    <x v="177"/>
    <n v="10172.879999999999"/>
    <n v="0"/>
    <x v="0"/>
    <s v="Paid"/>
    <x v="0"/>
    <n v="233"/>
    <s v="OK"/>
    <s v="Valid"/>
    <s v="Unique"/>
    <s v="Unknown"/>
    <s v="Same Day"/>
    <s v="Valid"/>
    <x v="10"/>
    <n v="2024"/>
    <s v="Clean"/>
    <s v="OK"/>
    <s v="Valid"/>
    <s v="Ok"/>
    <s v="Ok"/>
  </r>
  <r>
    <s v="ORD-2024-10179"/>
    <d v="2024-09-30T00:00:00"/>
    <d v="2025-01-21T00:00:0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0732.44"/>
    <x v="178"/>
    <x v="178"/>
    <n v="2394.52"/>
    <n v="0"/>
    <x v="0"/>
    <s v="Paid"/>
    <x v="0"/>
    <n v="113"/>
    <s v="OK"/>
    <s v="Valid"/>
    <s v="Unique"/>
    <s v="South"/>
    <s v="Standard Class"/>
    <s v="Valid"/>
    <x v="6"/>
    <n v="2024"/>
    <s v="Clean"/>
    <s v="OK"/>
    <s v="Valid"/>
    <s v="Ok"/>
    <s v="Ok"/>
  </r>
  <r>
    <s v="ORD-2024-10180"/>
    <d v="2024-03-15T00:00:00"/>
    <d v="2025-01-22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5516.76"/>
    <x v="179"/>
    <x v="179"/>
    <n v="4042.14"/>
    <n v="16168.560000000005"/>
    <x v="1"/>
    <s v="Refunded"/>
    <x v="2"/>
    <n v="313"/>
    <s v="OK"/>
    <s v="Valid"/>
    <s v="Unique"/>
    <s v="South"/>
    <s v="Standard Class"/>
    <s v="Valid"/>
    <x v="11"/>
    <n v="2024"/>
    <s v="Clean"/>
    <s v="OK"/>
    <s v="Valid"/>
    <s v="Ok"/>
    <s v="Ok"/>
  </r>
  <r>
    <s v="ORD-2024-10181"/>
    <d v="2024-08-26T00:00:00"/>
    <d v="2025-01-23T00:00:0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2"/>
    <n v="3041.5"/>
    <x v="180"/>
    <x v="180"/>
    <n v="2279.42"/>
    <n v="22794.170000000002"/>
    <x v="0"/>
    <s v="Paid"/>
    <x v="0"/>
    <n v="150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182"/>
    <d v="2025-09-09T00:00:00"/>
    <d v="2025-01-24T00:00:00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5986.31"/>
    <x v="181"/>
    <x v="181"/>
    <n v="4219.49"/>
    <n v="0"/>
    <x v="0"/>
    <s v="Paid"/>
    <x v="0"/>
    <n v="-228"/>
    <s v="OK"/>
    <s v="Invalid"/>
    <s v="Unique"/>
    <s v="South"/>
    <s v="Second Class"/>
    <s v="Valid"/>
    <x v="6"/>
    <n v="2025"/>
    <s v="Invalid"/>
    <s v="Ship Before Order"/>
    <s v="Valid"/>
    <s v="Ok"/>
    <s v="Ok"/>
  </r>
  <r>
    <s v="ORD-2024-10183"/>
    <d v="2024-10-16T00:00:00"/>
    <d v="2025-01-25T00:00:00"/>
    <s v="CUST-4121"/>
    <s v="Ananya Rao"/>
    <x v="3"/>
    <x v="1"/>
    <s v="Bihar"/>
    <s v="Patna"/>
    <x v="2"/>
    <x v="12"/>
    <s v="Basic Machines 575"/>
    <x v="3"/>
    <n v="7"/>
    <n v="775.77"/>
    <n v="0"/>
    <n v="0"/>
    <n v="5430.39"/>
    <n v="3707.66"/>
    <x v="182"/>
    <x v="182"/>
    <n v="1722.73"/>
    <n v="0"/>
    <x v="0"/>
    <s v="Paid"/>
    <x v="0"/>
    <n v="101"/>
    <s v="OK"/>
    <s v="Valid"/>
    <s v="Unique"/>
    <s v="East"/>
    <s v="Standard Class"/>
    <s v="Valid"/>
    <x v="4"/>
    <n v="2024"/>
    <s v="Clean"/>
    <s v="OK"/>
    <s v="Valid"/>
    <s v="Ok"/>
    <s v="Ok"/>
  </r>
  <r>
    <s v="ORD-2025-10184"/>
    <d v="2025-06-24T00:00:00"/>
    <d v="2025-01-26T00:00:00"/>
    <s v="CUST-3366"/>
    <s v="Vikram Iyer"/>
    <x v="3"/>
    <x v="2"/>
    <s v="Telangana"/>
    <s v="Hyderabad"/>
    <x v="2"/>
    <x v="6"/>
    <s v="Elite Copiers 788"/>
    <x v="3"/>
    <n v="7"/>
    <n v="2304.86"/>
    <n v="0.2"/>
    <n v="0.2"/>
    <n v="12907.22"/>
    <n v="8327.89"/>
    <x v="183"/>
    <x v="183"/>
    <n v="4579.33"/>
    <n v="22896.630000000005"/>
    <x v="0"/>
    <s v="Paid"/>
    <x v="2"/>
    <n v="-149"/>
    <s v="OK"/>
    <s v="Invalid"/>
    <s v="Unique"/>
    <s v="South"/>
    <s v="Standard Class"/>
    <s v="Valid"/>
    <x v="10"/>
    <n v="2025"/>
    <s v="Invalid"/>
    <s v="Ship Before Order"/>
    <s v="Valid"/>
    <s v="Missmatched"/>
    <s v="Missmatched"/>
  </r>
  <r>
    <s v="ORD-2024-10185"/>
    <d v="2024-02-04T00:00:00"/>
    <d v="2025-01-27T00:00:00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021.16"/>
    <x v="184"/>
    <x v="184"/>
    <n v="756.8"/>
    <n v="0"/>
    <x v="1"/>
    <s v="Refunded"/>
    <x v="2"/>
    <n v="358"/>
    <s v="OK"/>
    <s v="Valid"/>
    <s v="Unique"/>
    <s v="West"/>
    <s v="Standard Class"/>
    <s v="Valid"/>
    <x v="5"/>
    <n v="2024"/>
    <s v="Clean"/>
    <s v="OK"/>
    <s v="Valid"/>
    <s v="Ok"/>
    <s v="Ok"/>
  </r>
  <r>
    <s v="ORD-2024-10186"/>
    <d v="2024-05-11T00:00:00"/>
    <d v="2025-01-28T00:00:00"/>
    <s v="CUST-4968"/>
    <s v="Arjun Bose"/>
    <x v="0"/>
    <x v="4"/>
    <s v="Punjab"/>
    <s v="Ludhiana"/>
    <x v="0"/>
    <x v="7"/>
    <s v="Smart Labels 475"/>
    <x v="0"/>
    <n v="2"/>
    <n v="1003.17"/>
    <n v="0.2"/>
    <n v="0.2"/>
    <n v="1605.07"/>
    <n v="1337.28"/>
    <x v="185"/>
    <x v="185"/>
    <n v="267.79000000000002"/>
    <n v="1338.9600000000007"/>
    <x v="0"/>
    <s v="Paid"/>
    <x v="0"/>
    <n v="262"/>
    <s v="OK"/>
    <s v="Valid"/>
    <s v="Unique"/>
    <s v="Unknown"/>
    <s v="Second Class"/>
    <s v="Valid"/>
    <x v="3"/>
    <n v="2024"/>
    <s v="Clean"/>
    <s v="OK"/>
    <s v="Valid"/>
    <s v="Missmatched"/>
    <s v="Missmatched"/>
  </r>
  <r>
    <s v="ORD-2024-10187"/>
    <d v="2024-07-19T00:00:00"/>
    <d v="2025-01-29T00:00:00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0167.28"/>
    <x v="186"/>
    <x v="186"/>
    <n v="3828.78"/>
    <n v="76575.589999999938"/>
    <x v="0"/>
    <s v="Paid"/>
    <x v="0"/>
    <n v="194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5-10188"/>
    <d v="2025-01-05T00:00:00"/>
    <d v="2025-01-30T00:00:00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6215.96"/>
    <x v="187"/>
    <x v="187"/>
    <n v="2501.2600000000002"/>
    <n v="0"/>
    <x v="0"/>
    <s v="Paid"/>
    <x v="2"/>
    <n v="25"/>
    <s v="OK"/>
    <s v="Valid"/>
    <s v="Unique"/>
    <s v="West"/>
    <s v="Same Day"/>
    <s v="Valid"/>
    <x v="8"/>
    <n v="2025"/>
    <s v="Clean"/>
    <s v="OK"/>
    <s v="Valid"/>
    <s v="Ok"/>
    <s v="Ok"/>
  </r>
  <r>
    <s v="ORD-2025-10189"/>
    <d v="2025-05-21T00:00:00"/>
    <d v="2025-01-31T00:00:00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553.95"/>
    <n v="4923.09"/>
    <x v="188"/>
    <x v="188"/>
    <n v="1484.14"/>
    <n v="14841.360000000004"/>
    <x v="0"/>
    <s v="Paid"/>
    <x v="0"/>
    <n v="-110"/>
    <s v="OK"/>
    <s v="Invalid"/>
    <s v="Unique"/>
    <s v="East"/>
    <s v="Same Day"/>
    <s v="Valid"/>
    <x v="3"/>
    <n v="2025"/>
    <s v="Invalid"/>
    <s v="Ship Before Order"/>
    <s v="Valid"/>
    <s v="Missmatched"/>
    <s v="Missmatched"/>
  </r>
  <r>
    <s v="ORD-2025-10190"/>
    <d v="2025-06-05T00:00:00"/>
    <d v="2025-02-01T00:00:00"/>
    <s v="CUST-3375"/>
    <s v="Arjun Bose"/>
    <x v="0"/>
    <x v="3"/>
    <s v="Rajasthan"/>
    <s v="Udaipur"/>
    <x v="1"/>
    <x v="10"/>
    <s v="Basic Bookcases 754"/>
    <x v="2"/>
    <n v="9"/>
    <n v="3318.24"/>
    <m/>
    <n v="0"/>
    <n v="25384.54"/>
    <n v="16872.39"/>
    <x v="189"/>
    <x v="189"/>
    <n v="8512.15"/>
    <n v="0"/>
    <x v="0"/>
    <s v="Paid"/>
    <x v="0"/>
    <n v="-124"/>
    <s v="OK"/>
    <s v="Invalid"/>
    <s v="Unique"/>
    <s v="West"/>
    <s v="First Class"/>
    <s v="Valid"/>
    <x v="10"/>
    <n v="2025"/>
    <s v="Invalid"/>
    <s v="Ship Before Order"/>
    <s v="Valid"/>
    <s v="Missmatched"/>
    <s v="Missmatched"/>
  </r>
  <r>
    <s v="ORD-2025-10191"/>
    <d v="2025-04-20T00:00:00"/>
    <d v="2025-02-02T00:00:00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"/>
    <n v="943.32"/>
    <x v="190"/>
    <x v="190"/>
    <n v="514.91999999999996"/>
    <n v="5149.2299999999987"/>
    <x v="0"/>
    <s v="Paid"/>
    <x v="0"/>
    <n v="-77"/>
    <s v="OK"/>
    <s v="Invalid"/>
    <s v="Unique"/>
    <s v="South"/>
    <s v="First Class"/>
    <s v="Valid"/>
    <x v="9"/>
    <n v="2025"/>
    <s v="Invalid"/>
    <s v="Ship Before Order"/>
    <s v="Valid"/>
    <s v="Missmatched"/>
    <s v="Missmatched"/>
  </r>
  <r>
    <s v="ORD-2024-10192"/>
    <d v="2024-10-19T00:00:00"/>
    <d v="2025-02-03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25850.400000000001"/>
    <n v="19397.68"/>
    <x v="191"/>
    <x v="191"/>
    <n v="6452.72"/>
    <n v="-15923.138461538463"/>
    <x v="0"/>
    <s v="Paid"/>
    <x v="0"/>
    <n v="107"/>
    <s v="OK"/>
    <s v="Valid"/>
    <s v="Unique"/>
    <s v="South"/>
    <s v="Second Class"/>
    <s v="Valid"/>
    <x v="4"/>
    <n v="2024"/>
    <s v="Clean"/>
    <s v="OK"/>
    <s v="Valid"/>
    <s v="Missmatched"/>
    <s v="Missmatched"/>
  </r>
  <r>
    <s v="ORD-2024-10193"/>
    <d v="2024-09-12T00:00:00"/>
    <d v="2025-02-04T00:00:00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7220.05"/>
    <x v="192"/>
    <x v="192"/>
    <n v="1544.07"/>
    <n v="0"/>
    <x v="0"/>
    <s v="Paid"/>
    <x v="0"/>
    <n v="145"/>
    <s v="OK"/>
    <s v="Valid"/>
    <s v="Unique"/>
    <s v="West"/>
    <s v="First Class"/>
    <s v="Valid"/>
    <x v="6"/>
    <n v="2024"/>
    <s v="Clean"/>
    <s v="OK"/>
    <s v="Valid"/>
    <s v="Ok"/>
    <s v="Ok"/>
  </r>
  <r>
    <s v="ORD-2024-10194"/>
    <d v="2024-06-23T00:00:00"/>
    <d v="2025-02-05T00:00:00"/>
    <s v="CUST-9853"/>
    <s v="Priya Menon"/>
    <x v="1"/>
    <x v="0"/>
    <s v="Punjab"/>
    <s v="Ludhiana"/>
    <x v="2"/>
    <x v="6"/>
    <s v="Prime Copiers 142"/>
    <x v="1"/>
    <n v="6"/>
    <n v="1956.63"/>
    <n v="0.2"/>
    <n v="0.2"/>
    <n v="9391.82"/>
    <n v="6013.22"/>
    <x v="193"/>
    <x v="193"/>
    <n v="3378.6"/>
    <n v="16893.02"/>
    <x v="1"/>
    <s v="Refunded"/>
    <x v="2"/>
    <n v="227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195"/>
    <d v="2025-01-28T00:00:00"/>
    <d v="2025-02-06T00:00:00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5434.12"/>
    <x v="194"/>
    <x v="194"/>
    <n v="1905.11"/>
    <n v="38102.289999999994"/>
    <x v="2"/>
    <s v="Pending"/>
    <x v="2"/>
    <n v="9"/>
    <s v="OK"/>
    <s v="Valid"/>
    <s v="Unique"/>
    <s v="West"/>
    <s v="First Class"/>
    <s v="Valid"/>
    <x v="8"/>
    <n v="2025"/>
    <s v="Clean"/>
    <s v="OK"/>
    <s v="Valid"/>
    <s v="Missmatched"/>
    <s v="Missmatched"/>
  </r>
  <r>
    <s v="ORD-2025-10196"/>
    <d v="2025-07-22T00:00:00"/>
    <d v="2025-02-07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7576.84"/>
    <x v="195"/>
    <x v="195"/>
    <n v="2037.31"/>
    <n v="0"/>
    <x v="0"/>
    <s v="Paid"/>
    <x v="0"/>
    <n v="-165"/>
    <s v="OK"/>
    <s v="Invalid"/>
    <s v="Unique"/>
    <s v="South"/>
    <s v="Same Day"/>
    <s v="Valid"/>
    <x v="0"/>
    <n v="2025"/>
    <s v="Invalid"/>
    <s v="Ship Before Order"/>
    <s v="Valid"/>
    <s v="Ok"/>
    <s v="Ok"/>
  </r>
  <r>
    <s v="ORD-2024-10197"/>
    <d v="2024-01-22T00:00:00"/>
    <d v="2025-02-08T00:00:00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"/>
    <n v="2517.44"/>
    <x v="196"/>
    <x v="196"/>
    <n v="755.04"/>
    <n v="7550.4100000000017"/>
    <x v="0"/>
    <s v="Paid"/>
    <x v="0"/>
    <n v="383"/>
    <s v="OK"/>
    <s v="Valid"/>
    <s v="Unique"/>
    <s v="North"/>
    <s v="First Class"/>
    <s v="Valid"/>
    <x v="8"/>
    <n v="2024"/>
    <s v="Clean"/>
    <s v="OK"/>
    <s v="Valid"/>
    <s v="Missmatched"/>
    <s v="Missmatched"/>
  </r>
  <r>
    <s v="ORD-2025-10198"/>
    <d v="2025-03-31T00:00:00"/>
    <d v="2025-02-09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7"/>
    <n v="14076.25"/>
    <x v="197"/>
    <x v="197"/>
    <n v="3333.62"/>
    <n v="22224.133333333302"/>
    <x v="0"/>
    <s v="Paid"/>
    <x v="0"/>
    <n v="-50"/>
    <s v="OK"/>
    <s v="Invalid"/>
    <s v="Unique"/>
    <s v="East"/>
    <s v="Second Class"/>
    <s v="Valid"/>
    <x v="11"/>
    <n v="2025"/>
    <s v="Invalid"/>
    <s v="Ship Before Order"/>
    <s v="Valid"/>
    <s v="Ok"/>
    <s v="Ok"/>
  </r>
  <r>
    <s v="ORD-2024-10199"/>
    <d v="2024-06-05T00:00:00"/>
    <d v="2025-02-10T00:00:00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676.97"/>
    <x v="198"/>
    <x v="198"/>
    <n v="448.38"/>
    <n v="8967.6199999999972"/>
    <x v="3"/>
    <s v="Failed"/>
    <x v="1"/>
    <n v="250"/>
    <s v="OK"/>
    <s v="Valid"/>
    <s v="Unique"/>
    <s v="West"/>
    <s v="Second Class"/>
    <s v="Valid"/>
    <x v="10"/>
    <n v="2024"/>
    <s v="Clean"/>
    <s v="OK"/>
    <s v="Valid"/>
    <s v="Missmatched"/>
    <s v="Missmatched"/>
  </r>
  <r>
    <s v="ORD-2024-10200"/>
    <d v="2024-12-03T00:00:00"/>
    <d v="2025-02-11T00:00:00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5437.64"/>
    <x v="199"/>
    <x v="199"/>
    <n v="4397.47"/>
    <n v="17589.88"/>
    <x v="0"/>
    <s v="Paid"/>
    <x v="0"/>
    <n v="70"/>
    <s v="OK"/>
    <s v="Valid"/>
    <s v="Unique"/>
    <s v="East"/>
    <s v="Unknown"/>
    <s v="Valid"/>
    <x v="7"/>
    <n v="2024"/>
    <s v="Clean"/>
    <s v="OK"/>
    <s v="Valid"/>
    <s v="Ok"/>
    <s v="Ok"/>
  </r>
  <r>
    <s v="ORD-2025-10201"/>
    <d v="2025-06-27T00:00:00"/>
    <d v="2025-02-12T00:00:00"/>
    <s v="CUST-7047"/>
    <s v="Priya Menon"/>
    <x v="1"/>
    <x v="0"/>
    <s v="Rajasthan"/>
    <s v="Jaipur"/>
    <x v="2"/>
    <x v="6"/>
    <s v="Classic Copiers 479"/>
    <x v="2"/>
    <n v="5"/>
    <n v="2868.44"/>
    <n v="0.1"/>
    <n v="0.1"/>
    <n v="12907.98"/>
    <n v="9197.08"/>
    <x v="200"/>
    <x v="200"/>
    <n v="3710.9"/>
    <n v="37109.000000000015"/>
    <x v="2"/>
    <s v="Pending"/>
    <x v="1"/>
    <n v="-135"/>
    <s v="OK"/>
    <s v="Invalid"/>
    <s v="Unique"/>
    <s v="North"/>
    <s v="First Class"/>
    <s v="Valid"/>
    <x v="10"/>
    <n v="2025"/>
    <s v="Invalid"/>
    <s v="Ship Before Order"/>
    <s v="Valid"/>
    <s v="Ok"/>
    <s v="Ok"/>
  </r>
  <r>
    <s v="ORD-2025-10202"/>
    <d v="2025-07-26T00:00:00"/>
    <d v="2025-02-1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-0.16"/>
    <n v="4756.71"/>
    <n v="2954.86"/>
    <x v="201"/>
    <x v="201"/>
    <n v="1801.85"/>
    <n v="-17833.309999999998"/>
    <x v="1"/>
    <s v="Refunded"/>
    <x v="1"/>
    <n v="-163"/>
    <s v="OK"/>
    <s v="Invalid"/>
    <s v="Unique"/>
    <s v="West"/>
    <s v="Second Class"/>
    <s v="Invalid"/>
    <x v="0"/>
    <n v="2025"/>
    <s v="Invalid"/>
    <s v="Ship Before Order"/>
    <s v="Valid"/>
    <s v="Missmatched"/>
    <s v="Missmatched"/>
  </r>
  <r>
    <s v="ORD-2025-10203"/>
    <d v="2025-03-28T00:00:00"/>
    <d v="2025-02-14T00:00:0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"/>
    <n v="11290.06"/>
    <x v="202"/>
    <x v="202"/>
    <n v="1941.08"/>
    <n v="38821.680000000015"/>
    <x v="0"/>
    <s v="Paid"/>
    <x v="0"/>
    <n v="-42"/>
    <s v="OK"/>
    <s v="Invalid"/>
    <s v="Unique"/>
    <s v="West"/>
    <s v="Standard Class"/>
    <s v="Valid"/>
    <x v="11"/>
    <n v="2025"/>
    <s v="Invalid"/>
    <s v="Ship Before Order"/>
    <s v="Valid"/>
    <s v="Missmatched"/>
    <s v="Missmatched"/>
  </r>
  <r>
    <s v="ORD-2024-10204"/>
    <d v="2024-03-28T00:00:00"/>
    <d v="2025-02-15T00:00:00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9"/>
    <n v="333.54"/>
    <x v="203"/>
    <x v="203"/>
    <n v="151.25"/>
    <n v="1008.3266666666665"/>
    <x v="0"/>
    <s v="Paid"/>
    <x v="0"/>
    <n v="324"/>
    <s v="OK"/>
    <s v="Valid"/>
    <s v="Unique"/>
    <s v="West"/>
    <s v="Second Class"/>
    <s v="Valid"/>
    <x v="11"/>
    <n v="2024"/>
    <s v="Clean"/>
    <s v="OK"/>
    <s v="Valid"/>
    <s v="Missmatched"/>
    <s v="Missmatched"/>
  </r>
  <r>
    <s v="ORD-2025-10205"/>
    <d v="2025-07-20T00:00:00"/>
    <d v="2025-02-16T00:00:00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217.99"/>
    <x v="204"/>
    <x v="204"/>
    <n v="406.16"/>
    <n v="2707.7066666666665"/>
    <x v="0"/>
    <s v="Paid"/>
    <x v="0"/>
    <n v="-154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5-10206"/>
    <d v="2025-04-21T00:00:00"/>
    <d v="2025-02-17T00:00:00"/>
    <s v="CUST-3338"/>
    <s v="Ananya Rao"/>
    <x v="0"/>
    <x v="3"/>
    <s v="Maharashtra"/>
    <s v="Mumbai"/>
    <x v="0"/>
    <x v="7"/>
    <s v="Smart Labels 354"/>
    <x v="1"/>
    <n v="6"/>
    <n v="873.59"/>
    <n v="0.2"/>
    <n v="0.2"/>
    <n v="4193.2299999999996"/>
    <n v="3329.99"/>
    <x v="205"/>
    <x v="205"/>
    <n v="863.24"/>
    <n v="4316.2100000000009"/>
    <x v="0"/>
    <s v="Paid"/>
    <x v="0"/>
    <n v="-63"/>
    <s v="OK"/>
    <s v="Invalid"/>
    <s v="Unique"/>
    <s v="West"/>
    <s v="Same Day"/>
    <s v="Valid"/>
    <x v="9"/>
    <n v="2025"/>
    <s v="Invalid"/>
    <s v="Ship Before Order"/>
    <s v="Valid"/>
    <s v="Missmatched"/>
    <s v="Missmatched"/>
  </r>
  <r>
    <s v="ORD-2025-10207"/>
    <d v="2025-05-18T00:00:00"/>
    <d v="2025-02-18T00:00:00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286.38"/>
    <x v="206"/>
    <x v="206"/>
    <n v="143.88"/>
    <n v="0"/>
    <x v="0"/>
    <s v="Paid"/>
    <x v="0"/>
    <n v="-89"/>
    <s v="OK"/>
    <s v="Invalid"/>
    <s v="Unique"/>
    <s v="North"/>
    <s v="First Class"/>
    <s v="Valid"/>
    <x v="3"/>
    <n v="2025"/>
    <s v="Invalid"/>
    <s v="Ship Before Order"/>
    <s v="Valid"/>
    <s v="Ok"/>
    <s v="Ok"/>
  </r>
  <r>
    <s v="ORD-2024-10208"/>
    <d v="2024-10-07T00:00:00"/>
    <d v="2025-02-19T00:00:00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"/>
    <n v="996.41"/>
    <x v="207"/>
    <x v="207"/>
    <n v="756.31"/>
    <n v="3781.5500000000011"/>
    <x v="0"/>
    <s v="Paid"/>
    <x v="0"/>
    <n v="135"/>
    <s v="OK"/>
    <s v="Valid"/>
    <s v="Unique"/>
    <s v="West"/>
    <s v="Second Class"/>
    <s v="Valid"/>
    <x v="4"/>
    <n v="2024"/>
    <s v="Clean"/>
    <s v="OK"/>
    <s v="Valid"/>
    <s v="Ok"/>
    <s v="Ok"/>
  </r>
  <r>
    <s v="ORD-2025-10209"/>
    <d v="2025-06-29T00:00:00"/>
    <d v="2025-02-20T00:00:00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634.91"/>
    <x v="208"/>
    <x v="208"/>
    <n v="364.92"/>
    <n v="0"/>
    <x v="0"/>
    <s v="Paid"/>
    <x v="0"/>
    <n v="-129"/>
    <s v="OK"/>
    <s v="Invalid"/>
    <s v="Unique"/>
    <s v="North"/>
    <s v="Same Day"/>
    <s v="Valid"/>
    <x v="10"/>
    <n v="2025"/>
    <s v="Invalid"/>
    <s v="Ship Before Order"/>
    <s v="Valid"/>
    <s v="Ok"/>
    <s v="Ok"/>
  </r>
  <r>
    <s v="ORD-2025-10210"/>
    <d v="2025-08-13T00:00:00"/>
    <d v="2025-02-21T00:00:00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4640.88"/>
    <x v="209"/>
    <x v="209"/>
    <n v="2365.46"/>
    <n v="23654.579999999994"/>
    <x v="0"/>
    <s v="Paid"/>
    <x v="0"/>
    <n v="-173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4-10211"/>
    <d v="2024-03-15T00:00:00"/>
    <d v="2025-02-22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2937.07"/>
    <x v="210"/>
    <x v="210"/>
    <n v="1194.29"/>
    <n v="0"/>
    <x v="3"/>
    <s v="Failed"/>
    <x v="2"/>
    <n v="344"/>
    <s v="OK"/>
    <s v="Valid"/>
    <s v="Unique"/>
    <s v="South"/>
    <s v="Second Class"/>
    <s v="Valid"/>
    <x v="11"/>
    <n v="2024"/>
    <s v="Clean"/>
    <s v="OK"/>
    <s v="Valid"/>
    <s v="Ok"/>
    <s v="Ok"/>
  </r>
  <r>
    <s v="ORD-2024-10212"/>
    <d v="2024-05-16T00:00:00"/>
    <d v="2025-02-23T00:00:00"/>
    <s v="CUST-2222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22885.24"/>
    <x v="211"/>
    <x v="211"/>
    <n v="4135.24"/>
    <n v="20676.19999999999"/>
    <x v="0"/>
    <s v="Paid"/>
    <x v="0"/>
    <n v="283"/>
    <s v="OK"/>
    <s v="Valid"/>
    <s v="Unique"/>
    <s v="East"/>
    <s v="Second Class"/>
    <s v="Valid"/>
    <x v="3"/>
    <n v="2024"/>
    <s v="Clean"/>
    <s v="OK"/>
    <s v="Valid"/>
    <s v="Ok"/>
    <s v="Ok"/>
  </r>
  <r>
    <s v="ORD-2024-10213"/>
    <d v="2024-09-21T00:00:00"/>
    <d v="2025-02-24T00:00:0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280.74"/>
    <x v="212"/>
    <x v="212"/>
    <n v="83.91"/>
    <n v="559.39999999999986"/>
    <x v="0"/>
    <s v="Paid"/>
    <x v="0"/>
    <n v="156"/>
    <s v="OK"/>
    <s v="Valid"/>
    <s v="Unique"/>
    <s v="East"/>
    <s v="Same Day"/>
    <s v="Valid"/>
    <x v="6"/>
    <n v="2024"/>
    <s v="Clean"/>
    <s v="OK"/>
    <s v="Valid"/>
    <s v="Ok"/>
    <s v="Ok"/>
  </r>
  <r>
    <s v="ORD-2024-10214"/>
    <d v="2024-05-15T00:00:00"/>
    <d v="2025-02-25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4"/>
    <n v="11294.06"/>
    <x v="213"/>
    <x v="213"/>
    <n v="2570.6799999999998"/>
    <n v="12853.379999999997"/>
    <x v="0"/>
    <s v="Paid"/>
    <x v="0"/>
    <n v="286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4-10215"/>
    <d v="2024-03-17T00:00:00"/>
    <d v="2025-02-26T00:00:00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"/>
    <n v="569"/>
    <x v="214"/>
    <x v="214"/>
    <n v="138.31"/>
    <n v="2766.2599999999998"/>
    <x v="0"/>
    <s v="Paid"/>
    <x v="0"/>
    <n v="346"/>
    <s v="OK"/>
    <s v="Valid"/>
    <s v="Unique"/>
    <s v="North"/>
    <s v="First Class"/>
    <s v="Valid"/>
    <x v="11"/>
    <n v="2024"/>
    <s v="Clean"/>
    <s v="OK"/>
    <s v="Valid"/>
    <s v="Missmatched"/>
    <s v="Missmatched"/>
  </r>
  <r>
    <s v="ORD-2024-10216"/>
    <d v="2024-03-01T00:00:00"/>
    <d v="2025-02-27T00:00:00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0916.01"/>
    <x v="215"/>
    <x v="215"/>
    <n v="8298.39"/>
    <n v="33193.560000000005"/>
    <x v="0"/>
    <s v="Paid"/>
    <x v="0"/>
    <n v="363"/>
    <s v="OK"/>
    <s v="Valid"/>
    <s v="Unique"/>
    <s v="West"/>
    <s v="First Class"/>
    <s v="Valid"/>
    <x v="11"/>
    <n v="2024"/>
    <s v="Clean"/>
    <s v="OK"/>
    <s v="Valid"/>
    <s v="Ok"/>
    <s v="Ok"/>
  </r>
  <r>
    <s v="ORD-2025-10217"/>
    <d v="2025-10-04T00:00:00"/>
    <d v="2025-02-28T00:00:00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7642.91"/>
    <x v="216"/>
    <x v="216"/>
    <n v="3396.31"/>
    <n v="13585.239999999998"/>
    <x v="3"/>
    <s v="Failed"/>
    <x v="2"/>
    <n v="-218"/>
    <s v="OK"/>
    <s v="Invalid"/>
    <s v="Unique"/>
    <s v="West"/>
    <s v="Standard Class"/>
    <s v="Valid"/>
    <x v="4"/>
    <n v="2025"/>
    <s v="Invalid"/>
    <s v="Ship Before Order"/>
    <s v="Valid"/>
    <s v="Ok"/>
    <s v="Ok"/>
  </r>
  <r>
    <s v="ORD-2025-10218"/>
    <d v="2025-04-01T00:00:00"/>
    <d v="2025-03-01T00:00:00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3396.8"/>
    <x v="217"/>
    <x v="217"/>
    <n v="1198.96"/>
    <n v="11989.6"/>
    <x v="1"/>
    <s v="Refunded"/>
    <x v="1"/>
    <n v="-31"/>
    <s v="OK"/>
    <s v="Invalid"/>
    <s v="Unique"/>
    <s v="East"/>
    <s v="Second Class"/>
    <s v="Valid"/>
    <x v="9"/>
    <n v="2025"/>
    <s v="Invalid"/>
    <s v="Ship Before Order"/>
    <s v="Valid"/>
    <s v="Ok"/>
    <s v="Ok"/>
  </r>
  <r>
    <s v="ORD-2025-10219"/>
    <d v="2025-02-26T00:00:00"/>
    <d v="2025-03-02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4000000000001"/>
    <n v="756.93"/>
    <x v="218"/>
    <x v="218"/>
    <n v="534.47"/>
    <n v="0"/>
    <x v="0"/>
    <s v="Paid"/>
    <x v="0"/>
    <n v="4"/>
    <s v="OK"/>
    <s v="Valid"/>
    <s v="Unique"/>
    <s v="West"/>
    <s v="Standard Class"/>
    <s v="Valid"/>
    <x v="5"/>
    <n v="2025"/>
    <s v="Clean"/>
    <s v="OK"/>
    <s v="Valid"/>
    <s v="Ok"/>
    <s v="Ok"/>
  </r>
  <r>
    <s v="ORD-2024-10220"/>
    <d v="2024-06-18T00:00:00"/>
    <d v="2025-03-03T00:00:00"/>
    <s v="CUST-1472"/>
    <s v="Rahul Verma"/>
    <x v="0"/>
    <x v="1"/>
    <s v="Bihar"/>
    <s v="Patna"/>
    <x v="2"/>
    <x v="12"/>
    <s v="Elite Machines 290"/>
    <x v="2"/>
    <n v="2"/>
    <n v="121.49"/>
    <s v="85%"/>
    <s v="85%"/>
    <n v="242.98"/>
    <n v="161.41999999999999"/>
    <x v="219"/>
    <x v="219"/>
    <n v="81.56"/>
    <n v="-147.02705882352939"/>
    <x v="0"/>
    <s v="Paid"/>
    <x v="0"/>
    <n v="258"/>
    <s v="OK"/>
    <s v="Valid"/>
    <s v="Unique"/>
    <s v="East"/>
    <s v="First Class"/>
    <s v="Invalid"/>
    <x v="10"/>
    <n v="2024"/>
    <s v="Clean"/>
    <s v="OK"/>
    <s v="Valid"/>
    <s v="Missmatched"/>
    <s v="Missmatched"/>
  </r>
  <r>
    <s v="ORD-2024-10221"/>
    <d v="2024-03-09T00:00:00"/>
    <d v="2025-03-04T00:00:0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8"/>
    <n v="6068.47"/>
    <x v="220"/>
    <x v="220"/>
    <n v="3486.11"/>
    <n v="23240.719999999998"/>
    <x v="1"/>
    <s v="Refunded"/>
    <x v="1"/>
    <n v="360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5-10222"/>
    <d v="2025-01-12T00:00:00"/>
    <d v="2025-03-05T00:00:00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99999999996"/>
    <n v="3552.69"/>
    <x v="221"/>
    <x v="221"/>
    <n v="1348.21"/>
    <n v="6741.0299999999979"/>
    <x v="0"/>
    <s v="Paid"/>
    <x v="0"/>
    <n v="52"/>
    <s v="OK"/>
    <s v="Valid"/>
    <s v="Unique"/>
    <s v="South"/>
    <s v="Same Day"/>
    <s v="Valid"/>
    <x v="8"/>
    <n v="2025"/>
    <s v="Clean"/>
    <s v="OK"/>
    <s v="Valid"/>
    <s v="Missmatched"/>
    <s v="Missmatched"/>
  </r>
  <r>
    <s v="ORD-2025-10223"/>
    <d v="2025-04-29T00:00:00"/>
    <d v="2025-03-06T00:00:00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17729.09"/>
    <x v="222"/>
    <x v="222"/>
    <n v="8119.45"/>
    <n v="0"/>
    <x v="0"/>
    <s v="Paid"/>
    <x v="0"/>
    <n v="-54"/>
    <s v="OK"/>
    <s v="Invalid"/>
    <s v="Unique"/>
    <s v="West"/>
    <s v="First Class"/>
    <s v="Valid"/>
    <x v="9"/>
    <n v="2025"/>
    <s v="Invalid"/>
    <s v="Ship Before Order"/>
    <s v="Valid"/>
    <s v="Ok"/>
    <s v="Ok"/>
  </r>
  <r>
    <s v="ORD-2025-10224"/>
    <d v="2025-02-19T00:00:00"/>
    <d v="2025-03-07T00:00:00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654.33000000000004"/>
    <x v="223"/>
    <x v="223"/>
    <n v="522.39"/>
    <n v="2611.9499999999998"/>
    <x v="2"/>
    <s v="Pending"/>
    <x v="2"/>
    <n v="16"/>
    <s v="OK"/>
    <s v="Valid"/>
    <s v="Unique"/>
    <s v="West"/>
    <s v="First Class"/>
    <s v="Valid"/>
    <x v="5"/>
    <n v="2025"/>
    <s v="Clean"/>
    <s v="OK"/>
    <s v="Valid"/>
    <s v="Ok"/>
    <s v="Ok"/>
  </r>
  <r>
    <s v="ORD-2025-10225"/>
    <d v="2025-02-10T00:00:00"/>
    <d v="2025-03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6682.92"/>
    <x v="224"/>
    <x v="224"/>
    <n v="5151"/>
    <n v="20604"/>
    <x v="0"/>
    <s v="Paid"/>
    <x v="1"/>
    <n v="26"/>
    <s v="OK"/>
    <s v="Valid"/>
    <s v="Duplicate"/>
    <s v="North"/>
    <s v="Standard Class"/>
    <s v="Valid"/>
    <x v="5"/>
    <n v="2025"/>
    <s v="Clean"/>
    <s v="OK"/>
    <s v="Valid"/>
    <s v="Ok"/>
    <s v="Ok"/>
  </r>
  <r>
    <s v="ORD-2024-10226"/>
    <d v="2024-02-09T00:00:00"/>
    <d v="2025-03-09T00:00:00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6"/>
    <n v="4293.1099999999997"/>
    <x v="225"/>
    <x v="225"/>
    <n v="787.57"/>
    <n v="6483.2466666666678"/>
    <x v="0"/>
    <s v="Paid"/>
    <x v="0"/>
    <n v="394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227"/>
    <d v="2025-04-10T00:00:00"/>
    <d v="2025-03-10T00:00:00"/>
    <s v="CUST-2545"/>
    <s v="Diya Patel"/>
    <x v="3"/>
    <x v="4"/>
    <s v="Kerala"/>
    <s v="Kochi"/>
    <x v="2"/>
    <x v="6"/>
    <s v="Max Copiers 363"/>
    <x v="1"/>
    <n v="1"/>
    <n v="2208.27"/>
    <n v="0.1"/>
    <n v="0.1"/>
    <n v="1987.44"/>
    <n v="1110.23"/>
    <x v="226"/>
    <x v="226"/>
    <n v="877.21"/>
    <n v="8772.1299999999992"/>
    <x v="0"/>
    <s v="Paid"/>
    <x v="0"/>
    <n v="-31"/>
    <s v="OK"/>
    <s v="Invalid"/>
    <s v="Unique"/>
    <s v="Unknown"/>
    <s v="Same Day"/>
    <s v="Valid"/>
    <x v="9"/>
    <n v="2025"/>
    <s v="Invalid"/>
    <s v="Ship Before Order"/>
    <s v="Valid"/>
    <s v="Missmatched"/>
    <s v="Missmatched"/>
  </r>
  <r>
    <s v="ORD-2024-10228"/>
    <d v="2024-05-07T00:00:00"/>
    <d v="2025-03-11T00:00:00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"/>
    <n v="899.86"/>
    <x v="227"/>
    <x v="227"/>
    <n v="573.4"/>
    <n v="3822.6833333333338"/>
    <x v="0"/>
    <s v="Paid"/>
    <x v="0"/>
    <n v="308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4-10229"/>
    <d v="2024-04-24T00:00:00"/>
    <d v="2025-03-12T00:00:00"/>
    <s v="CUST-1076"/>
    <s v="Karan Malhotra"/>
    <x v="1"/>
    <x v="2"/>
    <s v="Telangana"/>
    <s v="Hyderabad"/>
    <x v="0"/>
    <x v="7"/>
    <s v="Smart Labels 914"/>
    <x v="0"/>
    <n v="1"/>
    <n v="3194.37"/>
    <n v="0.15"/>
    <n v="0.15"/>
    <n v="2715.21"/>
    <n v="1551.55"/>
    <x v="228"/>
    <x v="228"/>
    <n v="1163.6600000000001"/>
    <n v="7757.7633333333342"/>
    <x v="0"/>
    <s v="Paid"/>
    <x v="0"/>
    <n v="322"/>
    <s v="OK"/>
    <s v="Valid"/>
    <s v="Unique"/>
    <s v="South"/>
    <s v="Second Class"/>
    <s v="Valid"/>
    <x v="9"/>
    <n v="2024"/>
    <s v="Clean"/>
    <s v="OK"/>
    <s v="Valid"/>
    <s v="Missmatched"/>
    <s v="Missmatched"/>
  </r>
  <r>
    <s v="ORD-2025-10230"/>
    <d v="2025-06-28T00:00:00"/>
    <d v="2025-03-13T00:00:00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5535.94"/>
    <x v="229"/>
    <x v="229"/>
    <n v="3122.75"/>
    <n v="0"/>
    <x v="1"/>
    <s v="Refunded"/>
    <x v="2"/>
    <n v="-107"/>
    <s v="OK"/>
    <s v="Invalid"/>
    <s v="Unique"/>
    <s v="South"/>
    <s v="First Class"/>
    <s v="Valid"/>
    <x v="10"/>
    <n v="2025"/>
    <s v="Invalid"/>
    <s v="Ship Before Order"/>
    <s v="Valid"/>
    <s v="Ok"/>
    <s v="Ok"/>
  </r>
  <r>
    <s v="ORD-2024-10231"/>
    <d v="2024-05-28T00:00:00"/>
    <d v="2025-03-14T00:00:00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8"/>
    <n v="8840.9500000000007"/>
    <x v="230"/>
    <x v="230"/>
    <n v="2249.4299999999998"/>
    <n v="22494.259999999995"/>
    <x v="0"/>
    <s v="Paid"/>
    <x v="0"/>
    <n v="290"/>
    <s v="OK"/>
    <s v="Valid"/>
    <s v="Unique"/>
    <s v="North"/>
    <s v="Standard Class"/>
    <s v="Valid"/>
    <x v="3"/>
    <n v="2024"/>
    <s v="Clean"/>
    <s v="OK"/>
    <s v="Valid"/>
    <s v="Missmatched"/>
    <s v="Missmatched"/>
  </r>
  <r>
    <s v="ORD-2024-10232"/>
    <d v="2024-02-05T00:00:00"/>
    <d v="2025-03-15T00:00:00"/>
    <s v="CUST-9139"/>
    <s v="Ananya Rao"/>
    <x v="2"/>
    <x v="0"/>
    <s v="Rajasthan"/>
    <s v="Jaipur"/>
    <x v="0"/>
    <x v="7"/>
    <s v="Max Labels 370"/>
    <x v="2"/>
    <n v="7"/>
    <n v="2183.38"/>
    <n v="0.25"/>
    <n v="0.25"/>
    <n v="11462.74"/>
    <n v="7163.54"/>
    <x v="231"/>
    <x v="231"/>
    <n v="4299.2"/>
    <n v="17196.819999999996"/>
    <x v="1"/>
    <s v="Refunded"/>
    <x v="1"/>
    <n v="404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5-10233"/>
    <d v="2025-04-06T00:00:00"/>
    <d v="2025-03-16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559.57000000000005"/>
    <x v="232"/>
    <x v="232"/>
    <n v="110.54"/>
    <n v="442.15999999999985"/>
    <x v="0"/>
    <s v="Paid"/>
    <x v="0"/>
    <n v="-21"/>
    <s v="OK"/>
    <s v="Invalid"/>
    <s v="Unique"/>
    <s v="South"/>
    <s v="Standard Class"/>
    <s v="Valid"/>
    <x v="9"/>
    <n v="2025"/>
    <s v="Invalid"/>
    <s v="Ship Before Order"/>
    <s v="Valid"/>
    <s v="Ok"/>
    <s v="Ok"/>
  </r>
  <r>
    <s v="ORD-2024-10234"/>
    <d v="2024-10-14T00:00:00"/>
    <d v="2025-03-17T00:00:0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26377.7"/>
    <x v="233"/>
    <x v="233"/>
    <n v="4859.0200000000004"/>
    <n v="0"/>
    <x v="0"/>
    <s v="Paid"/>
    <x v="0"/>
    <n v="154"/>
    <s v="OK"/>
    <s v="Valid"/>
    <s v="Unique"/>
    <s v="South"/>
    <s v="Unknown"/>
    <s v="Valid"/>
    <x v="4"/>
    <n v="2024"/>
    <s v="Clean"/>
    <s v="OK"/>
    <s v="Valid"/>
    <s v="Ok"/>
    <s v="Ok"/>
  </r>
  <r>
    <s v="ORD-2024-10235"/>
    <d v="2024-02-09T00:00:00"/>
    <d v="2025-03-18T00:00:00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9262.4699999999993"/>
    <x v="234"/>
    <x v="234"/>
    <n v="1701.77"/>
    <n v="17017.710000000006"/>
    <x v="0"/>
    <s v="Paid"/>
    <x v="0"/>
    <n v="403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4-10236"/>
    <d v="2024-02-11T00:00:00"/>
    <d v="2025-03-19T00:00:00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"/>
    <n v="11145.28"/>
    <x v="235"/>
    <x v="235"/>
    <n v="4081.07"/>
    <n v="81621.459999999963"/>
    <x v="0"/>
    <s v="Paid"/>
    <x v="0"/>
    <n v="402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4-10237"/>
    <d v="2024-10-14T00:00:00"/>
    <d v="2025-03-20T00:00:00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18533.39"/>
    <x v="236"/>
    <x v="236"/>
    <n v="5843.29"/>
    <n v="0"/>
    <x v="0"/>
    <s v="Paid"/>
    <x v="0"/>
    <n v="157"/>
    <s v="OK"/>
    <s v="Valid"/>
    <s v="Unique"/>
    <s v="North"/>
    <s v="First Class"/>
    <s v="Valid"/>
    <x v="4"/>
    <n v="2024"/>
    <s v="Clean"/>
    <s v="OK"/>
    <s v="Valid"/>
    <s v="Ok"/>
    <s v="Ok"/>
  </r>
  <r>
    <s v="ORD-2024-10238"/>
    <d v="2024-08-27T00:00:00"/>
    <d v="2025-03-21T00:00:00"/>
    <s v="CUST-3827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13504.88"/>
    <x v="237"/>
    <x v="237"/>
    <n v="7467.82"/>
    <n v="0"/>
    <x v="0"/>
    <s v="Paid"/>
    <x v="0"/>
    <n v="206"/>
    <s v="OK"/>
    <s v="Valid"/>
    <s v="Unique"/>
    <s v="North"/>
    <s v="Standard Class"/>
    <s v="Valid"/>
    <x v="1"/>
    <n v="2024"/>
    <s v="Clean"/>
    <s v="OK"/>
    <s v="Valid"/>
    <s v="Ok"/>
    <s v="Ok"/>
  </r>
  <r>
    <s v="ORD-2024-10239"/>
    <d v="2024-12-01T00:00:00"/>
    <d v="2025-03-22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18838.75"/>
    <x v="238"/>
    <x v="238"/>
    <n v="7794.83"/>
    <n v="-11314.25909090909"/>
    <x v="0"/>
    <s v="Paid"/>
    <x v="0"/>
    <n v="111"/>
    <s v="OK"/>
    <s v="Valid"/>
    <s v="Unique"/>
    <s v="South"/>
    <s v="First Class"/>
    <s v="Valid"/>
    <x v="7"/>
    <n v="2024"/>
    <s v="Clean"/>
    <s v="OK"/>
    <s v="Valid"/>
    <s v="Missmatched"/>
    <s v="Missmatched"/>
  </r>
  <r>
    <s v="ORD-2024-10240"/>
    <d v="2024-09-21T00:00:00"/>
    <d v="2025-03-23T00:00:0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2279.4899999999998"/>
    <x v="239"/>
    <x v="239"/>
    <n v="856.61"/>
    <n v="4283.0300000000007"/>
    <x v="0"/>
    <s v="Paid"/>
    <x v="0"/>
    <n v="183"/>
    <s v="OK"/>
    <s v="Valid"/>
    <s v="Unique"/>
    <s v="South"/>
    <s v="First Class"/>
    <s v="Valid"/>
    <x v="6"/>
    <n v="2024"/>
    <s v="Clean"/>
    <s v="OK"/>
    <s v="Valid"/>
    <s v="Missmatched"/>
    <s v="Missmatched"/>
  </r>
  <r>
    <s v="ORD-2024-10241"/>
    <d v="2024-12-17T00:00:00"/>
    <d v="2025-03-24T00:00:00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900000000001"/>
    <n v="13928.19"/>
    <x v="240"/>
    <x v="240"/>
    <n v="6907.71"/>
    <n v="0"/>
    <x v="0"/>
    <s v="Paid"/>
    <x v="0"/>
    <n v="97"/>
    <s v="OK"/>
    <s v="Valid"/>
    <s v="Unique"/>
    <s v="South"/>
    <s v="First Class"/>
    <s v="Valid"/>
    <x v="7"/>
    <n v="2024"/>
    <s v="Clean"/>
    <s v="OK"/>
    <s v="Valid"/>
    <s v="Ok"/>
    <s v="Ok"/>
  </r>
  <r>
    <s v="ORD-2025-10242"/>
    <d v="2025-06-07T00:00:00"/>
    <d v="2025-03-25T00:00:00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690.52"/>
    <x v="241"/>
    <x v="241"/>
    <n v="522.38"/>
    <n v="2089.5200000000004"/>
    <x v="2"/>
    <s v="Pending"/>
    <x v="2"/>
    <n v="-74"/>
    <s v="OK"/>
    <s v="Invalid"/>
    <s v="Unique"/>
    <s v="North"/>
    <s v="Standard Class"/>
    <s v="Valid"/>
    <x v="10"/>
    <n v="2025"/>
    <s v="Invalid"/>
    <s v="Ship Before Order"/>
    <s v="Valid"/>
    <s v="Ok"/>
    <s v="Ok"/>
  </r>
  <r>
    <s v="ORD-2025-10243"/>
    <d v="2025-07-02T00:00:00"/>
    <d v="2025-03-26T00:00:0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4251.5"/>
    <x v="242"/>
    <x v="242"/>
    <n v="1446.33"/>
    <n v="28926.679999999997"/>
    <x v="0"/>
    <s v="Paid"/>
    <x v="0"/>
    <n v="-98"/>
    <s v="OK"/>
    <s v="Invalid"/>
    <s v="Unique"/>
    <s v="North"/>
    <s v="Second Class"/>
    <s v="Valid"/>
    <x v="0"/>
    <n v="2025"/>
    <s v="Invalid"/>
    <s v="Ship Before Order"/>
    <s v="Valid"/>
    <s v="Missmatched"/>
    <s v="Missmatched"/>
  </r>
  <r>
    <s v="ORD-2025-10244"/>
    <d v="2025-07-29T00:00:00"/>
    <d v="2025-03-27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"/>
    <n v="2509.1999999999998"/>
    <x v="243"/>
    <x v="243"/>
    <n v="1540.31"/>
    <n v="15403.140000000003"/>
    <x v="0"/>
    <s v="Paid"/>
    <x v="0"/>
    <n v="-124"/>
    <s v="OK"/>
    <s v="Invalid"/>
    <s v="Unique"/>
    <s v="Unknown"/>
    <s v="First Class"/>
    <s v="Valid"/>
    <x v="0"/>
    <n v="2025"/>
    <s v="Invalid"/>
    <s v="Ship Before Order"/>
    <s v="Valid"/>
    <s v="Missmatched"/>
    <s v="Missmatched"/>
  </r>
  <r>
    <s v="ORD-2024-10245"/>
    <d v="2024-08-23T00:00:00"/>
    <d v="2025-03-28T00:00:00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4060.88"/>
    <x v="244"/>
    <x v="244"/>
    <n v="2070.46"/>
    <n v="0"/>
    <x v="0"/>
    <s v="Paid"/>
    <x v="0"/>
    <n v="217"/>
    <s v="OK"/>
    <s v="Valid"/>
    <s v="Unique"/>
    <s v="South"/>
    <s v="Same Day"/>
    <s v="Valid"/>
    <x v="1"/>
    <n v="2024"/>
    <s v="Clean"/>
    <s v="OK"/>
    <s v="Valid"/>
    <s v="Ok"/>
    <s v="Ok"/>
  </r>
  <r>
    <s v="ORD-2024-10246"/>
    <d v="2024-10-18T00:00:00"/>
    <d v="2025-03-29T00:00:00"/>
    <s v="CUST-1704"/>
    <s v="Neha Gupta"/>
    <x v="3"/>
    <x v="2"/>
    <s v="Kerala"/>
    <s v="Kochi"/>
    <x v="1"/>
    <x v="4"/>
    <s v="Pro Chairs 316"/>
    <x v="0"/>
    <n v="3"/>
    <n v="3275.93"/>
    <n v="0"/>
    <n v="0"/>
    <n v="9827.7900000000009"/>
    <n v="5478.28"/>
    <x v="245"/>
    <x v="245"/>
    <n v="4349.51"/>
    <n v="0"/>
    <x v="0"/>
    <s v="Paid"/>
    <x v="0"/>
    <n v="162"/>
    <s v="OK"/>
    <s v="Valid"/>
    <s v="Unique"/>
    <s v="South"/>
    <s v="Second Class"/>
    <s v="Valid"/>
    <x v="4"/>
    <n v="2024"/>
    <s v="Clean"/>
    <s v="OK"/>
    <s v="Valid"/>
    <s v="Ok"/>
    <s v="Ok"/>
  </r>
  <r>
    <s v="ORD-2024-10247"/>
    <d v="2024-04-05T00:00:00"/>
    <d v="2025-03-30T00:00:00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444.52"/>
    <x v="246"/>
    <x v="246"/>
    <n v="77.37"/>
    <n v="309.4699999999998"/>
    <x v="1"/>
    <s v="Refunded"/>
    <x v="1"/>
    <n v="359"/>
    <s v="OK"/>
    <s v="Valid"/>
    <s v="Unique"/>
    <s v="North"/>
    <s v="Same Day"/>
    <s v="Valid"/>
    <x v="9"/>
    <n v="2024"/>
    <s v="Clean"/>
    <s v="OK"/>
    <s v="Valid"/>
    <s v="Missmatched"/>
    <s v="Missmatched"/>
  </r>
  <r>
    <s v="ORD-2024-10248"/>
    <d v="2024-07-25T00:00:00"/>
    <d v="2025-03-31T00:00:00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"/>
    <n v="12500.84"/>
    <x v="247"/>
    <x v="247"/>
    <n v="2459.56"/>
    <n v="9838.2400000000052"/>
    <x v="0"/>
    <s v="Paid"/>
    <x v="0"/>
    <n v="249"/>
    <s v="OK"/>
    <s v="Valid"/>
    <s v="Unique"/>
    <s v="North"/>
    <s v="Second Class"/>
    <s v="Valid"/>
    <x v="0"/>
    <n v="2024"/>
    <s v="Clean"/>
    <s v="OK"/>
    <s v="Valid"/>
    <s v="Ok"/>
    <s v="Ok"/>
  </r>
  <r>
    <s v="ORD-2024-10249"/>
    <d v="2024-02-06T00:00:00"/>
    <d v="2025-04-01T00:00:00"/>
    <s v="CUST-6278"/>
    <s v="Rohan Mehta"/>
    <x v="3"/>
    <x v="1"/>
    <s v="Odisha"/>
    <s v="Bhubaneswar"/>
    <x v="0"/>
    <x v="7"/>
    <s v="Basic Labels 432"/>
    <x v="0"/>
    <n v="9"/>
    <n v="787.91"/>
    <n v="0.15"/>
    <n v="0.15"/>
    <n v="6027.51"/>
    <n v="4883.82"/>
    <x v="248"/>
    <x v="248"/>
    <n v="1143.69"/>
    <n v="7624.61"/>
    <x v="0"/>
    <s v="Paid"/>
    <x v="0"/>
    <n v="420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250"/>
    <d v="2025-01-08T00:00:00"/>
    <d v="2025-04-02T00:00:00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5634.38"/>
    <x v="249"/>
    <x v="249"/>
    <n v="3294.55"/>
    <n v="16472.739999999998"/>
    <x v="0"/>
    <s v="Paid"/>
    <x v="0"/>
    <n v="84"/>
    <s v="OK"/>
    <s v="Valid"/>
    <s v="Unique"/>
    <s v="North"/>
    <s v="First Class"/>
    <s v="Valid"/>
    <x v="8"/>
    <n v="2025"/>
    <s v="Clean"/>
    <s v="OK"/>
    <s v="Valid"/>
    <s v="Missmatched"/>
    <s v="Missmatched"/>
  </r>
  <r>
    <s v="ORD-2024-10251"/>
    <d v="2024-02-21T00:00:00"/>
    <d v="2025-04-03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1897.65"/>
    <x v="250"/>
    <x v="250"/>
    <n v="2441.25"/>
    <n v="16275.033333333329"/>
    <x v="2"/>
    <s v="Pending"/>
    <x v="2"/>
    <n v="407"/>
    <s v="OK"/>
    <s v="Valid"/>
    <s v="Duplicate"/>
    <s v="East"/>
    <s v="Standard Class"/>
    <s v="Valid"/>
    <x v="5"/>
    <n v="2024"/>
    <s v="Clean"/>
    <s v="OK"/>
    <s v="Valid"/>
    <s v="Missmatched"/>
    <s v="Missmatched"/>
  </r>
  <r>
    <s v="ORD-2025-10252"/>
    <d v="2025-06-04T00:00:00"/>
    <d v="2025-04-04T00:00:00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4881.1000000000004"/>
    <x v="251"/>
    <x v="251"/>
    <n v="1251.8599999999999"/>
    <n v="0"/>
    <x v="0"/>
    <s v="Paid"/>
    <x v="0"/>
    <n v="-61"/>
    <s v="OK"/>
    <s v="Invalid"/>
    <s v="Unique"/>
    <s v="West"/>
    <s v="Second Class"/>
    <s v="Valid"/>
    <x v="10"/>
    <n v="2025"/>
    <s v="Invalid"/>
    <s v="Ship Before Order"/>
    <s v="Valid"/>
    <s v="Ok"/>
    <s v="Ok"/>
  </r>
  <r>
    <s v="ORD-2025-10253"/>
    <d v="2025-06-25T00:00:00"/>
    <d v="2025-04-05T00:00:00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699999999998"/>
    <n v="1603.62"/>
    <x v="252"/>
    <x v="252"/>
    <n v="725.85"/>
    <n v="3629.2600000000016"/>
    <x v="2"/>
    <s v="Pending"/>
    <x v="2"/>
    <n v="-81"/>
    <s v="OK"/>
    <s v="Invalid"/>
    <s v="Unique"/>
    <s v="North"/>
    <s v="First Class"/>
    <s v="Valid"/>
    <x v="10"/>
    <n v="2025"/>
    <s v="Invalid"/>
    <s v="Ship Before Order"/>
    <s v="Valid"/>
    <s v="Missmatched"/>
    <s v="Missmatched"/>
  </r>
  <r>
    <s v="ORD-2024-10254"/>
    <d v="2024-12-09T00:00:00"/>
    <d v="2025-04-06T00:00:00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8999999999996"/>
    <n v="2825.38"/>
    <x v="253"/>
    <x v="253"/>
    <n v="1472.89"/>
    <n v="38430.459999999985"/>
    <x v="1"/>
    <s v="Refunded"/>
    <x v="1"/>
    <n v="118"/>
    <s v="OK"/>
    <s v="Valid"/>
    <s v="Unique"/>
    <s v="North"/>
    <s v="Same Day"/>
    <s v="Valid"/>
    <x v="7"/>
    <n v="2024"/>
    <s v="Clean"/>
    <s v="OK"/>
    <s v="Valid"/>
    <s v="Missmatched"/>
    <s v="Missmatched"/>
  </r>
  <r>
    <s v="ORD-2025-10255"/>
    <d v="2025-01-01T00:00:00"/>
    <d v="2025-04-07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3132.52"/>
    <x v="254"/>
    <x v="254"/>
    <n v="2470.56"/>
    <n v="12352.8"/>
    <x v="0"/>
    <s v="Paid"/>
    <x v="2"/>
    <n v="96"/>
    <s v="OK"/>
    <s v="Valid"/>
    <s v="Unique"/>
    <s v="West"/>
    <s v="Same Day"/>
    <s v="Valid"/>
    <x v="8"/>
    <n v="2025"/>
    <s v="Clean"/>
    <s v="OK"/>
    <s v="Valid"/>
    <s v="Ok"/>
    <s v="Ok"/>
  </r>
  <r>
    <s v="ORD-2025-10256"/>
    <d v="2025-04-02T00:00:00"/>
    <d v="2025-04-08T00:00:00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9334.1200000000008"/>
    <x v="255"/>
    <x v="255"/>
    <n v="3475.88"/>
    <n v="0"/>
    <x v="0"/>
    <s v="Paid"/>
    <x v="0"/>
    <n v="6"/>
    <s v="OK"/>
    <s v="Valid"/>
    <s v="Unique"/>
    <s v="West"/>
    <s v="First Class"/>
    <s v="Valid"/>
    <x v="9"/>
    <n v="2025"/>
    <s v="Clean"/>
    <s v="OK"/>
    <s v="Valid"/>
    <s v="Ok"/>
    <s v="Ok"/>
  </r>
  <r>
    <s v="ORD-2024-10257"/>
    <d v="2024-05-11T00:00:00"/>
    <d v="2025-04-09T00:00:00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2039.5"/>
    <x v="256"/>
    <x v="256"/>
    <n v="7288.72"/>
    <n v="145774.31000000003"/>
    <x v="0"/>
    <s v="Paid"/>
    <x v="0"/>
    <n v="333"/>
    <s v="OK"/>
    <s v="Valid"/>
    <s v="Unique"/>
    <s v="East"/>
    <s v="First Class"/>
    <s v="Valid"/>
    <x v="3"/>
    <n v="2024"/>
    <s v="Clean"/>
    <s v="OK"/>
    <s v="Valid"/>
    <s v="Missmatched"/>
    <s v="Missmatched"/>
  </r>
  <r>
    <s v="ORD-2025-10258"/>
    <d v="2025-09-08T00:00:00"/>
    <d v="2025-04-10T00:00:00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5095.91"/>
    <x v="257"/>
    <x v="257"/>
    <n v="1378.63"/>
    <n v="0"/>
    <x v="0"/>
    <s v="Paid"/>
    <x v="1"/>
    <n v="-151"/>
    <s v="OK"/>
    <s v="Invalid"/>
    <s v="Unique"/>
    <s v="South"/>
    <s v="Second Class"/>
    <s v="Valid"/>
    <x v="6"/>
    <n v="2025"/>
    <s v="Invalid"/>
    <s v="Ship Before Order"/>
    <s v="Valid"/>
    <s v="Ok"/>
    <s v="Ok"/>
  </r>
  <r>
    <s v="ORD-2024-10259"/>
    <d v="2024-12-30T00:00:00"/>
    <d v="2025-04-11T00:00:00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4307.01"/>
    <x v="258"/>
    <x v="258"/>
    <n v="1273.0999999999999"/>
    <n v="5092.380000000001"/>
    <x v="0"/>
    <s v="Paid"/>
    <x v="0"/>
    <n v="102"/>
    <s v="OK"/>
    <s v="Valid"/>
    <s v="Unique"/>
    <s v="South"/>
    <s v="Same Day"/>
    <s v="Valid"/>
    <x v="7"/>
    <n v="2024"/>
    <s v="Clean"/>
    <s v="OK"/>
    <s v="Valid"/>
    <s v="Missmatched"/>
    <s v="Missmatched"/>
  </r>
  <r>
    <s v="ORD-2024-10260"/>
    <d v="2024-06-21T00:00:00"/>
    <d v="2025-04-12T00:00:00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0437.14"/>
    <x v="259"/>
    <x v="259"/>
    <n v="7827.95"/>
    <n v="39139.74"/>
    <x v="0"/>
    <s v="Paid"/>
    <x v="0"/>
    <n v="295"/>
    <s v="OK"/>
    <s v="Valid"/>
    <s v="Unique"/>
    <s v="South"/>
    <s v="Standard Class"/>
    <s v="Valid"/>
    <x v="10"/>
    <n v="2024"/>
    <s v="Clean"/>
    <s v="OK"/>
    <s v="Valid"/>
    <s v="Missmatched"/>
    <s v="Missmatched"/>
  </r>
  <r>
    <s v="ORD-2025-10261"/>
    <d v="2025-09-23T00:00:00"/>
    <d v="2025-04-13T00:00:00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"/>
    <n v="10891.15"/>
    <x v="260"/>
    <x v="260"/>
    <n v="4318.7299999999996"/>
    <n v="17274.920000000006"/>
    <x v="3"/>
    <s v="Failed"/>
    <x v="2"/>
    <n v="-163"/>
    <s v="OK"/>
    <s v="Invalid"/>
    <s v="Unique"/>
    <s v="East"/>
    <s v="Same Day"/>
    <s v="Valid"/>
    <x v="6"/>
    <n v="2025"/>
    <s v="Invalid"/>
    <s v="Ship Before Order"/>
    <s v="Valid"/>
    <s v="Ok"/>
    <s v="Ok"/>
  </r>
  <r>
    <s v="ORD-2025-10262"/>
    <d v="2025-06-18T00:00:00"/>
    <d v="2025-04-14T00:00:00"/>
    <s v="CUST-7623"/>
    <s v="Sneha Kapoor"/>
    <x v="2"/>
    <x v="0"/>
    <s v="Rajasthan"/>
    <s v="Jaipur"/>
    <x v="0"/>
    <x v="7"/>
    <s v="Prime Labels 326"/>
    <x v="3"/>
    <n v="3"/>
    <n v="686.74"/>
    <n v="0.2"/>
    <n v="0.2"/>
    <n v="1648.18"/>
    <n v="987.91"/>
    <x v="261"/>
    <x v="261"/>
    <n v="660.27"/>
    <n v="3301.3300000000017"/>
    <x v="3"/>
    <s v="Failed"/>
    <x v="1"/>
    <n v="-65"/>
    <s v="OK"/>
    <s v="Invalid"/>
    <s v="Unique"/>
    <s v="North"/>
    <s v="Standard Class"/>
    <s v="Valid"/>
    <x v="10"/>
    <n v="2025"/>
    <s v="Invalid"/>
    <s v="Ship Before Order"/>
    <s v="Valid"/>
    <s v="Missmatched"/>
    <s v="Missmatched"/>
  </r>
  <r>
    <s v="ORD-2025-10263"/>
    <d v="2025-05-26T00:00:00"/>
    <d v="2025-04-15T00:00:00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8581.35"/>
    <x v="262"/>
    <x v="262"/>
    <n v="4818.09"/>
    <n v="0"/>
    <x v="2"/>
    <s v="Pending"/>
    <x v="2"/>
    <n v="-41"/>
    <s v="OK"/>
    <s v="Invalid"/>
    <s v="Unique"/>
    <s v="North"/>
    <s v="Same Day"/>
    <s v="Valid"/>
    <x v="3"/>
    <n v="2025"/>
    <s v="Invalid"/>
    <s v="Ship Before Order"/>
    <s v="Valid"/>
    <s v="Ok"/>
    <s v="Ok"/>
  </r>
  <r>
    <s v="ORD-2025-10264"/>
    <d v="2025-06-08T00:00:00"/>
    <d v="2025-04-16T00:00:00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"/>
    <n v="22452.05"/>
    <x v="263"/>
    <x v="263"/>
    <n v="10291.790000000001"/>
    <n v="102917.94999999998"/>
    <x v="2"/>
    <s v="Pending"/>
    <x v="2"/>
    <n v="-53"/>
    <s v="OK"/>
    <s v="Invalid"/>
    <s v="Unique"/>
    <s v="North"/>
    <s v="Second Class"/>
    <s v="Valid"/>
    <x v="10"/>
    <n v="2025"/>
    <s v="Invalid"/>
    <s v="Ship Before Order"/>
    <s v="Valid"/>
    <s v="Missmatched"/>
    <s v="Missmatched"/>
  </r>
  <r>
    <s v="ORD-2024-10265"/>
    <d v="2024-05-16T00:00:00"/>
    <d v="2025-04-17T00:00:00"/>
    <s v="CUST-4750"/>
    <s v="Diya Patel"/>
    <x v="1"/>
    <x v="1"/>
    <s v="Bihar"/>
    <s v="Patna"/>
    <x v="2"/>
    <x v="6"/>
    <s v="Pro Copiers 599"/>
    <x v="3"/>
    <n v="4"/>
    <n v="1503.07"/>
    <n v="0"/>
    <n v="0"/>
    <n v="6012.28"/>
    <n v="3927.64"/>
    <x v="264"/>
    <x v="264"/>
    <n v="2084.64"/>
    <n v="0"/>
    <x v="0"/>
    <s v="Paid"/>
    <x v="0"/>
    <n v="336"/>
    <s v="OK"/>
    <s v="Valid"/>
    <s v="Unique"/>
    <s v="East"/>
    <s v="Standard Class"/>
    <s v="Valid"/>
    <x v="3"/>
    <n v="2024"/>
    <s v="Clean"/>
    <s v="OK"/>
    <s v="Valid"/>
    <s v="Ok"/>
    <s v="Ok"/>
  </r>
  <r>
    <s v="ORD-2024-10266"/>
    <d v="2024-11-14T00:00:00"/>
    <d v="2025-04-18T00:00:00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"/>
    <n v="285.13"/>
    <x v="265"/>
    <x v="265"/>
    <n v="209.88"/>
    <n v="1399.23"/>
    <x v="1"/>
    <s v="Refunded"/>
    <x v="1"/>
    <n v="155"/>
    <s v="OK"/>
    <s v="Valid"/>
    <s v="Unique"/>
    <s v="East"/>
    <s v="Same Day"/>
    <s v="Valid"/>
    <x v="2"/>
    <n v="2024"/>
    <s v="Clean"/>
    <s v="OK"/>
    <s v="Valid"/>
    <s v="Missmatched"/>
    <s v="Missmatched"/>
  </r>
  <r>
    <s v="ORD-2025-10267"/>
    <d v="2025-03-05T00:00:00"/>
    <d v="2025-04-19T00:00:00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0170.57"/>
    <x v="266"/>
    <x v="266"/>
    <n v="2847.15"/>
    <n v="0"/>
    <x v="0"/>
    <s v="Paid"/>
    <x v="0"/>
    <n v="45"/>
    <s v="OK"/>
    <s v="Valid"/>
    <s v="Unique"/>
    <s v="West"/>
    <s v="Second Class"/>
    <s v="Valid"/>
    <x v="11"/>
    <n v="2025"/>
    <s v="Clean"/>
    <s v="OK"/>
    <s v="Valid"/>
    <s v="Ok"/>
    <s v="Ok"/>
  </r>
  <r>
    <s v="ORD-2025-10268"/>
    <d v="2025-05-28T00:00:00"/>
    <d v="2025-04-20T00:00:00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557.22"/>
    <x v="267"/>
    <x v="267"/>
    <n v="228.18"/>
    <n v="912.72000000000025"/>
    <x v="0"/>
    <s v="Paid"/>
    <x v="0"/>
    <n v="-38"/>
    <s v="OK"/>
    <s v="Invalid"/>
    <s v="Unique"/>
    <s v="East"/>
    <s v="First Class"/>
    <s v="Valid"/>
    <x v="3"/>
    <n v="2025"/>
    <s v="Invalid"/>
    <s v="Ship Before Order"/>
    <s v="Valid"/>
    <s v="Ok"/>
    <s v="Ok"/>
  </r>
  <r>
    <s v="ORD-2025-10269"/>
    <d v="2025-08-17T00:00:00"/>
    <d v="2025-04-21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2124.6"/>
    <x v="268"/>
    <x v="268"/>
    <n v="1194.45"/>
    <n v="4777.8000000000011"/>
    <x v="0"/>
    <s v="Paid"/>
    <x v="0"/>
    <n v="-118"/>
    <s v="OK"/>
    <s v="Invalid"/>
    <s v="Unique"/>
    <s v="North"/>
    <s v="First Class"/>
    <s v="Valid"/>
    <x v="1"/>
    <n v="2025"/>
    <s v="Invalid"/>
    <s v="Ship Before Order"/>
    <s v="Valid"/>
    <s v="Ok"/>
    <s v="Ok"/>
  </r>
  <r>
    <s v="ORD-2025-10270"/>
    <d v="2025-10-02T00:00:00"/>
    <d v="2025-04-22T00:00:00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321.89"/>
    <x v="269"/>
    <x v="269"/>
    <n v="603.97"/>
    <n v="0"/>
    <x v="0"/>
    <s v="Paid"/>
    <x v="0"/>
    <n v="-163"/>
    <s v="OK"/>
    <s v="Invalid"/>
    <s v="Unique"/>
    <s v="West"/>
    <s v="Same Day"/>
    <s v="Valid"/>
    <x v="4"/>
    <n v="2025"/>
    <s v="Invalid"/>
    <s v="Ship Before Order"/>
    <s v="Valid"/>
    <s v="Ok"/>
    <s v="Ok"/>
  </r>
  <r>
    <s v="ORD-2024-10271"/>
    <d v="2024-12-01T00:00:00"/>
    <d v="2025-04-23T00:00:00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1520.21"/>
    <x v="270"/>
    <x v="270"/>
    <n v="962.11"/>
    <n v="0"/>
    <x v="0"/>
    <s v="Paid"/>
    <x v="0"/>
    <n v="143"/>
    <s v="OK"/>
    <s v="Valid"/>
    <s v="Unique"/>
    <s v="North"/>
    <s v="Same Day"/>
    <s v="Valid"/>
    <x v="7"/>
    <n v="2024"/>
    <s v="Clean"/>
    <s v="OK"/>
    <s v="Valid"/>
    <s v="Ok"/>
    <s v="Ok"/>
  </r>
  <r>
    <s v="ORD-2024-10272"/>
    <d v="2024-12-21T00:00:00"/>
    <d v="2025-04-24T00:00:00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9621.19"/>
    <x v="271"/>
    <x v="271"/>
    <n v="2053.06"/>
    <n v="0"/>
    <x v="3"/>
    <s v="Failed"/>
    <x v="1"/>
    <n v="124"/>
    <s v="OK"/>
    <s v="Valid"/>
    <s v="Unique"/>
    <s v="South"/>
    <s v="Standard Class"/>
    <s v="Valid"/>
    <x v="7"/>
    <n v="2024"/>
    <s v="Clean"/>
    <s v="OK"/>
    <s v="Valid"/>
    <s v="Ok"/>
    <s v="Ok"/>
  </r>
  <r>
    <s v="ORD-2024-10273"/>
    <d v="2024-08-18T00:00:00"/>
    <d v="2025-04-25T00:00:00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"/>
    <n v="2191.5"/>
    <x v="272"/>
    <x v="272"/>
    <n v="1213.48"/>
    <n v="13189.230000000001"/>
    <x v="0"/>
    <s v="Paid"/>
    <x v="0"/>
    <n v="250"/>
    <s v="OK"/>
    <s v="Valid"/>
    <s v="Duplicate"/>
    <s v="South"/>
    <s v="First Class"/>
    <s v="Valid"/>
    <x v="1"/>
    <n v="2024"/>
    <s v="Clean"/>
    <s v="OK"/>
    <s v="Valid"/>
    <s v="Missmatched"/>
    <s v="Missmatched"/>
  </r>
  <r>
    <s v="ORD-2025-10274"/>
    <d v="2025-02-13T00:00:00"/>
    <d v="2025-04-26T00:00:00"/>
    <s v="CUST-8249"/>
    <s v="Isha Nair"/>
    <x v="0"/>
    <x v="1"/>
    <s v="Bihar"/>
    <s v="Patna"/>
    <x v="0"/>
    <x v="0"/>
    <s v="Basic Paper 657"/>
    <x v="0"/>
    <n v="9"/>
    <n v="2521.63"/>
    <n v="0"/>
    <n v="0"/>
    <n v="22694.67"/>
    <n v="15405.36"/>
    <x v="273"/>
    <x v="273"/>
    <n v="7289.31"/>
    <n v="0"/>
    <x v="0"/>
    <s v="Paid"/>
    <x v="2"/>
    <n v="72"/>
    <s v="OK"/>
    <s v="Valid"/>
    <s v="Unique"/>
    <s v="East"/>
    <s v="Second Class"/>
    <s v="Valid"/>
    <x v="5"/>
    <n v="2025"/>
    <s v="Clean"/>
    <s v="OK"/>
    <s v="Valid"/>
    <s v="Ok"/>
    <s v="Ok"/>
  </r>
  <r>
    <s v="ORD-2024-10275"/>
    <d v="2024-04-07T00:00:00"/>
    <d v="2025-04-27T00:00:00"/>
    <s v="CUST-4202"/>
    <s v="Rohan Mehta"/>
    <x v="0"/>
    <x v="2"/>
    <s v="Kerala"/>
    <s v="Kochi"/>
    <x v="2"/>
    <x v="6"/>
    <s v="Pro Copiers 406"/>
    <x v="3"/>
    <n v="6"/>
    <n v="4246.71"/>
    <n v="0.15"/>
    <n v="0.15"/>
    <n v="21658.22"/>
    <n v="15490.69"/>
    <x v="274"/>
    <x v="274"/>
    <n v="6167.53"/>
    <n v="41116.873333333344"/>
    <x v="3"/>
    <s v="Failed"/>
    <x v="2"/>
    <n v="385"/>
    <s v="OK"/>
    <s v="Valid"/>
    <s v="Unique"/>
    <s v="South"/>
    <s v="Standard Class"/>
    <s v="Valid"/>
    <x v="9"/>
    <n v="2024"/>
    <s v="Clean"/>
    <s v="OK"/>
    <s v="Valid"/>
    <s v="Missmatched"/>
    <s v="Missmatched"/>
  </r>
  <r>
    <s v="ORD-2024-10276"/>
    <d v="2024-02-15T00:00:00"/>
    <d v="2025-04-28T00:00:00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660.92"/>
    <x v="275"/>
    <x v="275"/>
    <n v="319.58999999999997"/>
    <n v="0"/>
    <x v="0"/>
    <s v="Paid"/>
    <x v="0"/>
    <n v="438"/>
    <s v="OK"/>
    <s v="Valid"/>
    <s v="Unique"/>
    <s v="East"/>
    <s v="Same Day"/>
    <s v="Valid"/>
    <x v="5"/>
    <n v="2024"/>
    <s v="Clean"/>
    <s v="OK"/>
    <s v="Valid"/>
    <s v="Ok"/>
    <s v="Ok"/>
  </r>
  <r>
    <s v="ORD-2024-10277"/>
    <d v="2024-01-22T00:00:00"/>
    <d v="2025-04-29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8413.5300000000007"/>
    <x v="276"/>
    <x v="276"/>
    <n v="6848.36"/>
    <n v="-105603.82285714288"/>
    <x v="0"/>
    <s v="Paid"/>
    <x v="0"/>
    <n v="463"/>
    <s v="OK"/>
    <s v="Valid"/>
    <s v="Duplicate"/>
    <s v="Unknown"/>
    <s v="Second Class"/>
    <s v="Invalid"/>
    <x v="8"/>
    <n v="2024"/>
    <s v="Clean"/>
    <s v="OK"/>
    <s v="Valid"/>
    <s v="Missmatched"/>
    <s v="Missmatched"/>
  </r>
  <r>
    <s v="ORD-2025-10278"/>
    <d v="2025-04-06T00:00:00"/>
    <d v="2025-04-30T00:00:0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2008.39"/>
    <n v="1002.57"/>
    <x v="277"/>
    <x v="277"/>
    <n v="811.1"/>
    <n v="5407.3366666666661"/>
    <x v="2"/>
    <s v="Pending"/>
    <x v="1"/>
    <n v="24"/>
    <s v="OK"/>
    <s v="Valid"/>
    <s v="Unique"/>
    <s v="North"/>
    <s v="Second Class"/>
    <s v="Valid"/>
    <x v="9"/>
    <n v="2025"/>
    <s v="Clean"/>
    <s v="OK"/>
    <s v="Valid"/>
    <s v="Missmatched"/>
    <s v="Missmatched"/>
  </r>
  <r>
    <s v="ORD-2025-10279"/>
    <d v="2025-03-07T00:00:00"/>
    <d v="2025-05-01T00:00:00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6"/>
    <n v="2148.31"/>
    <x v="278"/>
    <x v="278"/>
    <n v="1632.35"/>
    <n v="32646.959999999999"/>
    <x v="0"/>
    <s v="Paid"/>
    <x v="2"/>
    <n v="55"/>
    <s v="OK"/>
    <s v="Valid"/>
    <s v="Unique"/>
    <s v="North"/>
    <s v="Same Day"/>
    <s v="Valid"/>
    <x v="11"/>
    <n v="2025"/>
    <s v="Clean"/>
    <s v="OK"/>
    <s v="Valid"/>
    <s v="Missmatched"/>
    <s v="Missmatched"/>
  </r>
  <r>
    <s v="ORD-2024-10280"/>
    <d v="2024-09-04T00:00:00"/>
    <d v="2025-05-02T00:00:00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"/>
    <n v="2754.17"/>
    <x v="279"/>
    <x v="279"/>
    <n v="1386.99"/>
    <n v="27739.879999999994"/>
    <x v="0"/>
    <s v="Paid"/>
    <x v="0"/>
    <n v="240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4-10281"/>
    <d v="2024-12-23T00:00:00"/>
    <d v="2025-05-03T00:00:00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5165.38"/>
    <x v="280"/>
    <x v="280"/>
    <n v="3777.65"/>
    <n v="0"/>
    <x v="0"/>
    <s v="Paid"/>
    <x v="0"/>
    <n v="131"/>
    <s v="OK"/>
    <s v="Valid"/>
    <s v="Duplicate"/>
    <s v="South"/>
    <s v="Standard Class"/>
    <s v="Valid"/>
    <x v="7"/>
    <n v="2024"/>
    <s v="Clean"/>
    <s v="OK"/>
    <s v="Valid"/>
    <s v="Ok"/>
    <s v="Ok"/>
  </r>
  <r>
    <s v="ORD-2025-10282"/>
    <d v="2025-07-25T00:00:00"/>
    <d v="2025-05-04T00:00:00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"/>
    <n v="11262.71"/>
    <x v="281"/>
    <x v="281"/>
    <n v="5241.51"/>
    <n v="26207.569999999996"/>
    <x v="0"/>
    <s v="Paid"/>
    <x v="0"/>
    <n v="-82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4-10283"/>
    <d v="2024-01-10T00:00:00"/>
    <d v="2025-05-05T00:00:00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3220.33"/>
    <x v="282"/>
    <x v="282"/>
    <n v="1375.67"/>
    <n v="0"/>
    <x v="0"/>
    <s v="Paid"/>
    <x v="0"/>
    <n v="481"/>
    <s v="OK"/>
    <s v="Valid"/>
    <s v="Unique"/>
    <s v="East"/>
    <s v="Second Class"/>
    <s v="Valid"/>
    <x v="8"/>
    <n v="2024"/>
    <s v="Clean"/>
    <s v="OK"/>
    <s v="Valid"/>
    <s v="Ok"/>
    <s v="Ok"/>
  </r>
  <r>
    <s v="ORD-2025-10284"/>
    <d v="2025-03-13T00:00:00"/>
    <d v="2025-05-06T00:00:00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033.47"/>
    <x v="283"/>
    <x v="283"/>
    <n v="780.54"/>
    <n v="0"/>
    <x v="0"/>
    <s v="Paid"/>
    <x v="0"/>
    <n v="54"/>
    <s v="OK"/>
    <s v="Valid"/>
    <s v="Unique"/>
    <s v="West"/>
    <s v="First Class"/>
    <s v="Valid"/>
    <x v="11"/>
    <n v="2025"/>
    <s v="Clean"/>
    <s v="OK"/>
    <s v="Valid"/>
    <s v="Ok"/>
    <s v="Ok"/>
  </r>
  <r>
    <s v="ORD-2024-10285"/>
    <d v="2024-08-12T00:00:00"/>
    <d v="2025-05-07T00:00:00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3139.73"/>
    <x v="284"/>
    <x v="284"/>
    <n v="1591.03"/>
    <n v="0"/>
    <x v="0"/>
    <s v="Paid"/>
    <x v="2"/>
    <n v="268"/>
    <s v="OK"/>
    <s v="Valid"/>
    <s v="Unique"/>
    <s v="East"/>
    <s v="Same Day"/>
    <s v="Valid"/>
    <x v="1"/>
    <n v="2024"/>
    <s v="Clean"/>
    <s v="OK"/>
    <s v="Valid"/>
    <s v="Ok"/>
    <s v="Ok"/>
  </r>
  <r>
    <s v="ORD-2025-10286"/>
    <d v="2025-08-15T00:00:00"/>
    <d v="2025-05-08T00:00:00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0820.84"/>
    <x v="285"/>
    <x v="285"/>
    <n v="5915.09"/>
    <n v="0"/>
    <x v="0"/>
    <s v="Paid"/>
    <x v="0"/>
    <n v="-99"/>
    <s v="OK"/>
    <s v="Invalid"/>
    <s v="Unique"/>
    <s v="North"/>
    <s v="Standard Class"/>
    <s v="Valid"/>
    <x v="1"/>
    <n v="2025"/>
    <s v="Invalid"/>
    <s v="Ship Before Order"/>
    <s v="Valid"/>
    <s v="Ok"/>
    <s v="Ok"/>
  </r>
  <r>
    <s v="ORD-2024-10287"/>
    <d v="2024-02-28T00:00:00"/>
    <d v="2025-05-09T00:00:00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4"/>
    <n v="2489.98"/>
    <x v="286"/>
    <x v="286"/>
    <n v="1931.36"/>
    <n v="19313.599999999991"/>
    <x v="2"/>
    <s v="Pending"/>
    <x v="2"/>
    <n v="436"/>
    <s v="OK"/>
    <s v="Valid"/>
    <s v="Unique"/>
    <s v="North"/>
    <s v="First Class"/>
    <s v="Valid"/>
    <x v="5"/>
    <n v="2024"/>
    <s v="Clean"/>
    <s v="OK"/>
    <s v="Valid"/>
    <s v="Ok"/>
    <s v="Ok"/>
  </r>
  <r>
    <s v="ORD-2024-10288"/>
    <d v="2024-05-09T00:00:00"/>
    <d v="2025-05-10T00:00:00"/>
    <s v="CUST-7095"/>
    <s v="Neha Gupta"/>
    <x v="1"/>
    <x v="2"/>
    <s v="Tamil Nadu"/>
    <s v="Chennai"/>
    <x v="2"/>
    <x v="6"/>
    <s v="Prime Copiers 924"/>
    <x v="3"/>
    <n v="3"/>
    <n v="2555.66"/>
    <n v="0.15"/>
    <n v="0.15"/>
    <n v="6516.93"/>
    <n v="4511.54"/>
    <x v="287"/>
    <x v="287"/>
    <n v="2005.39"/>
    <n v="13369.286666666661"/>
    <x v="0"/>
    <s v="Paid"/>
    <x v="1"/>
    <n v="366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4-10289"/>
    <d v="2024-06-24T00:00:00"/>
    <d v="2025-05-11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3"/>
    <n v="4904.63"/>
    <x v="288"/>
    <x v="288"/>
    <n v="2507.1999999999998"/>
    <n v="16714.666666666661"/>
    <x v="0"/>
    <s v="Paid"/>
    <x v="0"/>
    <n v="321"/>
    <s v="OK"/>
    <s v="Valid"/>
    <s v="Unique"/>
    <s v="East"/>
    <s v="Same Day"/>
    <s v="Valid"/>
    <x v="10"/>
    <n v="2024"/>
    <s v="Clean"/>
    <s v="OK"/>
    <s v="Valid"/>
    <s v="Ok"/>
    <s v="Ok"/>
  </r>
  <r>
    <s v="ORD-2025-10290"/>
    <d v="2025-06-19T00:00:00"/>
    <d v="2025-05-12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099999999991"/>
    <n v="7018.97"/>
    <x v="289"/>
    <x v="289"/>
    <n v="1239.74"/>
    <n v="24794.819999999982"/>
    <x v="0"/>
    <s v="Paid"/>
    <x v="0"/>
    <n v="-38"/>
    <s v="OK"/>
    <s v="Invalid"/>
    <s v="Unique"/>
    <s v="South"/>
    <s v="First Class"/>
    <s v="Valid"/>
    <x v="10"/>
    <n v="2025"/>
    <s v="Invalid"/>
    <s v="Ship Before Order"/>
    <s v="Valid"/>
    <s v="Missmatched"/>
    <s v="Missmatched"/>
  </r>
  <r>
    <s v="ORD-2025-10291"/>
    <d v="2025-08-22T00:00:00"/>
    <d v="2025-05-13T00:00:00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7"/>
    <n v="971.12"/>
    <x v="290"/>
    <x v="290"/>
    <n v="687.25"/>
    <n v="6872.4700000000012"/>
    <x v="0"/>
    <s v="Paid"/>
    <x v="0"/>
    <n v="-101"/>
    <s v="OK"/>
    <s v="Invalid"/>
    <s v="Unique"/>
    <s v="East"/>
    <s v="Standard Class"/>
    <s v="Valid"/>
    <x v="1"/>
    <n v="2025"/>
    <s v="Invalid"/>
    <s v="Ship Before Order"/>
    <s v="Valid"/>
    <s v="Missmatched"/>
    <s v="Missmatched"/>
  </r>
  <r>
    <s v="ORD-2024-10292"/>
    <d v="2024-05-04T00:00:00"/>
    <d v="2025-05-14T00:00:00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7730.04"/>
    <x v="291"/>
    <x v="291"/>
    <n v="1955.94"/>
    <n v="7823.7599999999984"/>
    <x v="0"/>
    <s v="Paid"/>
    <x v="0"/>
    <n v="375"/>
    <s v="OK"/>
    <s v="Valid"/>
    <s v="Unique"/>
    <s v="North"/>
    <s v="Standard Class"/>
    <s v="Valid"/>
    <x v="3"/>
    <n v="2024"/>
    <s v="Clean"/>
    <s v="OK"/>
    <s v="Valid"/>
    <s v="Ok"/>
    <s v="Ok"/>
  </r>
  <r>
    <s v="ORD-2025-10293"/>
    <d v="2025-02-28T00:00:00"/>
    <d v="2025-05-15T00:00:00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24621.89"/>
    <x v="292"/>
    <x v="292"/>
    <n v="9118.66"/>
    <n v="0"/>
    <x v="2"/>
    <s v="Pending"/>
    <x v="1"/>
    <n v="76"/>
    <s v="OK"/>
    <s v="Valid"/>
    <s v="Unique"/>
    <s v="North"/>
    <s v="Same Day"/>
    <s v="Valid"/>
    <x v="5"/>
    <n v="2025"/>
    <s v="Clean"/>
    <s v="OK"/>
    <s v="Valid"/>
    <s v="Ok"/>
    <s v="Ok"/>
  </r>
  <r>
    <s v="ORD-2024-10294"/>
    <d v="2024-07-03T00:00:00"/>
    <d v="2025-05-16T00:00:00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8362.8700000000008"/>
    <n v="6541.04"/>
    <x v="293"/>
    <x v="293"/>
    <n v="1821.83"/>
    <n v="-5323.0507692307692"/>
    <x v="0"/>
    <s v="Paid"/>
    <x v="0"/>
    <n v="317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5-10295"/>
    <d v="2025-07-16T00:00:00"/>
    <d v="2025-05-17T00:00:00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90000000002"/>
    <n v="12282.43"/>
    <x v="294"/>
    <x v="294"/>
    <n v="6434.56"/>
    <n v="25738.22"/>
    <x v="0"/>
    <s v="Paid"/>
    <x v="2"/>
    <n v="-60"/>
    <s v="OK"/>
    <s v="Invalid"/>
    <s v="Unique"/>
    <s v="East"/>
    <s v="Second Class"/>
    <s v="Valid"/>
    <x v="0"/>
    <n v="2025"/>
    <s v="Invalid"/>
    <s v="Ship Before Order"/>
    <s v="Valid"/>
    <s v="Missmatched"/>
    <s v="Missmatched"/>
  </r>
  <r>
    <s v="ORD-2025-10296"/>
    <d v="2025-06-25T00:00:00"/>
    <d v="2025-05-18T00:00:00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4"/>
    <n v="5828.54"/>
    <x v="295"/>
    <x v="295"/>
    <n v="3556.8"/>
    <n v="35567.950000000004"/>
    <x v="0"/>
    <s v="Paid"/>
    <x v="0"/>
    <n v="-38"/>
    <s v="OK"/>
    <s v="Invalid"/>
    <s v="Unique"/>
    <s v="East"/>
    <s v="Standard Class"/>
    <s v="Valid"/>
    <x v="10"/>
    <n v="2025"/>
    <s v="Invalid"/>
    <s v="Ship Before Order"/>
    <s v="Valid"/>
    <s v="Missmatched"/>
    <s v="Missmatched"/>
  </r>
  <r>
    <s v="ORD-2025-10297"/>
    <d v="2025-05-24T00:00:00"/>
    <d v="2025-05-19T00:00:00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0855.35"/>
    <x v="296"/>
    <x v="296"/>
    <n v="6971.24"/>
    <n v="46474.94"/>
    <x v="0"/>
    <s v="Paid"/>
    <x v="0"/>
    <n v="-5"/>
    <s v="OK"/>
    <s v="Invalid"/>
    <s v="Unique"/>
    <s v="North"/>
    <s v="Same Day"/>
    <s v="Valid"/>
    <x v="3"/>
    <n v="2025"/>
    <s v="Invalid"/>
    <s v="Ship Before Order"/>
    <s v="Valid"/>
    <s v="Missmatched"/>
    <s v="Missmatched"/>
  </r>
  <r>
    <s v="ORD-2024-10298"/>
    <d v="2024-10-29T00:00:00"/>
    <d v="2025-05-20T00:00:00"/>
    <s v="CUST-6724"/>
    <s v="Sneha Kapoor"/>
    <x v="2"/>
    <x v="2"/>
    <s v="Tamil Nadu"/>
    <s v="Chennai"/>
    <x v="2"/>
    <x v="6"/>
    <s v="Prime Copiers 669"/>
    <x v="1"/>
    <n v="6"/>
    <n v="1169.92"/>
    <n v="0.15"/>
    <n v="0.15"/>
    <n v="5966.59"/>
    <n v="3994.72"/>
    <x v="297"/>
    <x v="297"/>
    <n v="1971.87"/>
    <n v="13145.813333333339"/>
    <x v="0"/>
    <s v="Paid"/>
    <x v="0"/>
    <n v="203"/>
    <s v="OK"/>
    <s v="Valid"/>
    <s v="Unique"/>
    <s v="South"/>
    <s v="Same Day"/>
    <s v="Valid"/>
    <x v="4"/>
    <n v="2024"/>
    <s v="Clean"/>
    <s v="OK"/>
    <s v="Valid"/>
    <s v="Missmatched"/>
    <s v="Missmatched"/>
  </r>
  <r>
    <s v="ORD-2025-10299"/>
    <d v="2025-01-23T00:00:00"/>
    <d v="2025-05-21T00:00:00"/>
    <s v="CUST-2141"/>
    <s v="Isha Nair"/>
    <x v="0"/>
    <x v="2"/>
    <s v="Kerala"/>
    <s v="Kochi"/>
    <x v="2"/>
    <x v="6"/>
    <s v="Eco Copiers 894"/>
    <x v="2"/>
    <n v="7"/>
    <n v="348.49"/>
    <n v="0.2"/>
    <n v="0.2"/>
    <n v="1951.54"/>
    <n v="1609.95"/>
    <x v="298"/>
    <x v="298"/>
    <n v="341.59"/>
    <n v="1707.9700000000014"/>
    <x v="3"/>
    <s v="Failed"/>
    <x v="2"/>
    <n v="118"/>
    <s v="OK"/>
    <s v="Valid"/>
    <s v="Unique"/>
    <s v="South"/>
    <s v="First Class"/>
    <s v="Valid"/>
    <x v="8"/>
    <n v="2025"/>
    <s v="Clean"/>
    <s v="OK"/>
    <s v="Valid"/>
    <s v="Missmatched"/>
    <s v="Missmatched"/>
  </r>
  <r>
    <s v="ORD-2024-10300"/>
    <d v="2024-11-06T00:00:00"/>
    <d v="2025-05-22T00:00:00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2"/>
    <n v="7055.31"/>
    <x v="299"/>
    <x v="299"/>
    <n v="3774.71"/>
    <n v="37747.050000000003"/>
    <x v="0"/>
    <s v="Paid"/>
    <x v="0"/>
    <n v="197"/>
    <s v="OK"/>
    <s v="Valid"/>
    <s v="Unique"/>
    <s v="West"/>
    <s v="Standard Class"/>
    <s v="Valid"/>
    <x v="2"/>
    <n v="2024"/>
    <s v="Clean"/>
    <s v="OK"/>
    <s v="Valid"/>
    <s v="Missmatched"/>
    <s v="Missmatched"/>
  </r>
  <r>
    <s v="ORD-2024-10301"/>
    <d v="2024-04-15T00:00:00"/>
    <d v="2025-05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"/>
    <n v="22100.14"/>
    <x v="300"/>
    <x v="300"/>
    <n v="9439.15"/>
    <n v="94391.539999999979"/>
    <x v="0"/>
    <s v="Paid"/>
    <x v="0"/>
    <n v="403"/>
    <s v="OK"/>
    <s v="Valid"/>
    <s v="Unique"/>
    <s v="North"/>
    <s v="Second Class"/>
    <s v="Valid"/>
    <x v="9"/>
    <n v="2024"/>
    <s v="Clean"/>
    <s v="OK"/>
    <s v="Valid"/>
    <s v="Missmatched"/>
    <s v="Missmatched"/>
  </r>
  <r>
    <s v="ORD-2025-10302"/>
    <d v="2025-05-28T00:00:00"/>
    <d v="2025-05-24T00:00:00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2"/>
    <n v="3705.38"/>
    <x v="301"/>
    <x v="301"/>
    <n v="2580.2399999999998"/>
    <n v="51604.759999999987"/>
    <x v="0"/>
    <s v="Paid"/>
    <x v="0"/>
    <n v="-4"/>
    <s v="OK"/>
    <s v="Invalid"/>
    <s v="Unique"/>
    <s v="East"/>
    <s v="Same Day"/>
    <s v="Valid"/>
    <x v="3"/>
    <n v="2025"/>
    <s v="Invalid"/>
    <s v="Ship Before Order"/>
    <s v="Valid"/>
    <s v="Missmatched"/>
    <s v="Missmatched"/>
  </r>
  <r>
    <s v="ORD-2025-10303"/>
    <d v="2025-06-04T00:00:00"/>
    <d v="2025-05-25T00:00:00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2424.83"/>
    <x v="302"/>
    <x v="302"/>
    <n v="1630.09"/>
    <n v="6520.3600000000006"/>
    <x v="0"/>
    <s v="Paid"/>
    <x v="0"/>
    <n v="-10"/>
    <s v="OK"/>
    <s v="Invalid"/>
    <s v="Unique"/>
    <s v="West"/>
    <s v="Same Day"/>
    <s v="Valid"/>
    <x v="10"/>
    <n v="2025"/>
    <s v="Invalid"/>
    <s v="Ship Before Order"/>
    <s v="Valid"/>
    <s v="Ok"/>
    <s v="Ok"/>
  </r>
  <r>
    <s v="ORD-2024-10304"/>
    <d v="2024-06-23T00:00:00"/>
    <d v="2025-05-26T00:00:00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"/>
    <n v="1876.1"/>
    <x v="303"/>
    <x v="303"/>
    <n v="487.55"/>
    <n v="4875.5200000000013"/>
    <x v="2"/>
    <s v="Pending"/>
    <x v="2"/>
    <n v="337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4-10305"/>
    <d v="2024-06-03T00:00:00"/>
    <d v="2025-05-27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0019.98"/>
    <x v="304"/>
    <x v="304"/>
    <n v="2956.49"/>
    <n v="29564.900000000016"/>
    <x v="0"/>
    <s v="Paid"/>
    <x v="0"/>
    <n v="358"/>
    <s v="OK"/>
    <s v="Valid"/>
    <s v="Unique"/>
    <s v="North"/>
    <s v="Standard Class"/>
    <s v="Valid"/>
    <x v="10"/>
    <n v="2024"/>
    <s v="Clean"/>
    <s v="OK"/>
    <s v="Valid"/>
    <s v="Ok"/>
    <s v="Ok"/>
  </r>
  <r>
    <s v="ORD-2024-10306"/>
    <d v="2024-01-05T00:00:00"/>
    <d v="2025-05-28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13299.39"/>
    <n v="9851.91"/>
    <x v="305"/>
    <x v="305"/>
    <n v="3447.48"/>
    <n v="-4310.9127272727264"/>
    <x v="0"/>
    <s v="Paid"/>
    <x v="1"/>
    <n v="509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5-10307"/>
    <d v="2025-02-20T00:00:00"/>
    <d v="2025-05-29T00:00:00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0082.19"/>
    <x v="306"/>
    <x v="306"/>
    <n v="4610.25"/>
    <n v="0"/>
    <x v="0"/>
    <s v="Paid"/>
    <x v="0"/>
    <n v="98"/>
    <s v="OK"/>
    <s v="Valid"/>
    <s v="Unique"/>
    <s v="North"/>
    <s v="Second Class"/>
    <s v="Valid"/>
    <x v="5"/>
    <n v="2025"/>
    <s v="Clean"/>
    <s v="OK"/>
    <s v="Valid"/>
    <s v="Ok"/>
    <s v="Ok"/>
  </r>
  <r>
    <s v="ORD-2025-10308"/>
    <d v="2025-12-07T00:00:00"/>
    <d v="2025-05-30T00:00:00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18935.509999999998"/>
    <x v="307"/>
    <x v="307"/>
    <n v="10534.38"/>
    <n v="52671.890000000021"/>
    <x v="2"/>
    <s v="Pending"/>
    <x v="1"/>
    <n v="-191"/>
    <s v="OK"/>
    <s v="Invalid"/>
    <s v="Unique"/>
    <s v="North"/>
    <s v="First Class"/>
    <s v="Valid"/>
    <x v="7"/>
    <n v="2025"/>
    <s v="Invalid"/>
    <s v="Ship Before Order"/>
    <s v="Valid"/>
    <s v="Missmatched"/>
    <s v="Missmatched"/>
  </r>
  <r>
    <s v="ORD-2025-10309"/>
    <d v="2025-06-13T00:00:00"/>
    <d v="2025-05-31T00:00:00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"/>
    <n v="1565.49"/>
    <x v="308"/>
    <x v="308"/>
    <n v="775.53"/>
    <n v="3877.6700000000014"/>
    <x v="0"/>
    <s v="Paid"/>
    <x v="0"/>
    <n v="-13"/>
    <s v="OK"/>
    <s v="Invalid"/>
    <s v="Unique"/>
    <s v="North"/>
    <s v="First Class"/>
    <s v="Valid"/>
    <x v="10"/>
    <n v="2025"/>
    <s v="Invalid"/>
    <s v="Ship Before Order"/>
    <s v="Valid"/>
    <s v="Missmatched"/>
    <s v="Missmatched"/>
  </r>
  <r>
    <s v="ORD-2024-10310"/>
    <d v="2024-07-20T00:00:00"/>
    <d v="2025-06-01T00:00:00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6"/>
    <n v="7246.36"/>
    <x v="309"/>
    <x v="309"/>
    <n v="5736.24"/>
    <n v="57362.39"/>
    <x v="0"/>
    <s v="Paid"/>
    <x v="1"/>
    <n v="316"/>
    <s v="OK"/>
    <s v="Valid"/>
    <s v="Unique"/>
    <s v="South"/>
    <s v="First Class"/>
    <s v="Valid"/>
    <x v="0"/>
    <n v="2024"/>
    <s v="Clean"/>
    <s v="OK"/>
    <s v="Valid"/>
    <s v="Missmatched"/>
    <s v="Missmatched"/>
  </r>
  <r>
    <s v="ORD-2024-10311"/>
    <d v="2024-07-04T00:00:00"/>
    <d v="2025-06-02T00:00:00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9424.25"/>
    <x v="310"/>
    <x v="310"/>
    <n v="6849.75"/>
    <n v="0"/>
    <x v="0"/>
    <s v="Paid"/>
    <x v="0"/>
    <n v="333"/>
    <s v="OK"/>
    <s v="Valid"/>
    <s v="Unique"/>
    <s v="South"/>
    <s v="First Class"/>
    <s v="Valid"/>
    <x v="0"/>
    <n v="2024"/>
    <s v="Clean"/>
    <s v="OK"/>
    <s v="Valid"/>
    <s v="Ok"/>
    <s v="Ok"/>
  </r>
  <r>
    <s v="ORD-2024-10312"/>
    <d v="2024-04-27T00:00:00"/>
    <d v="2025-06-03T00:00:00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1764"/>
    <x v="311"/>
    <x v="311"/>
    <n v="729.18"/>
    <n v="7291.7999999999984"/>
    <x v="0"/>
    <s v="Paid"/>
    <x v="0"/>
    <n v="402"/>
    <s v="OK"/>
    <s v="Valid"/>
    <s v="Unique"/>
    <s v="South"/>
    <s v="Second Class"/>
    <s v="Valid"/>
    <x v="9"/>
    <n v="2024"/>
    <s v="Clean"/>
    <s v="OK"/>
    <s v="Valid"/>
    <s v="Ok"/>
    <s v="Ok"/>
  </r>
  <r>
    <s v="ORD-2024-10313"/>
    <d v="2024-07-31T00:00:00"/>
    <d v="2025-06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0"/>
    <n v="15688.44"/>
    <n v="10047.33"/>
    <x v="312"/>
    <x v="312"/>
    <n v="5641.11"/>
    <n v="0"/>
    <x v="0"/>
    <s v="Paid"/>
    <x v="1"/>
    <n v="308"/>
    <s v="OK"/>
    <s v="Valid"/>
    <s v="Unique"/>
    <s v="East"/>
    <s v="Standard Class"/>
    <s v="Valid"/>
    <x v="0"/>
    <n v="2024"/>
    <s v="Clean"/>
    <s v="OK"/>
    <s v="Valid"/>
    <s v="Missmatched"/>
    <s v="Missmatched"/>
  </r>
  <r>
    <s v="ORD-2025-10314"/>
    <d v="2025-05-30T00:00:00"/>
    <d v="2025-06-05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8"/>
    <n v="10717.4"/>
    <x v="313"/>
    <x v="313"/>
    <n v="1771.18"/>
    <n v="7084.7199999999939"/>
    <x v="1"/>
    <s v="Refunded"/>
    <x v="1"/>
    <n v="6"/>
    <s v="OK"/>
    <s v="Valid"/>
    <s v="Unique"/>
    <s v="North"/>
    <s v="First Class"/>
    <s v="Valid"/>
    <x v="3"/>
    <n v="2025"/>
    <s v="Clean"/>
    <s v="OK"/>
    <s v="Valid"/>
    <s v="Ok"/>
    <s v="Ok"/>
  </r>
  <r>
    <s v="ORD-2025-10315"/>
    <d v="2025-05-18T00:00:00"/>
    <d v="2025-06-06T00:00:00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485.36"/>
    <n v="5376.17"/>
    <x v="314"/>
    <x v="314"/>
    <n v="1109.19"/>
    <n v="7394.6266666666634"/>
    <x v="3"/>
    <s v="Failed"/>
    <x v="2"/>
    <n v="19"/>
    <s v="OK"/>
    <s v="Valid"/>
    <s v="Duplicate"/>
    <s v="West"/>
    <s v="Standard Class"/>
    <s v="Valid"/>
    <x v="3"/>
    <n v="2025"/>
    <s v="Clean"/>
    <s v="OK"/>
    <s v="Valid"/>
    <s v="Missmatched"/>
    <s v="Missmatched"/>
  </r>
  <r>
    <s v="ORD-2024-10316"/>
    <d v="2024-02-07T00:00:00"/>
    <d v="2025-06-07T00:00:00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"/>
    <n v="17989.68"/>
    <x v="315"/>
    <x v="315"/>
    <n v="11511.24"/>
    <n v="230224.80000000002"/>
    <x v="2"/>
    <s v="Pending"/>
    <x v="2"/>
    <n v="486"/>
    <s v="OK"/>
    <s v="Valid"/>
    <s v="Unique"/>
    <s v="North"/>
    <s v="Standard Class"/>
    <s v="Valid"/>
    <x v="5"/>
    <n v="2024"/>
    <s v="Clean"/>
    <s v="OK"/>
    <s v="Valid"/>
    <s v="Ok"/>
    <s v="Ok"/>
  </r>
  <r>
    <s v="ORD-2024-10317"/>
    <d v="2024-02-16T00:00:00"/>
    <d v="2025-06-08T00:00:00"/>
    <s v="CUST-9913"/>
    <s v="Karan Malhotra"/>
    <x v="2"/>
    <x v="0"/>
    <s v="Punjab"/>
    <s v="Ludhiana"/>
    <x v="0"/>
    <x v="7"/>
    <s v="Classic Labels 466"/>
    <x v="3"/>
    <n v="2"/>
    <n v="1947.53"/>
    <n v="0.2"/>
    <n v="0.2"/>
    <n v="3116.05"/>
    <n v="1956.63"/>
    <x v="316"/>
    <x v="316"/>
    <n v="1159.42"/>
    <n v="5797.09"/>
    <x v="0"/>
    <s v="Paid"/>
    <x v="1"/>
    <n v="478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318"/>
    <d v="2025-08-29T00:00:00"/>
    <d v="2025-06-09T00:00:00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"/>
    <n v="14621.59"/>
    <x v="317"/>
    <x v="317"/>
    <n v="8305.23"/>
    <n v="55368.203333333324"/>
    <x v="0"/>
    <s v="Paid"/>
    <x v="0"/>
    <n v="-81"/>
    <s v="OK"/>
    <s v="Invalid"/>
    <s v="Unique"/>
    <s v="South"/>
    <s v="First Class"/>
    <s v="Valid"/>
    <x v="1"/>
    <n v="2025"/>
    <s v="Invalid"/>
    <s v="Ship Before Order"/>
    <s v="Valid"/>
    <s v="Missmatched"/>
    <s v="Missmatched"/>
  </r>
  <r>
    <s v="ORD-2024-10319"/>
    <d v="2024-04-25T00:00:00"/>
    <d v="2025-06-10T00:00:00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"/>
    <n v="8452.93"/>
    <x v="318"/>
    <x v="318"/>
    <n v="2750.61"/>
    <n v="27506.12000000001"/>
    <x v="0"/>
    <s v="Paid"/>
    <x v="0"/>
    <n v="411"/>
    <s v="OK"/>
    <s v="Valid"/>
    <s v="Unique"/>
    <s v="South"/>
    <s v="Standard Class"/>
    <s v="Valid"/>
    <x v="9"/>
    <n v="2024"/>
    <s v="Clean"/>
    <s v="OK"/>
    <s v="Valid"/>
    <s v="Missmatched"/>
    <s v="Missmatched"/>
  </r>
  <r>
    <s v="ORD-2024-10320"/>
    <d v="2024-08-21T00:00:00"/>
    <d v="2025-06-11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156.34"/>
    <x v="319"/>
    <x v="319"/>
    <n v="113.94"/>
    <n v="0"/>
    <x v="0"/>
    <s v="Paid"/>
    <x v="0"/>
    <n v="294"/>
    <s v="OK"/>
    <s v="Valid"/>
    <s v="Unique"/>
    <s v="West"/>
    <s v="First Class"/>
    <s v="Valid"/>
    <x v="1"/>
    <n v="2024"/>
    <s v="Clean"/>
    <s v="OK"/>
    <s v="Valid"/>
    <s v="Ok"/>
    <s v="Ok"/>
  </r>
  <r>
    <s v="ORD-2024-10321"/>
    <d v="2024-04-12T00:00:00"/>
    <d v="2025-06-12T00:00:00"/>
    <s v="CUST-4667"/>
    <s v="Aarav Sharma"/>
    <x v="3"/>
    <x v="1"/>
    <s v="West Bengal"/>
    <s v="Kolkata"/>
    <x v="0"/>
    <x v="2"/>
    <s v="Classic Art 299"/>
    <x v="0"/>
    <n v="3"/>
    <n v="876.14"/>
    <s v="70%"/>
    <s v="70%"/>
    <n v="2628.42"/>
    <n v="1541.54"/>
    <x v="320"/>
    <x v="320"/>
    <n v="1086.8800000000001"/>
    <n v="-1075.7342857142855"/>
    <x v="2"/>
    <s v="Pending"/>
    <x v="2"/>
    <n v="426"/>
    <s v="OK"/>
    <s v="Valid"/>
    <s v="Unique"/>
    <s v="East"/>
    <s v="Second Class"/>
    <s v="Invalid"/>
    <x v="9"/>
    <n v="2024"/>
    <s v="Clean"/>
    <s v="OK"/>
    <s v="Valid"/>
    <s v="Missmatched"/>
    <s v="Missmatched"/>
  </r>
  <r>
    <s v="ORD-2024-10322"/>
    <d v="2024-06-23T00:00:00"/>
    <d v="2025-06-13T00:00:00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1759.76"/>
    <x v="321"/>
    <x v="321"/>
    <n v="939.52"/>
    <n v="0"/>
    <x v="3"/>
    <s v="Failed"/>
    <x v="1"/>
    <n v="355"/>
    <s v="OK"/>
    <s v="Valid"/>
    <s v="Unique"/>
    <s v="West"/>
    <s v="Same Day"/>
    <s v="Valid"/>
    <x v="10"/>
    <n v="2024"/>
    <s v="Clean"/>
    <s v="OK"/>
    <s v="Valid"/>
    <s v="Ok"/>
    <s v="Ok"/>
  </r>
  <r>
    <s v="ORD-2024-10323"/>
    <d v="2024-12-11T00:00:00"/>
    <d v="2025-06-14T00:00:0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5"/>
    <n v="4023.63"/>
    <x v="322"/>
    <x v="322"/>
    <n v="2960.72"/>
    <n v="19738.120000000006"/>
    <x v="0"/>
    <s v="Paid"/>
    <x v="0"/>
    <n v="185"/>
    <s v="OK"/>
    <s v="Valid"/>
    <s v="Unique"/>
    <s v="North"/>
    <s v="Second Class"/>
    <s v="Valid"/>
    <x v="7"/>
    <n v="2024"/>
    <s v="Clean"/>
    <s v="OK"/>
    <s v="Valid"/>
    <s v="Missmatched"/>
    <s v="Missmatched"/>
  </r>
  <r>
    <s v="ORD-2024-10324"/>
    <d v="2024-02-25T00:00:00"/>
    <d v="2025-06-15T00:00:00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7"/>
    <n v="6479.31"/>
    <x v="323"/>
    <x v="323"/>
    <n v="3706.36"/>
    <n v="24709.059999999998"/>
    <x v="0"/>
    <s v="Paid"/>
    <x v="0"/>
    <n v="476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325"/>
    <d v="2025-07-31T00:00:00"/>
    <d v="2025-06-16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0.15"/>
    <n v="1655.7"/>
    <n v="1354.8"/>
    <x v="324"/>
    <x v="324"/>
    <n v="300.89999999999998"/>
    <n v="2005.9866666666676"/>
    <x v="0"/>
    <s v="Paid"/>
    <x v="2"/>
    <n v="-45"/>
    <s v="OK"/>
    <s v="Invalid"/>
    <s v="Unique"/>
    <s v="South"/>
    <s v="Same Day"/>
    <s v="Valid"/>
    <x v="0"/>
    <n v="2025"/>
    <s v="Invalid"/>
    <s v="Ship Before Order"/>
    <s v="Valid"/>
    <s v="Missmatched"/>
    <s v="Missmatched"/>
  </r>
  <r>
    <s v="ORD-2025-10326"/>
    <d v="2025-09-16T00:00:00"/>
    <d v="2025-06-17T00:00:00"/>
    <s v="CUST-7980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1908.52"/>
    <x v="325"/>
    <x v="325"/>
    <n v="3694.08"/>
    <n v="24627.200000000001"/>
    <x v="0"/>
    <s v="Paid"/>
    <x v="0"/>
    <n v="-91"/>
    <s v="OK"/>
    <s v="Invalid"/>
    <s v="Unique"/>
    <s v="East"/>
    <s v="Second Class"/>
    <s v="Valid"/>
    <x v="6"/>
    <n v="2025"/>
    <s v="Invalid"/>
    <s v="Ship Before Order"/>
    <s v="Valid"/>
    <s v="Ok"/>
    <s v="Ok"/>
  </r>
  <r>
    <s v="ORD-2025-10327"/>
    <d v="2025-07-22T00:00:00"/>
    <d v="2025-06-18T00:00:0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1235.72"/>
    <x v="326"/>
    <x v="326"/>
    <n v="3902.77"/>
    <n v="78055.349999999991"/>
    <x v="0"/>
    <s v="Paid"/>
    <x v="0"/>
    <n v="-34"/>
    <s v="OK"/>
    <s v="Invalid"/>
    <s v="Unique"/>
    <s v="East"/>
    <s v="Same Day"/>
    <s v="Valid"/>
    <x v="0"/>
    <n v="2025"/>
    <s v="Invalid"/>
    <s v="Ship Before Order"/>
    <s v="Valid"/>
    <s v="Missmatched"/>
    <s v="Missmatched"/>
  </r>
  <r>
    <s v="ORD-2024-10328"/>
    <d v="2024-07-24T00:00:00"/>
    <d v="2025-06-19T00:00:00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2993.94"/>
    <x v="327"/>
    <x v="327"/>
    <n v="1408.98"/>
    <n v="7044.9"/>
    <x v="2"/>
    <s v="Pending"/>
    <x v="1"/>
    <n v="330"/>
    <s v="OK"/>
    <s v="Valid"/>
    <s v="Unique"/>
    <s v="West"/>
    <s v="Second Class"/>
    <s v="Valid"/>
    <x v="0"/>
    <n v="2024"/>
    <s v="Clean"/>
    <s v="OK"/>
    <s v="Valid"/>
    <s v="Ok"/>
    <s v="Ok"/>
  </r>
  <r>
    <s v="ORD-2025-10329"/>
    <d v="2025-05-29T00:00:00"/>
    <d v="2025-06-20T00:00:00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80000000002"/>
    <n v="15834.3"/>
    <x v="328"/>
    <x v="328"/>
    <n v="2769.78"/>
    <n v="0"/>
    <x v="0"/>
    <s v="Paid"/>
    <x v="0"/>
    <n v="22"/>
    <s v="OK"/>
    <s v="Valid"/>
    <s v="Unique"/>
    <s v="West"/>
    <s v="First Class"/>
    <s v="Valid"/>
    <x v="3"/>
    <n v="2025"/>
    <s v="Clean"/>
    <s v="OK"/>
    <s v="Valid"/>
    <s v="Ok"/>
    <s v="Ok"/>
  </r>
  <r>
    <s v="ORD-2025-10330"/>
    <d v="2025-12-05T00:00:00"/>
    <d v="2025-06-21T00:00:00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"/>
    <n v="8650.42"/>
    <x v="329"/>
    <x v="329"/>
    <n v="6751.09"/>
    <n v="135021.87999999998"/>
    <x v="0"/>
    <s v="Paid"/>
    <x v="0"/>
    <n v="-167"/>
    <s v="OK"/>
    <s v="Invalid"/>
    <s v="Unique"/>
    <s v="West"/>
    <s v="Standard Class"/>
    <s v="Valid"/>
    <x v="7"/>
    <n v="2025"/>
    <s v="Invalid"/>
    <s v="Ship Before Order"/>
    <s v="Valid"/>
    <s v="Missmatched"/>
    <s v="Missmatched"/>
  </r>
  <r>
    <s v="ORD-2024-10331"/>
    <d v="2024-05-16T00:00:00"/>
    <d v="2025-06-22T00:00:00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503.89"/>
    <x v="330"/>
    <x v="330"/>
    <n v="279.2"/>
    <n v="0"/>
    <x v="3"/>
    <s v="Failed"/>
    <x v="1"/>
    <n v="402"/>
    <s v="OK"/>
    <s v="Valid"/>
    <s v="Unique"/>
    <s v="North"/>
    <s v="Same Day"/>
    <s v="Valid"/>
    <x v="3"/>
    <n v="2024"/>
    <s v="Clean"/>
    <s v="OK"/>
    <s v="Valid"/>
    <s v="Ok"/>
    <s v="Ok"/>
  </r>
  <r>
    <s v="ORD-2024-10332"/>
    <d v="2024-12-04T00:00:00"/>
    <d v="2025-06-23T00:00:00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6477.37"/>
    <x v="331"/>
    <x v="331"/>
    <n v="4265.2700000000004"/>
    <n v="0"/>
    <x v="0"/>
    <s v="Paid"/>
    <x v="2"/>
    <n v="201"/>
    <s v="OK"/>
    <s v="Valid"/>
    <s v="Duplicate"/>
    <s v="East"/>
    <s v="Second Class"/>
    <s v="Valid"/>
    <x v="7"/>
    <n v="2024"/>
    <s v="Clean"/>
    <s v="OK"/>
    <s v="Valid"/>
    <s v="Ok"/>
    <s v="Ok"/>
  </r>
  <r>
    <s v="ORD-2025-10333"/>
    <d v="2025-05-27T00:00:00"/>
    <d v="2025-06-24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6034.63"/>
    <x v="332"/>
    <x v="332"/>
    <n v="1789.29"/>
    <n v="0"/>
    <x v="0"/>
    <s v="Paid"/>
    <x v="0"/>
    <n v="28"/>
    <s v="OK"/>
    <s v="Valid"/>
    <s v="Unique"/>
    <s v="South"/>
    <s v="Second Class"/>
    <s v="Valid"/>
    <x v="3"/>
    <n v="2025"/>
    <s v="Clean"/>
    <s v="OK"/>
    <s v="Valid"/>
    <s v="Ok"/>
    <s v="Ok"/>
  </r>
  <r>
    <s v="ORD-2025-10334"/>
    <d v="2025-06-22T00:00:00"/>
    <d v="2025-06-25T00:00:00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1923.1"/>
    <x v="333"/>
    <x v="333"/>
    <n v="1013"/>
    <n v="0"/>
    <x v="0"/>
    <s v="Paid"/>
    <x v="0"/>
    <n v="3"/>
    <s v="OK"/>
    <s v="Valid"/>
    <s v="Unique"/>
    <s v="Unknown"/>
    <s v="First Class"/>
    <s v="Valid"/>
    <x v="10"/>
    <n v="2025"/>
    <s v="Clean"/>
    <s v="OK"/>
    <s v="Valid"/>
    <s v="Ok"/>
    <s v="Ok"/>
  </r>
  <r>
    <s v="ORD-2024-10335"/>
    <d v="2024-12-09T00:00:00"/>
    <d v="2025-06-26T00:00:00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"/>
    <n v="9398.4599999999991"/>
    <x v="334"/>
    <x v="334"/>
    <n v="3571.46"/>
    <n v="14285.850000000006"/>
    <x v="0"/>
    <s v="Paid"/>
    <x v="0"/>
    <n v="199"/>
    <s v="OK"/>
    <s v="Valid"/>
    <s v="Unique"/>
    <s v="East"/>
    <s v="First Class"/>
    <s v="Valid"/>
    <x v="7"/>
    <n v="2024"/>
    <s v="Clean"/>
    <s v="OK"/>
    <s v="Valid"/>
    <s v="Missmatched"/>
    <s v="Missmatched"/>
  </r>
  <r>
    <s v="ORD-2025-10336"/>
    <d v="2025-06-16T00:00:00"/>
    <d v="2025-06-27T00:00:00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6829.43"/>
    <x v="335"/>
    <x v="335"/>
    <n v="4751.87"/>
    <n v="47518.69"/>
    <x v="0"/>
    <s v="Paid"/>
    <x v="0"/>
    <n v="11"/>
    <s v="OK"/>
    <s v="Valid"/>
    <s v="Duplicate"/>
    <s v="West"/>
    <s v="First Class"/>
    <s v="Valid"/>
    <x v="10"/>
    <n v="2025"/>
    <s v="Clean"/>
    <s v="OK"/>
    <s v="Valid"/>
    <s v="Missmatched"/>
    <s v="Missmatched"/>
  </r>
  <r>
    <s v="ORD-2024-10337"/>
    <d v="2024-03-17T00:00:00"/>
    <d v="2025-06-28T00:00:00"/>
    <s v="CUST-2103"/>
    <s v="Aarav Sharma"/>
    <x v="0"/>
    <x v="0"/>
    <s v="Rajasthan"/>
    <s v="Jaipur"/>
    <x v="2"/>
    <x v="6"/>
    <s v="Pro Copiers 999"/>
    <x v="2"/>
    <n v="8"/>
    <n v="1992.57"/>
    <n v="0"/>
    <n v="0"/>
    <n v="15940.56"/>
    <n v="12347.15"/>
    <x v="336"/>
    <x v="336"/>
    <n v="3593.41"/>
    <n v="0"/>
    <x v="0"/>
    <s v="Paid"/>
    <x v="0"/>
    <n v="468"/>
    <s v="OK"/>
    <s v="Valid"/>
    <s v="Unique"/>
    <s v="North"/>
    <s v="First Class"/>
    <s v="Valid"/>
    <x v="11"/>
    <n v="2024"/>
    <s v="Clean"/>
    <s v="OK"/>
    <s v="Valid"/>
    <s v="Ok"/>
    <s v="Ok"/>
  </r>
  <r>
    <s v="ORD-2024-10338"/>
    <d v="2024-12-08T00:00:00"/>
    <d v="2025-06-29T00:00:00"/>
    <s v="CUST-4599"/>
    <s v="Ananya Rao"/>
    <x v="0"/>
    <x v="1"/>
    <s v="Assam"/>
    <s v="Guwahati"/>
    <x v="0"/>
    <x v="7"/>
    <s v="Classic Labels 206"/>
    <x v="1"/>
    <n v="6"/>
    <n v="1181.74"/>
    <n v="0"/>
    <n v="0"/>
    <n v="7090.44"/>
    <n v="5672.27"/>
    <x v="337"/>
    <x v="337"/>
    <n v="1262.8699999999999"/>
    <n v="0"/>
    <x v="0"/>
    <s v="Paid"/>
    <x v="0"/>
    <n v="203"/>
    <s v="OK"/>
    <s v="Valid"/>
    <s v="Unique"/>
    <s v="East"/>
    <s v="Same Day"/>
    <s v="Valid"/>
    <x v="7"/>
    <n v="2024"/>
    <s v="Clean"/>
    <s v="OK"/>
    <s v="Valid"/>
    <s v="Ok"/>
    <s v="Missmatched"/>
  </r>
  <r>
    <s v="ORD-2024-10339"/>
    <d v="2024-12-08T00:00:00"/>
    <d v="2025-06-30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6"/>
    <n v="21822.53"/>
    <x v="338"/>
    <x v="338"/>
    <n v="4591.63"/>
    <n v="18366.51999999999"/>
    <x v="0"/>
    <s v="Paid"/>
    <x v="0"/>
    <n v="204"/>
    <s v="OK"/>
    <s v="Valid"/>
    <s v="Unique"/>
    <s v="South"/>
    <s v="First Class"/>
    <s v="Valid"/>
    <x v="7"/>
    <n v="2024"/>
    <s v="Clean"/>
    <s v="OK"/>
    <s v="Valid"/>
    <s v="Ok"/>
    <s v="Ok"/>
  </r>
  <r>
    <s v="ORD-2025-10340"/>
    <d v="2025-02-20T00:00:00"/>
    <d v="2025-07-01T00:00:00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"/>
    <n v="12513.14"/>
    <x v="339"/>
    <x v="339"/>
    <n v="8387.7199999999993"/>
    <n v="41938.62000000001"/>
    <x v="0"/>
    <s v="Paid"/>
    <x v="0"/>
    <n v="131"/>
    <s v="OK"/>
    <s v="Valid"/>
    <s v="Unique"/>
    <s v="East"/>
    <s v="Standard Class"/>
    <s v="Valid"/>
    <x v="5"/>
    <n v="2025"/>
    <s v="Clean"/>
    <s v="OK"/>
    <s v="Valid"/>
    <s v="Missmatched"/>
    <s v="Missmatched"/>
  </r>
  <r>
    <s v="ORD-2024-10341"/>
    <d v="2024-01-21T00:00:00"/>
    <d v="2025-07-02T00:00:00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11399.94"/>
    <x v="340"/>
    <x v="340"/>
    <n v="6861.42"/>
    <n v="68614.2"/>
    <x v="0"/>
    <s v="Paid"/>
    <x v="0"/>
    <n v="528"/>
    <s v="OK"/>
    <s v="Valid"/>
    <s v="Unique"/>
    <s v="South"/>
    <s v="Standard Class"/>
    <s v="Valid"/>
    <x v="8"/>
    <n v="2024"/>
    <s v="Clean"/>
    <s v="OK"/>
    <s v="Valid"/>
    <s v="Ok"/>
    <s v="Ok"/>
  </r>
  <r>
    <s v="ORD-2025-10342"/>
    <d v="2025-08-09T00:00:00"/>
    <d v="2025-07-03T00:00:00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3"/>
    <n v="6229.6"/>
    <x v="341"/>
    <x v="341"/>
    <n v="1295.03"/>
    <n v="25900.539999999983"/>
    <x v="0"/>
    <s v="Paid"/>
    <x v="0"/>
    <n v="-37"/>
    <s v="OK"/>
    <s v="Invalid"/>
    <s v="Unique"/>
    <s v="West"/>
    <s v="Second Class"/>
    <s v="Valid"/>
    <x v="1"/>
    <n v="2025"/>
    <s v="Invalid"/>
    <s v="Ship Before Order"/>
    <s v="Valid"/>
    <s v="Missmatched"/>
    <s v="Missmatched"/>
  </r>
  <r>
    <s v="ORD-2025-10343"/>
    <d v="2025-07-24T00:00:00"/>
    <d v="2025-07-04T00:00:00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8766.9"/>
    <x v="342"/>
    <x v="342"/>
    <n v="3464.46"/>
    <n v="0"/>
    <x v="0"/>
    <s v="Paid"/>
    <x v="0"/>
    <n v="-20"/>
    <s v="OK"/>
    <s v="Invalid"/>
    <s v="Unique"/>
    <s v="East"/>
    <s v="First Class"/>
    <s v="Valid"/>
    <x v="0"/>
    <n v="2025"/>
    <s v="Invalid"/>
    <s v="Ship Before Order"/>
    <s v="Valid"/>
    <s v="Ok"/>
    <s v="Ok"/>
  </r>
  <r>
    <s v="ORD-2025-10344"/>
    <d v="2025-03-10T00:00:00"/>
    <d v="2025-07-05T00:00:00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17758.25"/>
    <x v="343"/>
    <x v="343"/>
    <n v="13321.45"/>
    <n v="133214.5"/>
    <x v="0"/>
    <s v="Paid"/>
    <x v="0"/>
    <n v="117"/>
    <s v="OK"/>
    <s v="Valid"/>
    <s v="Unique"/>
    <s v="West"/>
    <s v="Same Day"/>
    <s v="Valid"/>
    <x v="11"/>
    <n v="2025"/>
    <s v="Clean"/>
    <s v="OK"/>
    <s v="Valid"/>
    <s v="Ok"/>
    <s v="Ok"/>
  </r>
  <r>
    <s v="ORD-2024-10345"/>
    <d v="2024-03-11T00:00:00"/>
    <d v="2025-07-06T00:00:0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"/>
    <n v="20146.66"/>
    <x v="344"/>
    <x v="344"/>
    <n v="10960.76"/>
    <n v="0"/>
    <x v="2"/>
    <s v="Pending"/>
    <x v="2"/>
    <n v="482"/>
    <s v="OK"/>
    <s v="Valid"/>
    <s v="Unique"/>
    <s v="North"/>
    <s v="Same Day"/>
    <s v="Valid"/>
    <x v="11"/>
    <n v="2024"/>
    <s v="Clean"/>
    <s v="OK"/>
    <s v="Valid"/>
    <s v="Ok"/>
    <s v="Ok"/>
  </r>
  <r>
    <s v="ORD-2024-10346"/>
    <d v="2024-09-14T00:00:00"/>
    <d v="2025-07-07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4453.1099999999997"/>
    <x v="345"/>
    <x v="345"/>
    <n v="1077.49"/>
    <n v="0"/>
    <x v="0"/>
    <s v="Paid"/>
    <x v="0"/>
    <n v="296"/>
    <s v="OK"/>
    <s v="Valid"/>
    <s v="Unique"/>
    <s v="West"/>
    <s v="Second Class"/>
    <s v="Valid"/>
    <x v="6"/>
    <n v="2024"/>
    <s v="Clean"/>
    <s v="OK"/>
    <s v="Valid"/>
    <s v="Ok"/>
    <s v="Ok"/>
  </r>
  <r>
    <s v="ORD-2025-10347"/>
    <d v="2025-07-22T00:00:00"/>
    <d v="2025-07-08T00:00:00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4258.42"/>
    <x v="346"/>
    <x v="346"/>
    <n v="3457.39"/>
    <n v="17286.940000000002"/>
    <x v="0"/>
    <s v="Paid"/>
    <x v="0"/>
    <n v="-14"/>
    <s v="OK"/>
    <s v="Invalid"/>
    <s v="Unique"/>
    <s v="South"/>
    <s v="Second Class"/>
    <s v="Valid"/>
    <x v="0"/>
    <n v="2025"/>
    <s v="Invalid"/>
    <s v="Ship Before Order"/>
    <s v="Valid"/>
    <s v="Missmatched"/>
    <s v="Missmatched"/>
  </r>
  <r>
    <s v="ORD-2024-10348"/>
    <d v="2024-12-01T00:00:00"/>
    <d v="2025-07-09T00:00:00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0103.51"/>
    <x v="347"/>
    <x v="347"/>
    <n v="1822.45"/>
    <n v="9112.2499999999945"/>
    <x v="1"/>
    <s v="Refunded"/>
    <x v="2"/>
    <n v="220"/>
    <s v="OK"/>
    <s v="Valid"/>
    <s v="Unique"/>
    <s v="West"/>
    <s v="Second Class"/>
    <s v="Valid"/>
    <x v="7"/>
    <n v="2024"/>
    <s v="Clean"/>
    <s v="OK"/>
    <s v="Valid"/>
    <s v="Ok"/>
    <s v="Ok"/>
  </r>
  <r>
    <s v="ORD-2024-10349"/>
    <d v="2024-02-06T00:00:00"/>
    <d v="2025-07-10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9999999998"/>
    <n v="14442.38"/>
    <x v="348"/>
    <x v="348"/>
    <n v="4864.38"/>
    <n v="19457.500000000022"/>
    <x v="0"/>
    <s v="Paid"/>
    <x v="0"/>
    <n v="520"/>
    <s v="OK"/>
    <s v="Valid"/>
    <s v="Unique"/>
    <s v="South"/>
    <s v="Same Day"/>
    <s v="Valid"/>
    <x v="5"/>
    <n v="2024"/>
    <s v="Clean"/>
    <s v="OK"/>
    <s v="Valid"/>
    <s v="Missmatched"/>
    <s v="Missmatched"/>
  </r>
  <r>
    <s v="ORD-2025-10350"/>
    <d v="2025-09-27T00:00:00"/>
    <d v="2025-07-11T00:00:00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5012.45"/>
    <x v="349"/>
    <x v="349"/>
    <n v="4017.4"/>
    <n v="17374.050000000003"/>
    <x v="0"/>
    <s v="Paid"/>
    <x v="0"/>
    <n v="-78"/>
    <s v="OK"/>
    <s v="Invalid"/>
    <s v="Unique"/>
    <s v="East"/>
    <s v="Second Class"/>
    <s v="Valid"/>
    <x v="6"/>
    <n v="2025"/>
    <s v="Invalid"/>
    <s v="Ship Before Order"/>
    <s v="Valid"/>
    <s v="Missmatched"/>
    <s v="Missmatched"/>
  </r>
  <r>
    <s v="ORD-2024-10351"/>
    <d v="2024-01-07T00:00:00"/>
    <d v="2025-07-12T00:00:00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9771.24"/>
    <x v="350"/>
    <x v="350"/>
    <n v="2143.1"/>
    <n v="21431.040000000012"/>
    <x v="1"/>
    <s v="Refunded"/>
    <x v="2"/>
    <n v="552"/>
    <s v="OK"/>
    <s v="Valid"/>
    <s v="Unique"/>
    <s v="East"/>
    <s v="Second Class"/>
    <s v="Valid"/>
    <x v="8"/>
    <n v="2024"/>
    <s v="Clean"/>
    <s v="OK"/>
    <s v="Valid"/>
    <s v="Missmatched"/>
    <s v="Missmatched"/>
  </r>
  <r>
    <s v="ORD-2025-10352"/>
    <d v="2025-05-23T00:00:00"/>
    <d v="2025-07-13T00:00:00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"/>
    <n v="2118.34"/>
    <x v="351"/>
    <x v="351"/>
    <n v="1119.1400000000001"/>
    <n v="4476.5600000000013"/>
    <x v="2"/>
    <s v="Pending"/>
    <x v="1"/>
    <n v="51"/>
    <s v="OK"/>
    <s v="Valid"/>
    <s v="Unique"/>
    <s v="South"/>
    <s v="First Class"/>
    <s v="Valid"/>
    <x v="3"/>
    <n v="2025"/>
    <s v="Clean"/>
    <s v="OK"/>
    <s v="Valid"/>
    <s v="Ok"/>
    <s v="Ok"/>
  </r>
  <r>
    <s v="ORD-2025-10353"/>
    <d v="2025-08-15T00:00:00"/>
    <d v="2025-07-14T00:00:00"/>
    <s v="CUST-6382"/>
    <s v="Diya Patel"/>
    <x v="1"/>
    <x v="1"/>
    <s v="Assam"/>
    <s v="Guwahati"/>
    <x v="2"/>
    <x v="6"/>
    <s v="Elite Copiers 706"/>
    <x v="2"/>
    <n v="5"/>
    <n v="2862.6"/>
    <n v="0.25"/>
    <n v="0.25"/>
    <n v="10734.75"/>
    <n v="6475.73"/>
    <x v="352"/>
    <x v="352"/>
    <n v="4259.0200000000004"/>
    <n v="17036.080000000002"/>
    <x v="0"/>
    <s v="Paid"/>
    <x v="0"/>
    <n v="-32"/>
    <s v="OK"/>
    <s v="Invalid"/>
    <s v="Unique"/>
    <s v="East"/>
    <s v="First Class"/>
    <s v="Valid"/>
    <x v="1"/>
    <n v="2025"/>
    <s v="Invalid"/>
    <s v="Ship Before Order"/>
    <s v="Valid"/>
    <s v="Ok"/>
    <s v="Ok"/>
  </r>
  <r>
    <s v="ORD-2025-10354"/>
    <d v="2025-02-21T00:00:00"/>
    <d v="2025-07-15T00:00:00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"/>
    <n v="5822.31"/>
    <x v="353"/>
    <x v="353"/>
    <n v="4485.71"/>
    <n v="22428.570000000003"/>
    <x v="0"/>
    <s v="Paid"/>
    <x v="0"/>
    <n v="144"/>
    <s v="OK"/>
    <s v="Valid"/>
    <s v="Unique"/>
    <s v="North"/>
    <s v="Same Day"/>
    <s v="Valid"/>
    <x v="5"/>
    <n v="2025"/>
    <s v="Clean"/>
    <s v="OK"/>
    <s v="Valid"/>
    <s v="Missmatched"/>
    <s v="Missmatched"/>
  </r>
  <r>
    <s v="ORD-2024-10355"/>
    <d v="2024-12-27T00:00:00"/>
    <d v="2025-07-16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n v="20080.68"/>
    <n v="12908.84"/>
    <x v="354"/>
    <x v="354"/>
    <n v="7171.84"/>
    <n v="-139611.34666666671"/>
    <x v="2"/>
    <s v="Pending"/>
    <x v="1"/>
    <n v="201"/>
    <s v="OK"/>
    <s v="Valid"/>
    <s v="Unique"/>
    <s v="North"/>
    <s v="Standard Class"/>
    <s v="Invalid"/>
    <x v="7"/>
    <n v="2024"/>
    <s v="Clean"/>
    <s v="OK"/>
    <s v="Valid"/>
    <s v="Missmatched"/>
    <s v="Missmatched"/>
  </r>
  <r>
    <s v="ORD-2024-10356"/>
    <d v="2024-05-12T00:00:00"/>
    <d v="2025-07-17T00:00:00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9557.7999999999993"/>
    <x v="355"/>
    <x v="355"/>
    <n v="6459.6"/>
    <n v="0"/>
    <x v="2"/>
    <s v="Pending"/>
    <x v="1"/>
    <n v="431"/>
    <s v="OK"/>
    <s v="Valid"/>
    <s v="Unique"/>
    <s v="West"/>
    <s v="Standard Class"/>
    <s v="Valid"/>
    <x v="3"/>
    <n v="2024"/>
    <s v="Clean"/>
    <s v="OK"/>
    <s v="Valid"/>
    <s v="Ok"/>
    <s v="Ok"/>
  </r>
  <r>
    <s v="ORD-2025-10357"/>
    <d v="2025-06-27T00:00:00"/>
    <d v="2025-07-18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2131.73"/>
    <x v="356"/>
    <x v="356"/>
    <n v="355.07"/>
    <n v="1775.3500000000008"/>
    <x v="2"/>
    <s v="Pending"/>
    <x v="2"/>
    <n v="21"/>
    <s v="OK"/>
    <s v="Valid"/>
    <s v="Unique"/>
    <s v="South"/>
    <s v="First Class"/>
    <s v="Valid"/>
    <x v="10"/>
    <n v="2025"/>
    <s v="Clean"/>
    <s v="OK"/>
    <s v="Valid"/>
    <s v="Ok"/>
    <s v="Ok"/>
  </r>
  <r>
    <s v="ORD-2025-10358"/>
    <d v="2025-01-21T00:00:00"/>
    <d v="2025-07-19T00:00:00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3716.88"/>
    <x v="357"/>
    <x v="357"/>
    <n v="652.16"/>
    <n v="0"/>
    <x v="0"/>
    <s v="Paid"/>
    <x v="1"/>
    <n v="179"/>
    <s v="OK"/>
    <s v="Valid"/>
    <s v="Unique"/>
    <s v="South"/>
    <s v="Second Class"/>
    <s v="Valid"/>
    <x v="8"/>
    <n v="2025"/>
    <s v="Clean"/>
    <s v="OK"/>
    <s v="Valid"/>
    <s v="Ok"/>
    <s v="Ok"/>
  </r>
  <r>
    <s v="ORD-2025-10359"/>
    <d v="2025-09-08T00:00:00"/>
    <d v="2025-07-20T00:00:00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4379.18"/>
    <x v="358"/>
    <x v="358"/>
    <n v="1576.94"/>
    <n v="31538.799999999992"/>
    <x v="2"/>
    <s v="Pending"/>
    <x v="2"/>
    <n v="-50"/>
    <s v="OK"/>
    <s v="Invalid"/>
    <s v="Unique"/>
    <s v="West"/>
    <s v="Second Class"/>
    <s v="Valid"/>
    <x v="6"/>
    <n v="2025"/>
    <s v="Invalid"/>
    <s v="Ship Before Order"/>
    <s v="Valid"/>
    <s v="Ok"/>
    <s v="Ok"/>
  </r>
  <r>
    <s v="ORD-2024-10360"/>
    <d v="2024-08-21T00:00:00"/>
    <d v="2025-07-21T00:00:00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8"/>
    <n v="2971.39"/>
    <x v="359"/>
    <x v="359"/>
    <n v="2025.99"/>
    <n v="20259.86"/>
    <x v="0"/>
    <s v="Paid"/>
    <x v="0"/>
    <n v="334"/>
    <s v="OK"/>
    <s v="Valid"/>
    <s v="Unique"/>
    <s v="South"/>
    <s v="Same Day"/>
    <s v="Valid"/>
    <x v="1"/>
    <n v="2024"/>
    <s v="Clean"/>
    <s v="OK"/>
    <s v="Valid"/>
    <s v="Missmatched"/>
    <s v="Missmatched"/>
  </r>
  <r>
    <s v="ORD-2024-10361"/>
    <d v="2024-06-17T00:00:00"/>
    <d v="2025-07-22T00:00:00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3718.77"/>
    <x v="360"/>
    <x v="360"/>
    <n v="3950.63"/>
    <n v="19753.150000000005"/>
    <x v="1"/>
    <s v="Refunded"/>
    <x v="1"/>
    <n v="400"/>
    <s v="OK"/>
    <s v="Valid"/>
    <s v="Unique"/>
    <s v="West"/>
    <s v="Standard Class"/>
    <s v="Valid"/>
    <x v="10"/>
    <n v="2024"/>
    <s v="Clean"/>
    <s v="OK"/>
    <s v="Valid"/>
    <s v="Ok"/>
    <s v="Ok"/>
  </r>
  <r>
    <s v="ORD-2025-10362"/>
    <d v="2025-04-01T00:00:00"/>
    <d v="2025-07-23T00:00:00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1"/>
    <n v="20389.71"/>
    <x v="361"/>
    <x v="361"/>
    <n v="15226"/>
    <n v="304519.98000000004"/>
    <x v="2"/>
    <s v="Pending"/>
    <x v="2"/>
    <n v="113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363"/>
    <d v="2024-08-23T00:00:00"/>
    <d v="2025-07-24T00:00:00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1"/>
    <n v="1576.49"/>
    <x v="362"/>
    <x v="362"/>
    <n v="289.92"/>
    <n v="5798.3599999999979"/>
    <x v="0"/>
    <s v="Paid"/>
    <x v="0"/>
    <n v="335"/>
    <s v="OK"/>
    <s v="Valid"/>
    <s v="Unique"/>
    <s v="West"/>
    <s v="Same Day"/>
    <s v="Valid"/>
    <x v="1"/>
    <n v="2024"/>
    <s v="Clean"/>
    <s v="OK"/>
    <s v="Valid"/>
    <s v="Missmatched"/>
    <s v="Missmatched"/>
  </r>
  <r>
    <s v="ORD-2025-10364"/>
    <d v="2025-07-07T00:00:00"/>
    <d v="2025-07-25T00:00:00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5205.3599999999997"/>
    <x v="363"/>
    <x v="363"/>
    <n v="1662.28"/>
    <n v="6649.1099999999969"/>
    <x v="0"/>
    <s v="Paid"/>
    <x v="0"/>
    <n v="18"/>
    <s v="OK"/>
    <s v="Valid"/>
    <s v="Unique"/>
    <s v="East"/>
    <s v="Second Class"/>
    <s v="Valid"/>
    <x v="0"/>
    <n v="2025"/>
    <s v="Clean"/>
    <s v="OK"/>
    <s v="Valid"/>
    <s v="Missmatched"/>
    <s v="Missmatched"/>
  </r>
  <r>
    <s v="ORD-2025-10365"/>
    <d v="2025-03-21T00:00:00"/>
    <d v="2025-07-26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3967.02"/>
    <x v="364"/>
    <x v="364"/>
    <n v="2228.73"/>
    <n v="0"/>
    <x v="0"/>
    <s v="Paid"/>
    <x v="0"/>
    <n v="127"/>
    <s v="OK"/>
    <s v="Valid"/>
    <s v="Unique"/>
    <s v="South"/>
    <s v="Second Class"/>
    <s v="Valid"/>
    <x v="11"/>
    <n v="2025"/>
    <s v="Clean"/>
    <s v="OK"/>
    <s v="Valid"/>
    <s v="Ok"/>
    <s v="Ok"/>
  </r>
  <r>
    <s v="ORD-2024-10366"/>
    <d v="2024-06-15T00:00:00"/>
    <d v="2025-07-27T00:00:00"/>
    <s v="CUST-2203"/>
    <s v="Aditi Sen"/>
    <x v="2"/>
    <x v="3"/>
    <s v="Goa"/>
    <s v="Panaji"/>
    <x v="2"/>
    <x v="5"/>
    <s v="Basic Accessories 774"/>
    <x v="2"/>
    <n v="8"/>
    <n v="1706.4"/>
    <m/>
    <n v="0"/>
    <n v="12968.64"/>
    <n v="10119.61"/>
    <x v="365"/>
    <x v="365"/>
    <n v="2849.03"/>
    <n v="0"/>
    <x v="0"/>
    <s v="Paid"/>
    <x v="0"/>
    <n v="407"/>
    <s v="OK"/>
    <s v="Valid"/>
    <s v="Unique"/>
    <s v="West"/>
    <s v="First Class"/>
    <s v="Valid"/>
    <x v="10"/>
    <n v="2024"/>
    <s v="Clean"/>
    <s v="OK"/>
    <s v="Valid"/>
    <s v="Missmatched"/>
    <s v="Missmatched"/>
  </r>
  <r>
    <s v="ORD-2025-10367"/>
    <d v="2025-01-16T00:00:00"/>
    <d v="2025-07-28T00:00:00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5867.75"/>
    <x v="366"/>
    <x v="366"/>
    <n v="2968.81"/>
    <n v="0"/>
    <x v="0"/>
    <s v="Paid"/>
    <x v="0"/>
    <n v="193"/>
    <s v="OK"/>
    <s v="Valid"/>
    <s v="Unique"/>
    <s v="North"/>
    <s v="Same Day"/>
    <s v="Valid"/>
    <x v="8"/>
    <n v="2025"/>
    <s v="Clean"/>
    <s v="OK"/>
    <s v="Valid"/>
    <s v="Ok"/>
    <s v="Ok"/>
  </r>
  <r>
    <s v="ORD-2024-10368"/>
    <d v="2024-03-15T00:00:00"/>
    <d v="2025-07-29T00:00:00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6"/>
    <n v="14520.06"/>
    <x v="367"/>
    <x v="367"/>
    <n v="4936.8999999999996"/>
    <n v="32912.659999999996"/>
    <x v="3"/>
    <s v="Failed"/>
    <x v="1"/>
    <n v="501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5-10369"/>
    <d v="2025-07-06T00:00:00"/>
    <d v="2025-07-30T00:00:0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"/>
    <n v="1512.17"/>
    <x v="368"/>
    <x v="368"/>
    <n v="567.1"/>
    <n v="11342.089999999998"/>
    <x v="1"/>
    <s v="Refunded"/>
    <x v="2"/>
    <n v="24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5-10370"/>
    <d v="2025-01-23T00:00:00"/>
    <d v="2025-07-31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0.15"/>
    <n v="8945.68"/>
    <n v="6740.35"/>
    <x v="369"/>
    <x v="369"/>
    <n v="2205.33"/>
    <n v="14702.203333333322"/>
    <x v="0"/>
    <s v="Paid"/>
    <x v="0"/>
    <n v="189"/>
    <s v="OK"/>
    <s v="Valid"/>
    <s v="Unique"/>
    <s v="North"/>
    <s v="Standard Class"/>
    <s v="Valid"/>
    <x v="8"/>
    <n v="2025"/>
    <s v="Clean"/>
    <s v="OK"/>
    <s v="Valid"/>
    <s v="Missmatched"/>
    <s v="Missmatched"/>
  </r>
  <r>
    <s v="ORD-2024-10371"/>
    <d v="2024-08-15T00:00:00"/>
    <d v="2025-08-01T00:00:00"/>
    <s v="CUST-8521"/>
    <s v="Ananya Rao"/>
    <x v="1"/>
    <x v="3"/>
    <s v="Rajasthan"/>
    <s v="Udaipur"/>
    <x v="2"/>
    <x v="6"/>
    <s v="Classic Copiers 505"/>
    <x v="2"/>
    <n v="7"/>
    <n v="2333.81"/>
    <n v="0.2"/>
    <n v="0.2"/>
    <n v="13069.34"/>
    <n v="8768.59"/>
    <x v="370"/>
    <x v="370"/>
    <n v="4300.75"/>
    <n v="21503.730000000003"/>
    <x v="0"/>
    <s v="Paid"/>
    <x v="0"/>
    <n v="351"/>
    <s v="OK"/>
    <s v="Valid"/>
    <s v="Unique"/>
    <s v="West"/>
    <s v="First Class"/>
    <s v="Valid"/>
    <x v="1"/>
    <n v="2024"/>
    <s v="Clean"/>
    <s v="OK"/>
    <s v="Valid"/>
    <s v="Missmatched"/>
    <s v="Missmatched"/>
  </r>
  <r>
    <s v="ORD-2024-10372"/>
    <d v="2024-01-22T00:00:00"/>
    <d v="2025-08-02T00:00:00"/>
    <s v="CUST-2204"/>
    <s v="Diya Patel"/>
    <x v="3"/>
    <x v="3"/>
    <s v="Maharashtra"/>
    <s v="Mumbai"/>
    <x v="0"/>
    <x v="2"/>
    <s v="Pro Art 906"/>
    <x v="3"/>
    <n v="6"/>
    <n v="1026.06"/>
    <m/>
    <n v="0"/>
    <n v="4617.2700000000004"/>
    <n v="2981.94"/>
    <x v="371"/>
    <x v="371"/>
    <n v="1635.33"/>
    <n v="0"/>
    <x v="1"/>
    <s v="Refunded"/>
    <x v="1"/>
    <n v="558"/>
    <s v="OK"/>
    <s v="Valid"/>
    <s v="Unique"/>
    <s v="West"/>
    <s v="Standard Class"/>
    <s v="Valid"/>
    <x v="8"/>
    <n v="2024"/>
    <s v="Clean"/>
    <s v="OK"/>
    <s v="Valid"/>
    <s v="Missmatched"/>
    <s v="Missmatched"/>
  </r>
  <r>
    <s v="ORD-2025-10373"/>
    <d v="2025-08-16T00:00:00"/>
    <d v="2025-08-03T00:00:00"/>
    <s v="CUST-4399"/>
    <s v="Kabir Singh"/>
    <x v="0"/>
    <x v="1"/>
    <s v="Jharkhand"/>
    <s v="Ranchi"/>
    <x v="1"/>
    <x v="4"/>
    <s v="Max Chairs 181"/>
    <x v="1"/>
    <n v="5"/>
    <n v="1530.36"/>
    <n v="0"/>
    <n v="0"/>
    <n v="7651.8"/>
    <n v="5171.78"/>
    <x v="372"/>
    <x v="372"/>
    <n v="2480.02"/>
    <n v="0"/>
    <x v="0"/>
    <s v="Paid"/>
    <x v="0"/>
    <n v="-13"/>
    <s v="OK"/>
    <s v="Invalid"/>
    <s v="Unique"/>
    <s v="East"/>
    <s v="Same Day"/>
    <s v="Valid"/>
    <x v="1"/>
    <n v="2025"/>
    <s v="Invalid"/>
    <s v="Ship Before Order"/>
    <s v="Valid"/>
    <s v="Ok"/>
    <s v="Ok"/>
  </r>
  <r>
    <s v="ORD-2025-10374"/>
    <d v="2025-04-13T00:00:00"/>
    <d v="2025-08-04T00:00:0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8595.3700000000008"/>
    <x v="373"/>
    <x v="373"/>
    <n v="1472.75"/>
    <n v="0"/>
    <x v="0"/>
    <s v="Paid"/>
    <x v="0"/>
    <n v="113"/>
    <s v="OK"/>
    <s v="Valid"/>
    <s v="Duplicate"/>
    <s v="North"/>
    <s v="Second Class"/>
    <s v="Valid"/>
    <x v="9"/>
    <n v="2025"/>
    <s v="Clean"/>
    <s v="OK"/>
    <s v="Valid"/>
    <s v="Ok"/>
    <s v="Ok"/>
  </r>
  <r>
    <s v="ORD-2025-10375"/>
    <d v="2025-02-27T00:00:00"/>
    <d v="2025-08-05T00:00:00"/>
    <s v="CUST-2358"/>
    <s v="Aditi Sen"/>
    <x v="1"/>
    <x v="0"/>
    <s v="Uttar Pradesh"/>
    <s v="Noida"/>
    <x v="0"/>
    <x v="7"/>
    <s v="Smart Labels 668"/>
    <x v="3"/>
    <n v="6"/>
    <n v="2393.25"/>
    <n v="0"/>
    <n v="0"/>
    <n v="14359.5"/>
    <n v="8117.71"/>
    <x v="374"/>
    <x v="374"/>
    <n v="6241.79"/>
    <n v="0"/>
    <x v="0"/>
    <s v="Paid"/>
    <x v="0"/>
    <n v="159"/>
    <s v="OK"/>
    <s v="Valid"/>
    <s v="Unique"/>
    <s v="North"/>
    <s v="Standard Class"/>
    <s v="Valid"/>
    <x v="5"/>
    <n v="2025"/>
    <s v="Clean"/>
    <s v="OK"/>
    <s v="Valid"/>
    <s v="Ok"/>
    <s v="Ok"/>
  </r>
  <r>
    <s v="ORD-2024-10376"/>
    <d v="2024-12-31T00:00:00"/>
    <d v="2025-08-06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"/>
    <n v="2253.88"/>
    <x v="375"/>
    <x v="375"/>
    <n v="370.99"/>
    <n v="1483.9699999999993"/>
    <x v="0"/>
    <s v="Paid"/>
    <x v="0"/>
    <n v="218"/>
    <s v="OK"/>
    <s v="Valid"/>
    <s v="Unique"/>
    <s v="North"/>
    <s v="Same Day"/>
    <s v="Valid"/>
    <x v="7"/>
    <n v="2024"/>
    <s v="Clean"/>
    <s v="OK"/>
    <s v="Valid"/>
    <s v="Missmatched"/>
    <s v="Missmatched"/>
  </r>
  <r>
    <s v="ORD-2024-10377"/>
    <d v="2024-12-29T00:00:00"/>
    <d v="2025-08-07T00:00:00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"/>
    <n v="7433.95"/>
    <x v="376"/>
    <x v="376"/>
    <n v="1420.99"/>
    <n v="7104.9700000000075"/>
    <x v="0"/>
    <s v="Paid"/>
    <x v="0"/>
    <n v="221"/>
    <s v="OK"/>
    <s v="Valid"/>
    <s v="Unique"/>
    <s v="East"/>
    <s v="First Class"/>
    <s v="Valid"/>
    <x v="7"/>
    <n v="2024"/>
    <s v="Clean"/>
    <s v="OK"/>
    <s v="Valid"/>
    <s v="Missmatched"/>
    <s v="Missmatched"/>
  </r>
  <r>
    <s v="ORD-2025-10378"/>
    <d v="2025-05-24T00:00:00"/>
    <d v="2025-08-08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1754.58"/>
    <x v="377"/>
    <x v="377"/>
    <n v="810.16"/>
    <n v="0"/>
    <x v="0"/>
    <s v="Paid"/>
    <x v="0"/>
    <n v="76"/>
    <s v="OK"/>
    <s v="Valid"/>
    <s v="Duplicate"/>
    <s v="East"/>
    <s v="Same Day"/>
    <s v="Valid"/>
    <x v="3"/>
    <n v="2025"/>
    <s v="Clean"/>
    <s v="OK"/>
    <s v="Valid"/>
    <s v="Ok"/>
    <s v="Ok"/>
  </r>
  <r>
    <s v="ORD-2025-10379"/>
    <d v="2025-05-22T00:00:00"/>
    <d v="2025-08-09T00:00:0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4994.46"/>
    <x v="378"/>
    <x v="378"/>
    <n v="2826.76"/>
    <n v="0"/>
    <x v="0"/>
    <s v="Paid"/>
    <x v="0"/>
    <n v="79"/>
    <s v="OK"/>
    <s v="Valid"/>
    <s v="Unique"/>
    <s v="West"/>
    <s v="Standard Class"/>
    <s v="Valid"/>
    <x v="3"/>
    <n v="2025"/>
    <s v="Clean"/>
    <s v="OK"/>
    <s v="Valid"/>
    <s v="Ok"/>
    <s v="Ok"/>
  </r>
  <r>
    <s v="ORD-2024-10380"/>
    <d v="2024-09-19T00:00:00"/>
    <d v="2025-08-10T00:00:00"/>
    <s v="CUST-6405"/>
    <s v="Mira Das"/>
    <x v="1"/>
    <x v="2"/>
    <s v="Kerala"/>
    <s v="Kochi"/>
    <x v="0"/>
    <x v="0"/>
    <s v="Max Paper 334"/>
    <x v="3"/>
    <n v="7"/>
    <n v="1136.68"/>
    <m/>
    <n v="0"/>
    <n v="7956.76"/>
    <n v="4799.54"/>
    <x v="379"/>
    <x v="379"/>
    <n v="3157.22"/>
    <n v="0"/>
    <x v="0"/>
    <s v="Paid"/>
    <x v="0"/>
    <n v="325"/>
    <s v="OK"/>
    <s v="Valid"/>
    <s v="Unique"/>
    <s v="South"/>
    <s v="Standard Class"/>
    <s v="Valid"/>
    <x v="6"/>
    <n v="2024"/>
    <s v="Clean"/>
    <s v="OK"/>
    <s v="Valid"/>
    <s v="Ok"/>
    <s v="Ok"/>
  </r>
  <r>
    <s v="ORD-2024-10381"/>
    <d v="2024-07-04T00:00:00"/>
    <d v="2025-08-11T00:00:00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4"/>
    <n v="4765.96"/>
    <x v="380"/>
    <x v="380"/>
    <n v="3618.48"/>
    <n v="14473.91"/>
    <x v="0"/>
    <s v="Paid"/>
    <x v="2"/>
    <n v="403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382"/>
    <d v="2025-09-19T00:00:00"/>
    <d v="2025-08-12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0833.19"/>
    <x v="381"/>
    <x v="381"/>
    <n v="5837.98"/>
    <n v="116759.59999999995"/>
    <x v="3"/>
    <s v="Failed"/>
    <x v="1"/>
    <n v="-38"/>
    <s v="OK"/>
    <s v="Invalid"/>
    <s v="Unique"/>
    <s v="North"/>
    <s v="Standard Class"/>
    <s v="Valid"/>
    <x v="6"/>
    <n v="2025"/>
    <s v="Invalid"/>
    <s v="Ship Before Order"/>
    <s v="Valid"/>
    <s v="Ok"/>
    <s v="Ok"/>
  </r>
  <r>
    <s v="ORD-2025-10383"/>
    <d v="2025-04-03T00:00:00"/>
    <d v="2025-08-13T00:00:00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"/>
    <n v="8399.8700000000008"/>
    <x v="382"/>
    <x v="382"/>
    <n v="2068.5700000000002"/>
    <n v="10342.850000000008"/>
    <x v="0"/>
    <s v="Paid"/>
    <x v="0"/>
    <n v="132"/>
    <s v="OK"/>
    <s v="Valid"/>
    <s v="Unique"/>
    <s v="East"/>
    <s v="First Class"/>
    <s v="Valid"/>
    <x v="9"/>
    <n v="2025"/>
    <s v="Clean"/>
    <s v="OK"/>
    <s v="Valid"/>
    <s v="Ok"/>
    <s v="Ok"/>
  </r>
  <r>
    <s v="ORD-2025-10384"/>
    <d v="2025-06-28T00:00:00"/>
    <d v="2025-08-14T00:00:00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3131.86"/>
    <x v="383"/>
    <x v="383"/>
    <n v="1353.64"/>
    <n v="0"/>
    <x v="0"/>
    <s v="Paid"/>
    <x v="1"/>
    <n v="47"/>
    <s v="OK"/>
    <s v="Valid"/>
    <s v="Unique"/>
    <s v="East"/>
    <s v="First Class"/>
    <s v="Valid"/>
    <x v="10"/>
    <n v="2025"/>
    <s v="Clean"/>
    <s v="OK"/>
    <s v="Valid"/>
    <s v="Ok"/>
    <s v="Ok"/>
  </r>
  <r>
    <s v="ORD-2024-10385"/>
    <d v="2024-03-15T00:00:00"/>
    <d v="2025-08-15T00:00:00"/>
    <s v="CUST-8432"/>
    <s v="Rohan Mehta"/>
    <x v="0"/>
    <x v="1"/>
    <s v="Jharkhand"/>
    <s v="Ranchi"/>
    <x v="2"/>
    <x v="6"/>
    <s v="Prime Copiers 820"/>
    <x v="3"/>
    <n v="2"/>
    <n v="1881.4"/>
    <n v="0.25"/>
    <n v="0.25"/>
    <n v="2822.1"/>
    <n v="1624.57"/>
    <x v="384"/>
    <x v="384"/>
    <n v="1197.53"/>
    <n v="4790.1200000000017"/>
    <x v="0"/>
    <s v="Paid"/>
    <x v="2"/>
    <n v="518"/>
    <s v="OK"/>
    <s v="Valid"/>
    <s v="Unique"/>
    <s v="East"/>
    <s v="Standard Class"/>
    <s v="Valid"/>
    <x v="11"/>
    <n v="2024"/>
    <s v="Clean"/>
    <s v="OK"/>
    <s v="Valid"/>
    <s v="Ok"/>
    <s v="Ok"/>
  </r>
  <r>
    <s v="ORD-2025-10386"/>
    <d v="2025-06-24T00:00:00"/>
    <d v="2025-08-16T00:00:00"/>
    <s v="CUST-2834"/>
    <s v="Arjun Bose"/>
    <x v="0"/>
    <x v="0"/>
    <s v="Haryana"/>
    <s v="Gurugram"/>
    <x v="0"/>
    <x v="7"/>
    <s v="Classic Labels 670"/>
    <x v="3"/>
    <n v="6"/>
    <n v="365.76"/>
    <n v="0.1"/>
    <n v="0.1"/>
    <n v="1975.1"/>
    <n v="1115.3499999999999"/>
    <x v="385"/>
    <x v="385"/>
    <n v="859.75"/>
    <n v="8597.5400000000009"/>
    <x v="0"/>
    <s v="Paid"/>
    <x v="0"/>
    <n v="53"/>
    <s v="OK"/>
    <s v="Valid"/>
    <s v="Unique"/>
    <s v="North"/>
    <s v="Standard Class"/>
    <s v="Valid"/>
    <x v="10"/>
    <n v="2025"/>
    <s v="Clean"/>
    <s v="OK"/>
    <s v="Valid"/>
    <s v="Missmatched"/>
    <s v="Missmatched"/>
  </r>
  <r>
    <s v="ORD-2025-10387"/>
    <d v="2025-12-02T00:00:00"/>
    <d v="2025-08-17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14363.38"/>
    <x v="386"/>
    <x v="386"/>
    <n v="5700.57"/>
    <n v="57005.720000000016"/>
    <x v="0"/>
    <s v="Paid"/>
    <x v="0"/>
    <n v="-107"/>
    <s v="OK"/>
    <s v="Invalid"/>
    <s v="Unique"/>
    <s v="West"/>
    <s v="Second Class"/>
    <s v="Valid"/>
    <x v="7"/>
    <n v="2025"/>
    <s v="Invalid"/>
    <s v="Ship Before Order"/>
    <s v="Valid"/>
    <s v="Missmatched"/>
    <s v="Missmatched"/>
  </r>
  <r>
    <s v="ORD-2025-10388"/>
    <d v="2025-08-10T00:00:00"/>
    <d v="2025-08-18T00:00:00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"/>
    <n v="1332.49"/>
    <x v="387"/>
    <x v="387"/>
    <n v="431.81"/>
    <n v="0"/>
    <x v="2"/>
    <s v="Pending"/>
    <x v="1"/>
    <n v="8"/>
    <s v="OK"/>
    <s v="Valid"/>
    <s v="Unique"/>
    <s v="West"/>
    <s v="Standard Class"/>
    <s v="Valid"/>
    <x v="1"/>
    <n v="2025"/>
    <s v="Clean"/>
    <s v="OK"/>
    <s v="Valid"/>
    <s v="Ok"/>
    <s v="Ok"/>
  </r>
  <r>
    <s v="ORD-2024-10389"/>
    <d v="2024-05-13T00:00:00"/>
    <d v="2025-08-19T00:00:00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6872.44"/>
    <x v="388"/>
    <x v="388"/>
    <n v="2783.66"/>
    <n v="0"/>
    <x v="0"/>
    <s v="Paid"/>
    <x v="0"/>
    <n v="463"/>
    <s v="OK"/>
    <s v="Valid"/>
    <s v="Unique"/>
    <s v="West"/>
    <s v="Standard Class"/>
    <s v="Valid"/>
    <x v="3"/>
    <n v="2024"/>
    <s v="Clean"/>
    <s v="OK"/>
    <s v="Valid"/>
    <s v="Ok"/>
    <s v="Missmatched"/>
  </r>
  <r>
    <s v="ORD-2024-10390"/>
    <d v="2024-05-04T00:00:00"/>
    <d v="2025-08-20T00:00:00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5434.3"/>
    <x v="389"/>
    <x v="389"/>
    <n v="2315.86"/>
    <n v="11579.300000000003"/>
    <x v="2"/>
    <s v="Pending"/>
    <x v="1"/>
    <n v="473"/>
    <s v="OK"/>
    <s v="Valid"/>
    <s v="Unique"/>
    <s v="West"/>
    <s v="Second Class"/>
    <s v="Valid"/>
    <x v="3"/>
    <n v="2024"/>
    <s v="Clean"/>
    <s v="OK"/>
    <s v="Valid"/>
    <s v="Ok"/>
    <s v="Ok"/>
  </r>
  <r>
    <s v="ORD-2024-10391"/>
    <d v="2024-06-11T00:00:00"/>
    <d v="2025-08-21T00:00:00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3439.79"/>
    <x v="390"/>
    <x v="390"/>
    <n v="2695.44"/>
    <n v="13477.21"/>
    <x v="0"/>
    <s v="Paid"/>
    <x v="0"/>
    <n v="436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5-10392"/>
    <d v="2025-02-14T00:00:00"/>
    <d v="2025-08-22T00:00:0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565.44000000000005"/>
    <x v="391"/>
    <x v="391"/>
    <n v="148.99"/>
    <n v="0"/>
    <x v="0"/>
    <s v="Paid"/>
    <x v="0"/>
    <n v="189"/>
    <s v="OK"/>
    <s v="Valid"/>
    <s v="Unique"/>
    <s v="South"/>
    <s v="First Class"/>
    <s v="Valid"/>
    <x v="5"/>
    <n v="2025"/>
    <s v="Clean"/>
    <s v="OK"/>
    <s v="Valid"/>
    <s v="Ok"/>
    <s v="Ok"/>
  </r>
  <r>
    <s v="ORD-2024-10393"/>
    <d v="2024-02-19T00:00:00"/>
    <d v="2025-08-23T00:00:00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24525.48"/>
    <x v="392"/>
    <x v="392"/>
    <n v="11951.61"/>
    <n v="0"/>
    <x v="0"/>
    <s v="Paid"/>
    <x v="0"/>
    <n v="551"/>
    <s v="OK"/>
    <s v="Valid"/>
    <s v="Unique"/>
    <s v="South"/>
    <s v="Same Day"/>
    <s v="Valid"/>
    <x v="5"/>
    <n v="2024"/>
    <s v="Clean"/>
    <s v="OK"/>
    <s v="Valid"/>
    <s v="Ok"/>
    <s v="Ok"/>
  </r>
  <r>
    <s v="ORD-2024-10394"/>
    <d v="2024-08-23T00:00:00"/>
    <d v="2025-08-24T00:00:00"/>
    <s v="CUST-3160"/>
    <s v="Mira Das"/>
    <x v="2"/>
    <x v="0"/>
    <s v="Uttar Pradesh"/>
    <s v="Noida"/>
    <x v="0"/>
    <x v="7"/>
    <s v="Eco Labels 815"/>
    <x v="1"/>
    <n v="2"/>
    <n v="1936.91"/>
    <n v="0.05"/>
    <n v="0.05"/>
    <n v="3680.13"/>
    <n v="2967.46"/>
    <x v="393"/>
    <x v="393"/>
    <n v="712.67"/>
    <n v="14253.379999999997"/>
    <x v="0"/>
    <s v="Paid"/>
    <x v="0"/>
    <n v="366"/>
    <s v="OK"/>
    <s v="Valid"/>
    <s v="Unique"/>
    <s v="North"/>
    <s v="Same Day"/>
    <s v="Valid"/>
    <x v="1"/>
    <n v="2024"/>
    <s v="Clean"/>
    <s v="OK"/>
    <s v="Valid"/>
    <s v="Missmatched"/>
    <s v="Missmatched"/>
  </r>
  <r>
    <s v="ORD-2024-10395"/>
    <d v="2024-04-03T00:00:00"/>
    <d v="2025-08-25T00:00:00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1225.26"/>
    <x v="394"/>
    <x v="394"/>
    <n v="6391.21"/>
    <n v="0"/>
    <x v="0"/>
    <s v="Paid"/>
    <x v="0"/>
    <n v="509"/>
    <s v="OK"/>
    <s v="Valid"/>
    <s v="Unique"/>
    <s v="West"/>
    <s v="First Class"/>
    <s v="Valid"/>
    <x v="9"/>
    <n v="2024"/>
    <s v="Clean"/>
    <s v="OK"/>
    <s v="Valid"/>
    <s v="Ok"/>
    <s v="Ok"/>
  </r>
  <r>
    <s v="ORD-2024-10396"/>
    <d v="2024-06-06T00:00:00"/>
    <d v="2025-08-26T00:00:00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"/>
    <n v="4115.5600000000004"/>
    <x v="395"/>
    <x v="395"/>
    <n v="1616.14"/>
    <n v="32322.829999999976"/>
    <x v="0"/>
    <s v="Paid"/>
    <x v="0"/>
    <n v="446"/>
    <s v="OK"/>
    <s v="Valid"/>
    <s v="Unique"/>
    <s v="South"/>
    <s v="Same Day"/>
    <s v="Valid"/>
    <x v="10"/>
    <n v="2024"/>
    <s v="Clean"/>
    <s v="OK"/>
    <s v="Valid"/>
    <s v="Missmatched"/>
    <s v="Missmatched"/>
  </r>
  <r>
    <s v="ORD-2025-10397"/>
    <d v="2025-04-14T00:00:00"/>
    <d v="2025-08-27T00:00:00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956.22"/>
    <x v="396"/>
    <x v="396"/>
    <n v="257.37"/>
    <n v="5147.3399999999992"/>
    <x v="0"/>
    <s v="Paid"/>
    <x v="0"/>
    <n v="13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5-10398"/>
    <d v="2025-09-06T00:00:00"/>
    <d v="2025-08-28T00:00:00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2143.7399999999998"/>
    <x v="397"/>
    <x v="397"/>
    <n v="1320.02"/>
    <n v="0"/>
    <x v="0"/>
    <s v="Paid"/>
    <x v="0"/>
    <n v="-9"/>
    <s v="OK"/>
    <s v="Invalid"/>
    <s v="Unique"/>
    <s v="North"/>
    <s v="Second Class"/>
    <s v="Valid"/>
    <x v="6"/>
    <n v="2025"/>
    <s v="Invalid"/>
    <s v="Ship Before Order"/>
    <s v="Valid"/>
    <s v="Ok"/>
    <s v="Ok"/>
  </r>
  <r>
    <s v="ORD-2024-10399"/>
    <d v="2024-07-19T00:00:00"/>
    <d v="2025-08-29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1355.22"/>
    <x v="398"/>
    <x v="398"/>
    <n v="666.62"/>
    <n v="3333.1000000000004"/>
    <x v="0"/>
    <s v="Paid"/>
    <x v="0"/>
    <n v="406"/>
    <s v="OK"/>
    <s v="Valid"/>
    <s v="Unique"/>
    <s v="North"/>
    <s v="Same Day"/>
    <s v="Valid"/>
    <x v="0"/>
    <n v="2024"/>
    <s v="Clean"/>
    <s v="OK"/>
    <s v="Valid"/>
    <s v="Ok"/>
    <s v="Ok"/>
  </r>
  <r>
    <s v="ORD-2025-10400"/>
    <d v="2025-04-24T00:00:00"/>
    <d v="2025-08-30T00:00:00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1993.74"/>
    <x v="399"/>
    <x v="399"/>
    <n v="1275.1400000000001"/>
    <n v="5100.54"/>
    <x v="0"/>
    <s v="Paid"/>
    <x v="0"/>
    <n v="128"/>
    <s v="OK"/>
    <s v="Valid"/>
    <s v="Duplicate"/>
    <s v="South"/>
    <s v="Same Day"/>
    <s v="Valid"/>
    <x v="9"/>
    <n v="2025"/>
    <s v="Clean"/>
    <s v="OK"/>
    <s v="Valid"/>
    <s v="Missmatched"/>
    <s v="Missmatched"/>
  </r>
  <r>
    <s v="ORD-2025-10401"/>
    <d v="2025-06-06T00:00:00"/>
    <d v="2025-08-31T00:00:00"/>
    <s v="CUST-7150"/>
    <s v="Sneha Kapoor"/>
    <x v="1"/>
    <x v="0"/>
    <s v="Uttar Pradesh"/>
    <s v="Noida"/>
    <x v="0"/>
    <x v="0"/>
    <s v="Prime Paper 851"/>
    <x v="1"/>
    <n v="7"/>
    <n v="878.09"/>
    <n v="-0.1"/>
    <n v="-0.1"/>
    <n v="5839.3"/>
    <n v="4877.38"/>
    <x v="400"/>
    <x v="400"/>
    <n v="961.92"/>
    <n v="-18839.130000000005"/>
    <x v="0"/>
    <s v="Paid"/>
    <x v="0"/>
    <n v="86"/>
    <s v="OK"/>
    <s v="Valid"/>
    <s v="Unique"/>
    <s v="North"/>
    <s v="Same Day"/>
    <s v="Invalid"/>
    <x v="10"/>
    <n v="2025"/>
    <s v="Clean"/>
    <s v="OK"/>
    <s v="Valid"/>
    <s v="Missmatched"/>
    <s v="Missmatched"/>
  </r>
  <r>
    <s v="ORD-2025-10402"/>
    <d v="2025-09-03T00:00:00"/>
    <d v="2025-09-01T00:00:00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5"/>
    <n v="5562.77"/>
    <x v="401"/>
    <x v="401"/>
    <n v="2314.7800000000002"/>
    <n v="0"/>
    <x v="0"/>
    <s v="Paid"/>
    <x v="0"/>
    <n v="-2"/>
    <s v="OK"/>
    <s v="Invalid"/>
    <s v="Unique"/>
    <s v="East"/>
    <s v="Same Day"/>
    <s v="Valid"/>
    <x v="6"/>
    <n v="2025"/>
    <s v="Invalid"/>
    <s v="Ship Before Order"/>
    <s v="Valid"/>
    <s v="Ok"/>
    <s v="Ok"/>
  </r>
  <r>
    <s v="ORD-2024-10403"/>
    <d v="2024-03-22T00:00:00"/>
    <d v="2025-09-02T00:00:0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8"/>
    <n v="2807.77"/>
    <x v="402"/>
    <x v="402"/>
    <n v="1288.01"/>
    <n v="0"/>
    <x v="0"/>
    <s v="Paid"/>
    <x v="0"/>
    <n v="529"/>
    <s v="OK"/>
    <s v="Valid"/>
    <s v="Unique"/>
    <s v="South"/>
    <s v="Unknown"/>
    <s v="Valid"/>
    <x v="11"/>
    <n v="2024"/>
    <s v="Clean"/>
    <s v="OK"/>
    <s v="Valid"/>
    <s v="Ok"/>
    <s v="Ok"/>
  </r>
  <r>
    <s v="ORD-2024-10404"/>
    <d v="2024-09-30T00:00:00"/>
    <d v="2025-09-03T00:00:00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0301.16"/>
    <x v="403"/>
    <x v="403"/>
    <n v="6382.03"/>
    <n v="127640.55"/>
    <x v="0"/>
    <s v="Paid"/>
    <x v="2"/>
    <n v="338"/>
    <s v="OK"/>
    <s v="Valid"/>
    <s v="Unique"/>
    <s v="South"/>
    <s v="Same Day"/>
    <s v="Valid"/>
    <x v="6"/>
    <n v="2024"/>
    <s v="Clean"/>
    <s v="OK"/>
    <s v="Valid"/>
    <s v="Missmatched"/>
    <s v="Missmatched"/>
  </r>
  <r>
    <s v="ORD-2024-10405"/>
    <d v="2024-01-27T00:00:00"/>
    <d v="2025-09-04T00:00:00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926.35"/>
    <x v="404"/>
    <x v="404"/>
    <n v="152.47999999999999"/>
    <n v="0"/>
    <x v="0"/>
    <s v="Paid"/>
    <x v="0"/>
    <n v="586"/>
    <s v="OK"/>
    <s v="Valid"/>
    <s v="Unique"/>
    <s v="West"/>
    <s v="Same Day"/>
    <s v="Valid"/>
    <x v="8"/>
    <n v="2024"/>
    <s v="Clean"/>
    <s v="OK"/>
    <s v="Valid"/>
    <s v="Ok"/>
    <s v="Ok"/>
  </r>
  <r>
    <s v="ORD-2024-10406"/>
    <d v="2024-09-23T00:00:00"/>
    <d v="2025-09-05T00:00:00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"/>
    <n v="18202.36"/>
    <x v="405"/>
    <x v="405"/>
    <n v="6229.1"/>
    <n v="62291.029999999992"/>
    <x v="0"/>
    <s v="Paid"/>
    <x v="0"/>
    <n v="347"/>
    <s v="OK"/>
    <s v="Valid"/>
    <s v="Unique"/>
    <s v="West"/>
    <s v="Unknown"/>
    <s v="Valid"/>
    <x v="6"/>
    <n v="2024"/>
    <s v="Clean"/>
    <s v="OK"/>
    <s v="Valid"/>
    <s v="Missmatched"/>
    <s v="Missmatched"/>
  </r>
  <r>
    <s v="ORD-2025-10407"/>
    <d v="2025-02-25T00:00:00"/>
    <d v="2025-09-06T00:00:0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3"/>
    <n v="3621.76"/>
    <x v="406"/>
    <x v="406"/>
    <n v="2264.54"/>
    <n v="9058.1599999999962"/>
    <x v="2"/>
    <s v="Pending"/>
    <x v="2"/>
    <n v="193"/>
    <s v="OK"/>
    <s v="Valid"/>
    <s v="Unique"/>
    <s v="West"/>
    <s v="Standard Class"/>
    <s v="Valid"/>
    <x v="5"/>
    <n v="2025"/>
    <s v="Clean"/>
    <s v="OK"/>
    <s v="Valid"/>
    <s v="Ok"/>
    <s v="Ok"/>
  </r>
  <r>
    <s v="ORD-2024-10408"/>
    <d v="2024-12-05T00:00:00"/>
    <d v="2025-09-07T00:00:00"/>
    <s v="CUST-8520"/>
    <s v="Rahul Verma"/>
    <x v="2"/>
    <x v="3"/>
    <s v="Goa"/>
    <s v="Panaji"/>
    <x v="0"/>
    <x v="7"/>
    <s v="Smart Labels 261"/>
    <x v="0"/>
    <n v="3"/>
    <n v="2644.55"/>
    <n v="0"/>
    <n v="0"/>
    <n v="7933.65"/>
    <n v="5698.42"/>
    <x v="407"/>
    <x v="407"/>
    <n v="2235.23"/>
    <n v="0"/>
    <x v="0"/>
    <s v="Paid"/>
    <x v="0"/>
    <n v="276"/>
    <s v="OK"/>
    <s v="Valid"/>
    <s v="Unique"/>
    <s v="West"/>
    <s v="Second Class"/>
    <s v="Valid"/>
    <x v="7"/>
    <n v="2024"/>
    <s v="Clean"/>
    <s v="OK"/>
    <s v="Valid"/>
    <s v="Ok"/>
    <s v="Ok"/>
  </r>
  <r>
    <s v="ORD-2025-10409"/>
    <d v="2025-01-08T00:00:00"/>
    <d v="2025-09-08T00:00:00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4587.49"/>
    <x v="408"/>
    <x v="408"/>
    <n v="2506.35"/>
    <n v="0"/>
    <x v="3"/>
    <s v="Failed"/>
    <x v="2"/>
    <n v="243"/>
    <s v="OK"/>
    <s v="Valid"/>
    <s v="Unique"/>
    <s v="West"/>
    <s v="First Class"/>
    <s v="Valid"/>
    <x v="8"/>
    <n v="2025"/>
    <s v="Clean"/>
    <s v="OK"/>
    <s v="Valid"/>
    <s v="Ok"/>
    <s v="Ok"/>
  </r>
  <r>
    <s v="ORD-2025-10410"/>
    <d v="2025-02-13T00:00:00"/>
    <d v="2025-09-09T00:00:00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1"/>
    <n v="1593.59"/>
    <x v="409"/>
    <x v="409"/>
    <n v="675.51"/>
    <n v="2702.0200000000013"/>
    <x v="1"/>
    <s v="Refunded"/>
    <x v="2"/>
    <n v="208"/>
    <s v="OK"/>
    <s v="Valid"/>
    <s v="Unique"/>
    <s v="East"/>
    <s v="Same Day"/>
    <s v="Valid"/>
    <x v="5"/>
    <n v="2025"/>
    <s v="Clean"/>
    <s v="OK"/>
    <s v="Valid"/>
    <s v="Missmatched"/>
    <s v="Missmatched"/>
  </r>
  <r>
    <s v="ORD-2024-10411"/>
    <d v="2024-12-04T00:00:00"/>
    <d v="2025-09-10T00:00:00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6774.48"/>
    <x v="410"/>
    <x v="410"/>
    <n v="2604.31"/>
    <n v="13021.56"/>
    <x v="0"/>
    <s v="Paid"/>
    <x v="0"/>
    <n v="280"/>
    <s v="OK"/>
    <s v="Valid"/>
    <s v="Unique"/>
    <s v="West"/>
    <s v="First Class"/>
    <s v="Valid"/>
    <x v="7"/>
    <n v="2024"/>
    <s v="Clean"/>
    <s v="OK"/>
    <s v="Valid"/>
    <s v="Missmatched"/>
    <s v="Missmatched"/>
  </r>
  <r>
    <s v="ORD-2025-10412"/>
    <d v="2025-08-23T00:00:00"/>
    <d v="2025-09-11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2768.77"/>
    <x v="411"/>
    <x v="411"/>
    <n v="565.48"/>
    <n v="2827.3900000000026"/>
    <x v="3"/>
    <s v="Failed"/>
    <x v="2"/>
    <n v="19"/>
    <s v="OK"/>
    <s v="Valid"/>
    <s v="Unique"/>
    <s v="West"/>
    <s v="First Class"/>
    <s v="Valid"/>
    <x v="1"/>
    <n v="2025"/>
    <s v="Clean"/>
    <s v="OK"/>
    <s v="Valid"/>
    <s v="Missmatched"/>
    <s v="Missmatched"/>
  </r>
  <r>
    <s v="ORD-2024-10413"/>
    <d v="2024-01-22T00:00:00"/>
    <d v="2025-09-12T00:00:00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"/>
    <n v="1014.19"/>
    <x v="412"/>
    <x v="412"/>
    <n v="569.35"/>
    <n v="2277.41"/>
    <x v="0"/>
    <s v="Paid"/>
    <x v="0"/>
    <n v="599"/>
    <s v="OK"/>
    <s v="Valid"/>
    <s v="Unique"/>
    <s v="South"/>
    <s v="Same Day"/>
    <s v="Valid"/>
    <x v="8"/>
    <n v="2024"/>
    <s v="Clean"/>
    <s v="OK"/>
    <s v="Valid"/>
    <s v="Missmatched"/>
    <s v="Missmatched"/>
  </r>
  <r>
    <s v="ORD-2025-10414"/>
    <d v="2025-08-13T00:00:00"/>
    <d v="2025-09-13T00:00:00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0735.33"/>
    <x v="413"/>
    <x v="413"/>
    <n v="4610.51"/>
    <n v="0"/>
    <x v="2"/>
    <s v="Pending"/>
    <x v="1"/>
    <n v="31"/>
    <s v="OK"/>
    <s v="Valid"/>
    <s v="Unique"/>
    <s v="West"/>
    <s v="Second Class"/>
    <s v="Valid"/>
    <x v="1"/>
    <n v="2025"/>
    <s v="Clean"/>
    <s v="OK"/>
    <s v="Valid"/>
    <s v="Ok"/>
    <s v="Ok"/>
  </r>
  <r>
    <s v="ORD-2024-10415"/>
    <d v="2024-08-29T00:00:00"/>
    <d v="2025-09-14T00:00:00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"/>
    <n v="5519.39"/>
    <x v="414"/>
    <x v="414"/>
    <n v="3920.11"/>
    <n v="78402.27999999997"/>
    <x v="0"/>
    <s v="Paid"/>
    <x v="0"/>
    <n v="381"/>
    <s v="OK"/>
    <s v="Valid"/>
    <s v="Unique"/>
    <s v="East"/>
    <s v="First Class"/>
    <s v="Valid"/>
    <x v="1"/>
    <n v="2024"/>
    <s v="Clean"/>
    <s v="OK"/>
    <s v="Valid"/>
    <s v="Missmatched"/>
    <s v="Missmatched"/>
  </r>
  <r>
    <s v="ORD-2024-10416"/>
    <d v="2024-01-25T00:00:00"/>
    <d v="2025-09-15T00:00:00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200000000001"/>
    <n v="7906.5"/>
    <x v="415"/>
    <x v="415"/>
    <n v="2370.6999999999998"/>
    <n v="15804.646666666667"/>
    <x v="0"/>
    <s v="Paid"/>
    <x v="2"/>
    <n v="599"/>
    <s v="OK"/>
    <s v="Valid"/>
    <s v="Unique"/>
    <s v="South"/>
    <s v="Same Day"/>
    <s v="Valid"/>
    <x v="8"/>
    <n v="2024"/>
    <s v="Clean"/>
    <s v="OK"/>
    <s v="Valid"/>
    <s v="Missmatched"/>
    <s v="Missmatched"/>
  </r>
  <r>
    <s v="ORD-2025-10417"/>
    <d v="2025-08-01T00:00:00"/>
    <d v="2025-09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2886.35"/>
    <x v="416"/>
    <x v="416"/>
    <n v="947.35"/>
    <n v="3789.4000000000015"/>
    <x v="0"/>
    <s v="Paid"/>
    <x v="0"/>
    <n v="46"/>
    <s v="OK"/>
    <s v="Valid"/>
    <s v="Unique"/>
    <s v="South"/>
    <s v="First Class"/>
    <s v="Valid"/>
    <x v="1"/>
    <n v="2025"/>
    <s v="Clean"/>
    <s v="OK"/>
    <s v="Valid"/>
    <s v="Ok"/>
    <s v="Ok"/>
  </r>
  <r>
    <s v="ORD-2025-10418"/>
    <d v="2025-01-29T00:00:00"/>
    <d v="2025-09-17T00:00:00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1193.75"/>
    <x v="417"/>
    <x v="417"/>
    <n v="7348.65"/>
    <n v="36743.250000000007"/>
    <x v="0"/>
    <s v="Paid"/>
    <x v="0"/>
    <n v="231"/>
    <s v="OK"/>
    <s v="Valid"/>
    <s v="Unique"/>
    <s v="West"/>
    <s v="First Class"/>
    <s v="Valid"/>
    <x v="8"/>
    <n v="2025"/>
    <s v="Clean"/>
    <s v="OK"/>
    <s v="Valid"/>
    <s v="Ok"/>
    <s v="Ok"/>
  </r>
  <r>
    <s v="ORD-2024-10419"/>
    <d v="2024-09-11T00:00:00"/>
    <d v="2025-09-18T00:00:00"/>
    <s v="CUST-7925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15331.99"/>
    <x v="418"/>
    <x v="418"/>
    <n v="6630.41"/>
    <n v="0"/>
    <x v="3"/>
    <s v="Failed"/>
    <x v="1"/>
    <n v="372"/>
    <s v="OK"/>
    <s v="Valid"/>
    <s v="Unique"/>
    <s v="East"/>
    <s v="Standard Class"/>
    <s v="Valid"/>
    <x v="6"/>
    <n v="2024"/>
    <s v="Clean"/>
    <s v="OK"/>
    <s v="Valid"/>
    <s v="Ok"/>
    <s v="Ok"/>
  </r>
  <r>
    <s v="ORD-2025-10420"/>
    <d v="2025-09-26T00:00:00"/>
    <d v="2025-09-19T00:00:00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8"/>
    <n v="843"/>
    <x v="419"/>
    <x v="419"/>
    <n v="465.78"/>
    <n v="9315.5400000000009"/>
    <x v="0"/>
    <s v="Paid"/>
    <x v="0"/>
    <n v="-7"/>
    <s v="OK"/>
    <s v="Invalid"/>
    <s v="Unique"/>
    <s v="North"/>
    <s v="Same Day"/>
    <s v="Valid"/>
    <x v="6"/>
    <n v="2025"/>
    <s v="Invalid"/>
    <s v="Ship Before Order"/>
    <s v="Valid"/>
    <s v="Missmatched"/>
    <s v="Missmatched"/>
  </r>
  <r>
    <s v="ORD-2025-10421"/>
    <d v="2025-03-18T00:00:00"/>
    <d v="2025-09-20T00:00:00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120.06"/>
    <x v="420"/>
    <x v="420"/>
    <n v="694.93"/>
    <n v="2779.7000000000007"/>
    <x v="2"/>
    <s v="Pending"/>
    <x v="1"/>
    <n v="186"/>
    <s v="OK"/>
    <s v="Valid"/>
    <s v="Unique"/>
    <s v="South"/>
    <s v="Standard Class"/>
    <s v="Valid"/>
    <x v="11"/>
    <n v="2025"/>
    <s v="Clean"/>
    <s v="OK"/>
    <s v="Valid"/>
    <s v="Missmatched"/>
    <s v="Missmatched"/>
  </r>
  <r>
    <s v="ORD-2025-10422"/>
    <d v="2025-06-14T00:00:00"/>
    <d v="2025-09-21T00:00:00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"/>
    <n v="1707.52"/>
    <x v="421"/>
    <x v="421"/>
    <n v="782.36"/>
    <n v="3911.8000000000029"/>
    <x v="2"/>
    <s v="Pending"/>
    <x v="2"/>
    <n v="99"/>
    <s v="OK"/>
    <s v="Valid"/>
    <s v="Unique"/>
    <s v="North"/>
    <s v="Same Day"/>
    <s v="Valid"/>
    <x v="10"/>
    <n v="2025"/>
    <s v="Clean"/>
    <s v="OK"/>
    <s v="Valid"/>
    <s v="Ok"/>
    <s v="Missmatched"/>
  </r>
  <r>
    <s v="ORD-2025-10423"/>
    <d v="2025-03-09T00:00:00"/>
    <d v="2025-09-22T00:00:00"/>
    <s v="CUST-6077"/>
    <s v="Kabir Singh"/>
    <x v="0"/>
    <x v="3"/>
    <s v="Madhya Pradesh"/>
    <s v="Indore"/>
    <x v="2"/>
    <x v="6"/>
    <s v="Elite Copiers 474"/>
    <x v="1"/>
    <n v="7"/>
    <n v="688.85"/>
    <n v="0.15"/>
    <n v="0.15"/>
    <n v="4098.66"/>
    <n v="2678.06"/>
    <x v="422"/>
    <x v="422"/>
    <n v="1420.6"/>
    <n v="9470.649999999996"/>
    <x v="0"/>
    <s v="Paid"/>
    <x v="0"/>
    <n v="197"/>
    <s v="OK"/>
    <s v="Valid"/>
    <s v="Unique"/>
    <s v="West"/>
    <s v="Same Day"/>
    <s v="Valid"/>
    <x v="11"/>
    <n v="2025"/>
    <s v="Clean"/>
    <s v="OK"/>
    <s v="Valid"/>
    <s v="Missmatched"/>
    <s v="Missmatched"/>
  </r>
  <r>
    <s v="ORD-2024-10424"/>
    <d v="2024-02-20T00:00:00"/>
    <d v="2025-09-23T00:00:00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"/>
    <n v="17940.43"/>
    <x v="423"/>
    <x v="423"/>
    <n v="9270.6"/>
    <n v="46353.010000000009"/>
    <x v="0"/>
    <s v="Paid"/>
    <x v="0"/>
    <n v="581"/>
    <s v="OK"/>
    <s v="Valid"/>
    <s v="Duplicate"/>
    <s v="South"/>
    <s v="First Class"/>
    <s v="Valid"/>
    <x v="5"/>
    <n v="2024"/>
    <s v="Clean"/>
    <s v="OK"/>
    <s v="Valid"/>
    <s v="Missmatched"/>
    <s v="Missmatched"/>
  </r>
  <r>
    <s v="ORD-2024-10425"/>
    <d v="2024-06-26T00:00:00"/>
    <d v="2025-09-24T00:00:00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4263.83"/>
    <x v="424"/>
    <x v="424"/>
    <n v="2172.33"/>
    <n v="0"/>
    <x v="0"/>
    <s v="Paid"/>
    <x v="0"/>
    <n v="455"/>
    <s v="OK"/>
    <s v="Valid"/>
    <s v="Unique"/>
    <s v="North"/>
    <s v="Standard Class"/>
    <s v="Valid"/>
    <x v="10"/>
    <n v="2024"/>
    <s v="Clean"/>
    <s v="OK"/>
    <s v="Valid"/>
    <s v="Ok"/>
    <s v="Ok"/>
  </r>
  <r>
    <s v="ORD-2024-10426"/>
    <d v="2024-09-26T00:00:00"/>
    <d v="2025-09-25T00:00:00"/>
    <s v="CUST-9586"/>
    <s v="Isha Nair"/>
    <x v="3"/>
    <x v="0"/>
    <s v="Delhi"/>
    <s v="New Delhi"/>
    <x v="0"/>
    <x v="7"/>
    <s v="Pro Labels 903"/>
    <x v="2"/>
    <n v="2"/>
    <n v="1065.69"/>
    <n v="0.1"/>
    <n v="0.1"/>
    <n v="1918.24"/>
    <n v="1373.52"/>
    <x v="425"/>
    <x v="425"/>
    <n v="544.72"/>
    <n v="5447.2200000000021"/>
    <x v="1"/>
    <s v="Refunded"/>
    <x v="1"/>
    <n v="364"/>
    <s v="OK"/>
    <s v="Valid"/>
    <s v="Unique"/>
    <s v="North"/>
    <s v="First Class"/>
    <s v="Valid"/>
    <x v="6"/>
    <n v="2024"/>
    <s v="Clean"/>
    <s v="OK"/>
    <s v="Valid"/>
    <s v="Missmatched"/>
    <s v="Missmatched"/>
  </r>
  <r>
    <s v="ORD-2024-10427"/>
    <d v="2024-06-30T00:00:00"/>
    <d v="2025-09-26T00:00:00"/>
    <s v="CUST-5431"/>
    <s v="Aditi Sen"/>
    <x v="0"/>
    <x v="0"/>
    <s v="Haryana"/>
    <s v="Gurugram"/>
    <x v="2"/>
    <x v="6"/>
    <s v="Max Copiers 402"/>
    <x v="1"/>
    <n v="8"/>
    <n v="3756.66"/>
    <n v="0.1"/>
    <n v="0.1"/>
    <n v="27047.95"/>
    <n v="18431.330000000002"/>
    <x v="426"/>
    <x v="426"/>
    <n v="8616.6200000000008"/>
    <n v="86166.219999999987"/>
    <x v="0"/>
    <s v="Paid"/>
    <x v="0"/>
    <n v="453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428"/>
    <d v="2025-04-22T00:00:00"/>
    <d v="2025-09-27T00:00:00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17630.25"/>
    <x v="427"/>
    <x v="427"/>
    <n v="8824.7099999999991"/>
    <n v="0"/>
    <x v="0"/>
    <s v="Paid"/>
    <x v="0"/>
    <n v="158"/>
    <s v="OK"/>
    <s v="Valid"/>
    <s v="Unique"/>
    <s v="Unknown"/>
    <s v="Standard Class"/>
    <s v="Valid"/>
    <x v="9"/>
    <n v="2025"/>
    <s v="Clean"/>
    <s v="OK"/>
    <s v="Valid"/>
    <s v="Ok"/>
    <s v="Ok"/>
  </r>
  <r>
    <s v="ORD-2025-10429"/>
    <d v="2025-03-15T00:00:00"/>
    <d v="2025-09-28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"/>
    <n v="1101.23"/>
    <x v="428"/>
    <x v="428"/>
    <n v="752.66"/>
    <n v="3010.66"/>
    <x v="2"/>
    <s v="Pending"/>
    <x v="1"/>
    <n v="197"/>
    <s v="OK"/>
    <s v="Valid"/>
    <s v="Unique"/>
    <s v="East"/>
    <s v="Same Day"/>
    <s v="Valid"/>
    <x v="11"/>
    <n v="2025"/>
    <s v="Clean"/>
    <s v="OK"/>
    <s v="Valid"/>
    <s v="Missmatched"/>
    <s v="Missmatched"/>
  </r>
  <r>
    <s v="ORD-2025-10430"/>
    <d v="2025-01-03T00:00:00"/>
    <d v="2025-09-29T00:00:00"/>
    <s v="CUST-8562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13842.48"/>
    <x v="429"/>
    <x v="429"/>
    <n v="3816.12"/>
    <n v="15264.479999999996"/>
    <x v="0"/>
    <s v="Paid"/>
    <x v="0"/>
    <n v="269"/>
    <s v="OK"/>
    <s v="Valid"/>
    <s v="Unique"/>
    <s v="North"/>
    <s v="Same Day"/>
    <s v="Valid"/>
    <x v="8"/>
    <n v="2025"/>
    <s v="Clean"/>
    <s v="OK"/>
    <s v="Valid"/>
    <s v="Ok"/>
    <s v="Ok"/>
  </r>
  <r>
    <s v="ORD-2024-10431"/>
    <d v="2024-08-30T00:00:00"/>
    <d v="2025-09-30T00:00:00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"/>
    <n v="2714.23"/>
    <x v="430"/>
    <x v="430"/>
    <n v="763.38"/>
    <n v="6389.8933333333334"/>
    <x v="0"/>
    <s v="Paid"/>
    <x v="0"/>
    <n v="396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4-10432"/>
    <d v="2024-10-02T00:00:00"/>
    <d v="2025-10-01T00:00:00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"/>
    <n v="4520.75"/>
    <x v="431"/>
    <x v="431"/>
    <n v="1656.92"/>
    <n v="6627.6999999999971"/>
    <x v="0"/>
    <s v="Paid"/>
    <x v="0"/>
    <n v="364"/>
    <s v="OK"/>
    <s v="Valid"/>
    <s v="Unique"/>
    <s v="West"/>
    <s v="Same Day"/>
    <s v="Valid"/>
    <x v="4"/>
    <n v="2024"/>
    <s v="Clean"/>
    <s v="OK"/>
    <s v="Valid"/>
    <s v="Missmatched"/>
    <s v="Missmatched"/>
  </r>
  <r>
    <s v="ORD-2024-10433"/>
    <d v="2024-08-29T00:00:00"/>
    <d v="2025-10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"/>
    <n v="844.48"/>
    <x v="432"/>
    <x v="432"/>
    <n v="140.59"/>
    <n v="2811.880000000001"/>
    <x v="0"/>
    <s v="Paid"/>
    <x v="0"/>
    <n v="399"/>
    <s v="OK"/>
    <s v="Valid"/>
    <s v="Unique"/>
    <s v="West"/>
    <s v="Standard Class"/>
    <s v="Valid"/>
    <x v="1"/>
    <n v="2024"/>
    <s v="Clean"/>
    <s v="OK"/>
    <s v="Valid"/>
    <s v="Missmatched"/>
    <s v="Missmatched"/>
  </r>
  <r>
    <s v="ORD-2024-10434"/>
    <d v="2024-04-19T00:00:00"/>
    <d v="2025-10-03T00:00:00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4938.7"/>
    <x v="433"/>
    <x v="433"/>
    <n v="1222.18"/>
    <n v="0"/>
    <x v="1"/>
    <s v="Refunded"/>
    <x v="2"/>
    <n v="532"/>
    <s v="OK"/>
    <s v="Valid"/>
    <s v="Unique"/>
    <s v="South"/>
    <s v="Second Class"/>
    <s v="Valid"/>
    <x v="9"/>
    <n v="2024"/>
    <s v="Clean"/>
    <s v="OK"/>
    <s v="Valid"/>
    <s v="Ok"/>
    <s v="Ok"/>
  </r>
  <r>
    <s v="ORD-2025-10435"/>
    <d v="2025-11-04T00:00:00"/>
    <d v="2025-10-04T00:00:00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9"/>
    <n v="2068.44"/>
    <x v="434"/>
    <x v="434"/>
    <n v="1195.46"/>
    <n v="0"/>
    <x v="0"/>
    <s v="Paid"/>
    <x v="0"/>
    <n v="-31"/>
    <s v="OK"/>
    <s v="Invalid"/>
    <s v="Unique"/>
    <s v="North"/>
    <s v="Second Class"/>
    <s v="Valid"/>
    <x v="2"/>
    <n v="2025"/>
    <s v="Invalid"/>
    <s v="Ship Before Order"/>
    <s v="Valid"/>
    <s v="Ok"/>
    <s v="Ok"/>
  </r>
  <r>
    <s v="ORD-2025-10436"/>
    <d v="2025-12-04T00:00:00"/>
    <d v="2025-10-05T00:00:00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1919.42"/>
    <x v="435"/>
    <x v="435"/>
    <n v="407.63"/>
    <n v="2717.5566666666664"/>
    <x v="0"/>
    <s v="Paid"/>
    <x v="1"/>
    <n v="-60"/>
    <s v="OK"/>
    <s v="Invalid"/>
    <s v="Unique"/>
    <s v="North"/>
    <s v="Standard Class"/>
    <s v="Valid"/>
    <x v="7"/>
    <n v="2025"/>
    <s v="Invalid"/>
    <s v="Ship Before Order"/>
    <s v="Valid"/>
    <s v="Missmatched"/>
    <s v="Missmatched"/>
  </r>
  <r>
    <s v="ORD-2024-10437"/>
    <d v="2024-06-16T00:00:00"/>
    <d v="2025-10-06T00:00:00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5"/>
    <n v="4359.3900000000003"/>
    <x v="436"/>
    <x v="436"/>
    <n v="2234.2600000000002"/>
    <n v="44685.119999999988"/>
    <x v="0"/>
    <s v="Paid"/>
    <x v="2"/>
    <n v="477"/>
    <s v="OK"/>
    <s v="Valid"/>
    <s v="Unique"/>
    <s v="South"/>
    <s v="Same Day"/>
    <s v="Valid"/>
    <x v="10"/>
    <n v="2024"/>
    <s v="Clean"/>
    <s v="OK"/>
    <s v="Valid"/>
    <s v="Missmatched"/>
    <s v="Missmatched"/>
  </r>
  <r>
    <s v="ORD-2024-10438"/>
    <d v="2024-02-15T00:00:00"/>
    <d v="2025-10-07T00:00:00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"/>
    <n v="1588.23"/>
    <x v="437"/>
    <x v="437"/>
    <n v="1298.4000000000001"/>
    <n v="25968.03999999999"/>
    <x v="3"/>
    <s v="Failed"/>
    <x v="2"/>
    <n v="600"/>
    <s v="OK"/>
    <s v="Valid"/>
    <s v="Unique"/>
    <s v="South"/>
    <s v="Same Day"/>
    <s v="Valid"/>
    <x v="5"/>
    <n v="2024"/>
    <s v="Clean"/>
    <s v="OK"/>
    <s v="Valid"/>
    <s v="Missmatched"/>
    <s v="Missmatched"/>
  </r>
  <r>
    <s v="ORD-2025-10439"/>
    <d v="2025-07-05T00:00:00"/>
    <d v="2025-10-08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8"/>
    <n v="1363.64"/>
    <x v="438"/>
    <x v="438"/>
    <n v="449.54"/>
    <n v="2247.6799999999989"/>
    <x v="0"/>
    <s v="Paid"/>
    <x v="0"/>
    <n v="95"/>
    <s v="OK"/>
    <s v="Valid"/>
    <s v="Unique"/>
    <s v="East"/>
    <s v="Standard Class"/>
    <s v="Valid"/>
    <x v="0"/>
    <n v="2025"/>
    <s v="Clean"/>
    <s v="OK"/>
    <s v="Valid"/>
    <s v="Missmatched"/>
    <s v="Missmatched"/>
  </r>
  <r>
    <s v="ORD-2025-10440"/>
    <d v="2025-06-30T00:00:00"/>
    <d v="2025-10-09T00:00:00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2689.36"/>
    <x v="439"/>
    <x v="439"/>
    <n v="636.89"/>
    <n v="0"/>
    <x v="1"/>
    <s v="Refunded"/>
    <x v="2"/>
    <n v="101"/>
    <s v="OK"/>
    <s v="Valid"/>
    <s v="Unique"/>
    <s v="West"/>
    <s v="Same Day"/>
    <s v="Valid"/>
    <x v="10"/>
    <n v="2025"/>
    <s v="Clean"/>
    <s v="OK"/>
    <s v="Valid"/>
    <s v="Ok"/>
    <s v="Ok"/>
  </r>
  <r>
    <s v="ORD-2024-10441"/>
    <d v="2024-02-04T00:00:00"/>
    <d v="2025-10-10T00:00:00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2163.8"/>
    <x v="440"/>
    <x v="440"/>
    <n v="5705.83"/>
    <n v="28529.160000000011"/>
    <x v="0"/>
    <s v="Paid"/>
    <x v="0"/>
    <n v="614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4-10442"/>
    <d v="2024-10-03T00:00:00"/>
    <d v="2025-10-11T00:00:0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0771.95"/>
    <x v="441"/>
    <x v="441"/>
    <n v="4532.99"/>
    <n v="0"/>
    <x v="0"/>
    <s v="Paid"/>
    <x v="1"/>
    <n v="373"/>
    <s v="OK"/>
    <s v="Valid"/>
    <s v="Unique"/>
    <s v="East"/>
    <s v="Standard Class"/>
    <s v="Valid"/>
    <x v="4"/>
    <n v="2024"/>
    <s v="Clean"/>
    <s v="OK"/>
    <s v="Valid"/>
    <s v="Ok"/>
    <s v="Ok"/>
  </r>
  <r>
    <s v="ORD-2025-10443"/>
    <d v="2025-12-01T00:00:00"/>
    <d v="2025-10-12T00:00:00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019.17"/>
    <x v="442"/>
    <x v="442"/>
    <n v="823.14"/>
    <n v="0"/>
    <x v="0"/>
    <s v="Paid"/>
    <x v="0"/>
    <n v="-50"/>
    <s v="OK"/>
    <s v="Invalid"/>
    <s v="Unique"/>
    <s v="East"/>
    <s v="First Class"/>
    <s v="Valid"/>
    <x v="7"/>
    <n v="2025"/>
    <s v="Invalid"/>
    <s v="Ship Before Order"/>
    <s v="Valid"/>
    <s v="Ok"/>
    <s v="Ok"/>
  </r>
  <r>
    <s v="ORD-2024-10444"/>
    <d v="2024-04-04T00:00:00"/>
    <d v="2025-10-13T00:00:00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2347.6799999999998"/>
    <x v="443"/>
    <x v="443"/>
    <n v="967.7"/>
    <n v="9676.9500000000007"/>
    <x v="0"/>
    <s v="Paid"/>
    <x v="0"/>
    <n v="557"/>
    <s v="OK"/>
    <s v="Valid"/>
    <s v="Unique"/>
    <s v="East"/>
    <s v="First Class"/>
    <s v="Valid"/>
    <x v="9"/>
    <n v="2024"/>
    <s v="Clean"/>
    <s v="OK"/>
    <s v="Valid"/>
    <s v="Missmatched"/>
    <s v="Missmatched"/>
  </r>
  <r>
    <s v="ORD-2025-10445"/>
    <d v="2025-12-08T00:00:00"/>
    <d v="2025-10-14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"/>
    <n v="12407.51"/>
    <x v="444"/>
    <x v="444"/>
    <n v="7934.99"/>
    <n v="158699.83999999991"/>
    <x v="0"/>
    <s v="Paid"/>
    <x v="0"/>
    <n v="-55"/>
    <s v="OK"/>
    <s v="Invalid"/>
    <s v="Unique"/>
    <s v="East"/>
    <s v="Same Day"/>
    <s v="Valid"/>
    <x v="7"/>
    <n v="2025"/>
    <s v="Invalid"/>
    <s v="Ship Before Order"/>
    <s v="Valid"/>
    <s v="Missmatched"/>
    <s v="Missmatched"/>
  </r>
  <r>
    <s v="ORD-2024-10446"/>
    <d v="2024-09-05T00:00:00"/>
    <d v="2025-10-15T00:00:00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7"/>
    <n v="2496.29"/>
    <x v="445"/>
    <x v="445"/>
    <n v="881.68"/>
    <n v="4408.3900000000012"/>
    <x v="0"/>
    <s v="Paid"/>
    <x v="0"/>
    <n v="405"/>
    <s v="OK"/>
    <s v="Valid"/>
    <s v="Unique"/>
    <s v="East"/>
    <s v="Same Day"/>
    <s v="Valid"/>
    <x v="6"/>
    <n v="2024"/>
    <s v="Clean"/>
    <s v="OK"/>
    <s v="Valid"/>
    <s v="Missmatched"/>
    <s v="Missmatched"/>
  </r>
  <r>
    <s v="ORD-2025-10447"/>
    <d v="2025-09-18T00:00:00"/>
    <d v="2025-10-16T00:00:00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23754.19"/>
    <x v="446"/>
    <x v="446"/>
    <n v="10185.89"/>
    <n v="0"/>
    <x v="0"/>
    <s v="Paid"/>
    <x v="0"/>
    <n v="28"/>
    <s v="OK"/>
    <s v="Valid"/>
    <s v="Unique"/>
    <s v="South"/>
    <s v="Same Day"/>
    <s v="Valid"/>
    <x v="6"/>
    <n v="2025"/>
    <s v="Clean"/>
    <s v="OK"/>
    <s v="Valid"/>
    <s v="Ok"/>
    <s v="Ok"/>
  </r>
  <r>
    <s v="ORD-2025-10448"/>
    <d v="2025-08-10T00:00:00"/>
    <d v="2025-10-17T00:00:0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7"/>
    <n v="13829.5"/>
    <x v="447"/>
    <x v="447"/>
    <n v="8042.87"/>
    <n v="53619.133333333302"/>
    <x v="2"/>
    <s v="Pending"/>
    <x v="2"/>
    <n v="68"/>
    <s v="OK"/>
    <s v="Valid"/>
    <s v="Unique"/>
    <s v="South"/>
    <s v="Standard Class"/>
    <s v="Valid"/>
    <x v="1"/>
    <n v="2025"/>
    <s v="Clean"/>
    <s v="OK"/>
    <s v="Valid"/>
    <s v="Ok"/>
    <s v="Ok"/>
  </r>
  <r>
    <s v="ORD-2024-10449"/>
    <d v="2024-01-15T00:00:00"/>
    <d v="2025-10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6"/>
    <n v="244.57"/>
    <x v="448"/>
    <x v="448"/>
    <n v="97.49"/>
    <n v="649.91333333333353"/>
    <x v="0"/>
    <s v="Paid"/>
    <x v="0"/>
    <n v="642"/>
    <s v="OK"/>
    <s v="Valid"/>
    <s v="Unique"/>
    <s v="South"/>
    <s v="First Class"/>
    <s v="Valid"/>
    <x v="8"/>
    <n v="2024"/>
    <s v="Clean"/>
    <s v="OK"/>
    <s v="Valid"/>
    <s v="Missmatched"/>
    <s v="Missmatched"/>
  </r>
  <r>
    <s v="ORD-2024-10450"/>
    <d v="2024-06-06T00:00:00"/>
    <d v="2025-10-19T00:00:00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4271.27"/>
    <x v="449"/>
    <x v="449"/>
    <n v="5350.89"/>
    <n v="0"/>
    <x v="0"/>
    <s v="Paid"/>
    <x v="0"/>
    <n v="500"/>
    <s v="OK"/>
    <s v="Valid"/>
    <s v="Unique"/>
    <s v="East"/>
    <s v="Second Class"/>
    <s v="Valid"/>
    <x v="10"/>
    <n v="2024"/>
    <s v="Clean"/>
    <s v="OK"/>
    <s v="Valid"/>
    <s v="Ok"/>
    <s v="Ok"/>
  </r>
  <r>
    <s v="ORD-2025-10451"/>
    <d v="2025-12-06T00:00:00"/>
    <d v="2025-10-20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5"/>
    <n v="9907.3700000000008"/>
    <x v="450"/>
    <x v="450"/>
    <n v="5472.98"/>
    <n v="21891.909999999996"/>
    <x v="0"/>
    <s v="Paid"/>
    <x v="0"/>
    <n v="-47"/>
    <s v="OK"/>
    <s v="Invalid"/>
    <s v="Unique"/>
    <s v="North"/>
    <s v="Standard Class"/>
    <s v="Valid"/>
    <x v="7"/>
    <n v="2025"/>
    <s v="Invalid"/>
    <s v="Ship Before Order"/>
    <s v="Valid"/>
    <s v="Missmatched"/>
    <s v="Missmatched"/>
  </r>
  <r>
    <s v="ORD-2024-10452"/>
    <d v="2024-03-24T00:00:00"/>
    <d v="2025-10-21T00:00:00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1127.82"/>
    <x v="451"/>
    <x v="451"/>
    <n v="1912.13"/>
    <n v="12747.546666666676"/>
    <x v="0"/>
    <s v="Paid"/>
    <x v="1"/>
    <n v="576"/>
    <s v="OK"/>
    <s v="Valid"/>
    <s v="Unique"/>
    <s v="North"/>
    <s v="Second Class"/>
    <s v="Valid"/>
    <x v="11"/>
    <n v="2024"/>
    <s v="Clean"/>
    <s v="OK"/>
    <s v="Valid"/>
    <s v="Missmatched"/>
    <s v="Missmatched"/>
  </r>
  <r>
    <s v="ORD-2024-10453"/>
    <d v="2024-05-10T00:00:00"/>
    <d v="2025-10-22T00:00:00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"/>
    <n v="5628.93"/>
    <x v="452"/>
    <x v="452"/>
    <n v="4035.05"/>
    <n v="20175.27"/>
    <x v="0"/>
    <s v="Paid"/>
    <x v="0"/>
    <n v="530"/>
    <s v="OK"/>
    <s v="Valid"/>
    <s v="Unique"/>
    <s v="East"/>
    <s v="Second Class"/>
    <s v="Valid"/>
    <x v="3"/>
    <n v="2024"/>
    <s v="Clean"/>
    <s v="OK"/>
    <s v="Valid"/>
    <s v="Missmatched"/>
    <s v="Missmatched"/>
  </r>
  <r>
    <s v="ORD-2025-10454"/>
    <d v="2025-03-05T00:00:00"/>
    <d v="2025-10-23T00:00:00"/>
    <s v="CUST-2317"/>
    <s v="Rohan Mehta"/>
    <x v="1"/>
    <x v="3"/>
    <s v="Madhya Pradesh"/>
    <s v="Indore"/>
    <x v="0"/>
    <x v="7"/>
    <s v="Elite Labels 322"/>
    <x v="1"/>
    <n v="5"/>
    <n v="1483.52"/>
    <n v="0"/>
    <n v="0"/>
    <n v="7417.6"/>
    <n v="4955.8599999999997"/>
    <x v="453"/>
    <x v="453"/>
    <n v="2461.7399999999998"/>
    <n v="0"/>
    <x v="0"/>
    <s v="Paid"/>
    <x v="0"/>
    <n v="232"/>
    <s v="OK"/>
    <s v="Valid"/>
    <s v="Unique"/>
    <s v="West"/>
    <s v="Same Day"/>
    <s v="Valid"/>
    <x v="11"/>
    <n v="2025"/>
    <s v="Clean"/>
    <s v="OK"/>
    <s v="Valid"/>
    <s v="Ok"/>
    <s v="Ok"/>
  </r>
  <r>
    <s v="ORD-2025-10455"/>
    <d v="2025-03-23T00:00:00"/>
    <d v="2025-10-24T00:00:00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0170.43"/>
    <x v="454"/>
    <x v="454"/>
    <n v="5059.2700000000004"/>
    <n v="33728.466666666674"/>
    <x v="0"/>
    <s v="Paid"/>
    <x v="0"/>
    <n v="215"/>
    <s v="OK"/>
    <s v="Valid"/>
    <s v="Unique"/>
    <s v="North"/>
    <s v="Standard Class"/>
    <s v="Valid"/>
    <x v="11"/>
    <n v="2025"/>
    <s v="Clean"/>
    <s v="OK"/>
    <s v="Valid"/>
    <s v="Ok"/>
    <s v="Ok"/>
  </r>
  <r>
    <s v="ORD-2024-10456"/>
    <d v="2024-07-18T00:00:00"/>
    <d v="2025-10-25T00:00:00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1848.6"/>
    <x v="455"/>
    <x v="455"/>
    <n v="1386.48"/>
    <n v="0"/>
    <x v="0"/>
    <s v="Paid"/>
    <x v="0"/>
    <n v="464"/>
    <s v="OK"/>
    <s v="Valid"/>
    <s v="Unique"/>
    <s v="South"/>
    <s v="Standard Class"/>
    <s v="Valid"/>
    <x v="0"/>
    <n v="2024"/>
    <s v="Clean"/>
    <s v="OK"/>
    <s v="Valid"/>
    <s v="Ok"/>
    <s v="Ok"/>
  </r>
  <r>
    <s v="ORD-2024-10457"/>
    <d v="2024-02-20T00:00:00"/>
    <d v="2025-10-26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7"/>
    <n v="6623.61"/>
    <x v="456"/>
    <x v="456"/>
    <n v="4447.26"/>
    <n v="29648.383333333328"/>
    <x v="0"/>
    <s v="Paid"/>
    <x v="2"/>
    <n v="614"/>
    <s v="OK"/>
    <s v="Valid"/>
    <s v="Unique"/>
    <s v="North"/>
    <s v="Same Day"/>
    <s v="Valid"/>
    <x v="5"/>
    <n v="2024"/>
    <s v="Clean"/>
    <s v="OK"/>
    <s v="Valid"/>
    <s v="Missmatched"/>
    <s v="Missmatched"/>
  </r>
  <r>
    <s v="ORD-2024-10458"/>
    <d v="2024-04-05T00:00:00"/>
    <d v="2025-10-27T00:00:00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6603.599999999999"/>
    <x v="457"/>
    <x v="457"/>
    <n v="3356.97"/>
    <n v="0"/>
    <x v="0"/>
    <s v="Paid"/>
    <x v="0"/>
    <n v="570"/>
    <s v="OK"/>
    <s v="Valid"/>
    <s v="Unique"/>
    <s v="West"/>
    <s v="Standard Class"/>
    <s v="Valid"/>
    <x v="9"/>
    <n v="2024"/>
    <s v="Clean"/>
    <s v="OK"/>
    <s v="Valid"/>
    <s v="Ok"/>
    <s v="Ok"/>
  </r>
  <r>
    <s v="ORD-2024-10459"/>
    <d v="2024-10-02T00:00:00"/>
    <d v="2025-10-28T00:00:00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00000000009"/>
    <n v="5378.16"/>
    <x v="458"/>
    <x v="458"/>
    <n v="3217.88"/>
    <n v="32178.84"/>
    <x v="0"/>
    <s v="Paid"/>
    <x v="0"/>
    <n v="391"/>
    <s v="OK"/>
    <s v="Valid"/>
    <s v="Unique"/>
    <s v="North"/>
    <s v="Second Class"/>
    <s v="Valid"/>
    <x v="4"/>
    <n v="2024"/>
    <s v="Clean"/>
    <s v="OK"/>
    <s v="Valid"/>
    <s v="Missmatched"/>
    <s v="Missmatched"/>
  </r>
  <r>
    <s v="ORD-2024-10460"/>
    <d v="2024-03-28T00:00:00"/>
    <d v="2025-10-29T00:00:00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2077.96"/>
    <x v="459"/>
    <x v="459"/>
    <n v="1374.8"/>
    <n v="0"/>
    <x v="0"/>
    <s v="Paid"/>
    <x v="0"/>
    <n v="580"/>
    <s v="OK"/>
    <s v="Valid"/>
    <s v="Unique"/>
    <s v="West"/>
    <s v="First Class"/>
    <s v="Valid"/>
    <x v="11"/>
    <n v="2024"/>
    <s v="Clean"/>
    <s v="OK"/>
    <s v="Valid"/>
    <s v="Ok"/>
    <s v="Ok"/>
  </r>
  <r>
    <s v="ORD-2025-10461"/>
    <d v="2025-09-30T00:00:00"/>
    <d v="2025-10-30T00:00:00"/>
    <s v="CUST-5551"/>
    <s v="Aarav Sharma"/>
    <x v="2"/>
    <x v="4"/>
    <s v="Rajasthan"/>
    <s v="Jaipur"/>
    <x v="2"/>
    <x v="6"/>
    <s v="Eco Copiers 603"/>
    <x v="0"/>
    <n v="9"/>
    <n v="1359.88"/>
    <n v="0.05"/>
    <n v="0.05"/>
    <n v="11626.97"/>
    <n v="7394.07"/>
    <x v="460"/>
    <x v="460"/>
    <n v="4232.8999999999996"/>
    <n v="84658.080000000045"/>
    <x v="0"/>
    <s v="Paid"/>
    <x v="0"/>
    <n v="30"/>
    <s v="OK"/>
    <s v="Valid"/>
    <s v="Unique"/>
    <s v="Unknown"/>
    <s v="Second Class"/>
    <s v="Valid"/>
    <x v="6"/>
    <n v="2025"/>
    <s v="Clean"/>
    <s v="OK"/>
    <s v="Valid"/>
    <s v="Missmatched"/>
    <s v="Missmatched"/>
  </r>
  <r>
    <s v="ORD-2025-10462"/>
    <d v="2025-05-25T00:00:00"/>
    <d v="2025-10-31T00:00:00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7052.08"/>
    <x v="461"/>
    <x v="461"/>
    <n v="1562.2"/>
    <n v="10414.683333333342"/>
    <x v="0"/>
    <s v="Paid"/>
    <x v="0"/>
    <n v="159"/>
    <s v="OK"/>
    <s v="Valid"/>
    <s v="Unique"/>
    <s v="South"/>
    <s v="Standard Class"/>
    <s v="Valid"/>
    <x v="3"/>
    <n v="2025"/>
    <s v="Clean"/>
    <s v="OK"/>
    <s v="Valid"/>
    <s v="Missmatched"/>
    <s v="Missmatched"/>
  </r>
  <r>
    <s v="ORD-2024-10463"/>
    <d v="2024-09-23T00:00:00"/>
    <d v="2025-11-01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"/>
    <n v="1395.71"/>
    <x v="462"/>
    <x v="462"/>
    <n v="644.51"/>
    <n v="3222.5700000000006"/>
    <x v="0"/>
    <s v="Paid"/>
    <x v="0"/>
    <n v="404"/>
    <s v="OK"/>
    <s v="Valid"/>
    <s v="Unique"/>
    <s v="North"/>
    <s v="First Class"/>
    <s v="Valid"/>
    <x v="6"/>
    <n v="2024"/>
    <s v="Clean"/>
    <s v="OK"/>
    <s v="Valid"/>
    <s v="Missmatched"/>
    <s v="Missmatched"/>
  </r>
  <r>
    <s v="ORD-2025-10464"/>
    <d v="2025-02-07T00:00:00"/>
    <d v="2025-11-02T00:00:00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2132.37"/>
    <x v="463"/>
    <x v="463"/>
    <n v="714.03"/>
    <n v="3570.150000000001"/>
    <x v="0"/>
    <s v="Paid"/>
    <x v="0"/>
    <n v="268"/>
    <s v="OK"/>
    <s v="Valid"/>
    <s v="Unique"/>
    <s v="West"/>
    <s v="Standard Class"/>
    <s v="Valid"/>
    <x v="5"/>
    <n v="2025"/>
    <s v="Clean"/>
    <s v="OK"/>
    <s v="Valid"/>
    <s v="Ok"/>
    <s v="Ok"/>
  </r>
  <r>
    <s v="ORD-2025-10465"/>
    <d v="2025-03-11T00:00:00"/>
    <d v="2025-11-03T00:00:00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8"/>
    <n v="7131.91"/>
    <x v="464"/>
    <x v="464"/>
    <n v="3199.57"/>
    <n v="63991.359999999986"/>
    <x v="2"/>
    <s v="Pending"/>
    <x v="1"/>
    <n v="237"/>
    <s v="OK"/>
    <s v="Valid"/>
    <s v="Unique"/>
    <s v="East"/>
    <s v="Same Day"/>
    <s v="Valid"/>
    <x v="11"/>
    <n v="2025"/>
    <s v="Clean"/>
    <s v="OK"/>
    <s v="Valid"/>
    <s v="Missmatched"/>
    <s v="Missmatched"/>
  </r>
  <r>
    <s v="ORD-2024-10466"/>
    <d v="2024-01-29T00:00:00"/>
    <d v="2025-11-04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0"/>
    <n v="2517.8000000000002"/>
    <n v="1478.54"/>
    <x v="465"/>
    <x v="465"/>
    <n v="1039.26"/>
    <n v="0"/>
    <x v="0"/>
    <s v="Paid"/>
    <x v="0"/>
    <n v="645"/>
    <s v="OK"/>
    <s v="Valid"/>
    <s v="Unique"/>
    <s v="West"/>
    <s v="Standard Class"/>
    <s v="Valid"/>
    <x v="8"/>
    <n v="2024"/>
    <s v="Clean"/>
    <s v="OK"/>
    <s v="Valid"/>
    <s v="Ok"/>
    <s v="Ok"/>
  </r>
  <r>
    <s v="ORD-2024-10467"/>
    <d v="2024-01-04T00:00:00"/>
    <d v="2025-11-05T00:00:00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"/>
    <n v="7105.48"/>
    <x v="466"/>
    <x v="466"/>
    <n v="4356.63"/>
    <n v="21783.160000000007"/>
    <x v="0"/>
    <s v="Paid"/>
    <x v="0"/>
    <n v="671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4-10468"/>
    <d v="2024-08-20T00:00:00"/>
    <d v="2025-11-06T00:00:00"/>
    <s v="CUST-9470"/>
    <s v="Aditi Sen"/>
    <x v="2"/>
    <x v="1"/>
    <s v="Odisha"/>
    <s v="Bhubaneswar"/>
    <x v="2"/>
    <x v="6"/>
    <s v="Max Copiers 867"/>
    <x v="2"/>
    <n v="5"/>
    <n v="4288.33"/>
    <n v="0.1"/>
    <n v="0.1"/>
    <n v="19297.490000000002"/>
    <n v="15451.66"/>
    <x v="467"/>
    <x v="467"/>
    <n v="3845.83"/>
    <n v="38458.250000000007"/>
    <x v="1"/>
    <s v="Refunded"/>
    <x v="1"/>
    <n v="443"/>
    <s v="OK"/>
    <s v="Valid"/>
    <s v="Unique"/>
    <s v="East"/>
    <s v="First Class"/>
    <s v="Valid"/>
    <x v="1"/>
    <n v="2024"/>
    <s v="Clean"/>
    <s v="OK"/>
    <s v="Valid"/>
    <s v="Missmatched"/>
    <s v="Missmatched"/>
  </r>
  <r>
    <s v="ORD-2025-10469"/>
    <d v="2025-09-01T00:00:00"/>
    <d v="2025-11-07T00:00:00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5407.24"/>
    <x v="468"/>
    <x v="468"/>
    <n v="1157.75"/>
    <n v="0"/>
    <x v="0"/>
    <s v="Paid"/>
    <x v="0"/>
    <n v="67"/>
    <s v="OK"/>
    <s v="Valid"/>
    <s v="Unique"/>
    <s v="East"/>
    <s v="Second Class"/>
    <s v="Valid"/>
    <x v="6"/>
    <n v="2025"/>
    <s v="Clean"/>
    <s v="OK"/>
    <s v="Valid"/>
    <s v="Ok"/>
    <s v="Ok"/>
  </r>
  <r>
    <s v="ORD-2024-10470"/>
    <d v="2024-01-19T00:00:00"/>
    <d v="2025-11-08T00:00:00"/>
    <s v="CUST-3448"/>
    <s v="Aditi Sen"/>
    <x v="2"/>
    <x v="3"/>
    <s v="Goa"/>
    <s v="Panaji"/>
    <x v="2"/>
    <x v="6"/>
    <s v="Pro Copiers 971"/>
    <x v="2"/>
    <n v="3"/>
    <n v="1041.6600000000001"/>
    <n v="0.1"/>
    <n v="0.1"/>
    <n v="2812.48"/>
    <n v="2282.12"/>
    <x v="469"/>
    <x v="469"/>
    <n v="530.36"/>
    <n v="5303.6200000000053"/>
    <x v="0"/>
    <s v="Paid"/>
    <x v="0"/>
    <n v="659"/>
    <s v="OK"/>
    <s v="Valid"/>
    <s v="Unique"/>
    <s v="West"/>
    <s v="First Class"/>
    <s v="Valid"/>
    <x v="8"/>
    <n v="2024"/>
    <s v="Clean"/>
    <s v="OK"/>
    <s v="Valid"/>
    <s v="Missmatched"/>
    <s v="Missmatched"/>
  </r>
  <r>
    <s v="ORD-2024-10471"/>
    <d v="2024-07-28T00:00:00"/>
    <d v="2025-11-09T00:00:00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5"/>
    <n v="4465.91"/>
    <x v="470"/>
    <x v="470"/>
    <n v="2613.7399999999998"/>
    <n v="13068.69"/>
    <x v="0"/>
    <s v="Paid"/>
    <x v="0"/>
    <n v="469"/>
    <s v="OK"/>
    <s v="Valid"/>
    <s v="Unique"/>
    <s v="North"/>
    <s v="Same Day"/>
    <s v="Valid"/>
    <x v="0"/>
    <n v="2024"/>
    <s v="Clean"/>
    <s v="OK"/>
    <s v="Valid"/>
    <s v="Missmatched"/>
    <s v="Missmatched"/>
  </r>
  <r>
    <s v="ORD-2024-10472"/>
    <d v="2024-02-11T00:00:00"/>
    <d v="2025-11-10T00:00:00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7"/>
    <n v="4985.22"/>
    <x v="471"/>
    <x v="471"/>
    <n v="1807.85"/>
    <n v="7231.380000000001"/>
    <x v="0"/>
    <s v="Paid"/>
    <x v="0"/>
    <n v="638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473"/>
    <d v="2024-03-02T00:00:00"/>
    <d v="2025-11-11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2"/>
    <n v="1094.21"/>
    <x v="472"/>
    <x v="472"/>
    <n v="750.01"/>
    <n v="0"/>
    <x v="0"/>
    <s v="Paid"/>
    <x v="0"/>
    <n v="619"/>
    <s v="OK"/>
    <s v="Valid"/>
    <s v="Unique"/>
    <s v="East"/>
    <s v="Standard Class"/>
    <s v="Valid"/>
    <x v="11"/>
    <n v="2024"/>
    <s v="Clean"/>
    <s v="OK"/>
    <s v="Valid"/>
    <s v="Ok"/>
    <s v="Ok"/>
  </r>
  <r>
    <s v="ORD-2024-10474"/>
    <d v="2024-11-13T00:00:00"/>
    <d v="2025-11-12T00:00:00"/>
    <s v="CUST-2794"/>
    <s v="Priya Menon"/>
    <x v="0"/>
    <x v="3"/>
    <s v="Goa"/>
    <s v="Panaji"/>
    <x v="2"/>
    <x v="6"/>
    <s v="Max Copiers 829"/>
    <x v="3"/>
    <n v="6"/>
    <n v="191.45"/>
    <n v="0.2"/>
    <n v="0.2"/>
    <n v="918.96"/>
    <n v="554.17999999999995"/>
    <x v="473"/>
    <x v="473"/>
    <n v="364.78"/>
    <n v="1823.8999999999999"/>
    <x v="0"/>
    <s v="Paid"/>
    <x v="0"/>
    <n v="364"/>
    <s v="OK"/>
    <s v="Valid"/>
    <s v="Unique"/>
    <s v="West"/>
    <s v="Standard Class"/>
    <s v="Valid"/>
    <x v="2"/>
    <n v="2024"/>
    <s v="Clean"/>
    <s v="OK"/>
    <s v="Valid"/>
    <s v="Ok"/>
    <s v="Ok"/>
  </r>
  <r>
    <s v="ORD-2024-10475"/>
    <d v="2024-06-03T00:00:00"/>
    <d v="2025-11-13T00:00:00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2713.9"/>
    <x v="474"/>
    <x v="474"/>
    <n v="2186.81"/>
    <n v="0"/>
    <x v="0"/>
    <s v="Paid"/>
    <x v="0"/>
    <n v="528"/>
    <s v="OK"/>
    <s v="Valid"/>
    <s v="Unique"/>
    <s v="North"/>
    <s v="Standard Class"/>
    <s v="Valid"/>
    <x v="10"/>
    <n v="2024"/>
    <s v="Clean"/>
    <s v="OK"/>
    <s v="Valid"/>
    <s v="Ok"/>
    <s v="Ok"/>
  </r>
  <r>
    <s v="ORD-2025-10476"/>
    <d v="2025-01-03T00:00:00"/>
    <d v="2025-11-14T00:00:00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19999999998"/>
    <n v="15873.38"/>
    <x v="475"/>
    <x v="475"/>
    <n v="4399.54"/>
    <n v="17598.160000000011"/>
    <x v="2"/>
    <s v="Pending"/>
    <x v="2"/>
    <n v="315"/>
    <s v="OK"/>
    <s v="Valid"/>
    <s v="Unique"/>
    <s v="East"/>
    <s v="Same Day"/>
    <s v="Valid"/>
    <x v="8"/>
    <n v="2025"/>
    <s v="Clean"/>
    <s v="OK"/>
    <s v="Valid"/>
    <s v="Ok"/>
    <s v="Ok"/>
  </r>
  <r>
    <s v="ORD-2024-10477"/>
    <d v="2024-07-05T00:00:00"/>
    <d v="2025-11-15T00:00:00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7"/>
    <n v="595.41999999999996"/>
    <x v="476"/>
    <x v="476"/>
    <n v="440.25"/>
    <n v="4402.4599999999991"/>
    <x v="0"/>
    <s v="Paid"/>
    <x v="0"/>
    <n v="498"/>
    <s v="OK"/>
    <s v="Valid"/>
    <s v="Unique"/>
    <s v="North"/>
    <s v="First Class"/>
    <s v="Valid"/>
    <x v="0"/>
    <n v="2024"/>
    <s v="Clean"/>
    <s v="OK"/>
    <s v="Valid"/>
    <s v="Missmatched"/>
    <s v="Missmatched"/>
  </r>
  <r>
    <s v="ORD-2025-10478"/>
    <d v="2025-08-23T00:00:00"/>
    <d v="2025-11-16T00:00:00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"/>
    <n v="9356.8799999999992"/>
    <x v="477"/>
    <x v="477"/>
    <n v="2486.56"/>
    <n v="24865.620000000017"/>
    <x v="0"/>
    <s v="Paid"/>
    <x v="1"/>
    <n v="85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4-10479"/>
    <d v="2024-09-06T00:00:00"/>
    <d v="2025-11-17T00:00:00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14571.48"/>
    <x v="478"/>
    <x v="478"/>
    <n v="11130.69"/>
    <n v="111306.93000000002"/>
    <x v="1"/>
    <s v="Refunded"/>
    <x v="2"/>
    <n v="437"/>
    <s v="OK"/>
    <s v="Valid"/>
    <s v="Unique"/>
    <s v="Unknown"/>
    <s v="Same Day"/>
    <s v="Valid"/>
    <x v="6"/>
    <n v="2024"/>
    <s v="Clean"/>
    <s v="OK"/>
    <s v="Valid"/>
    <s v="Missmatched"/>
    <s v="Missmatched"/>
  </r>
  <r>
    <s v="ORD-2024-10480"/>
    <d v="2024-02-23T00:00:00"/>
    <d v="2025-11-18T00:00:00"/>
    <s v="CUST-7520"/>
    <s v="Arjun Bose"/>
    <x v="2"/>
    <x v="1"/>
    <s v="Odisha"/>
    <s v="Bhubaneswar"/>
    <x v="1"/>
    <x v="4"/>
    <s v="Max Chairs 594"/>
    <x v="0"/>
    <n v="1"/>
    <n v="2202.5500000000002"/>
    <m/>
    <n v="0"/>
    <n v="1651.91"/>
    <n v="1034.57"/>
    <x v="479"/>
    <x v="479"/>
    <n v="617.34"/>
    <n v="0"/>
    <x v="0"/>
    <s v="Paid"/>
    <x v="0"/>
    <n v="634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481"/>
    <d v="2025-05-01T00:00:00"/>
    <d v="2025-11-19T00:00:00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2714.51"/>
    <x v="480"/>
    <x v="480"/>
    <n v="1811.29"/>
    <n v="0"/>
    <x v="0"/>
    <s v="Paid"/>
    <x v="0"/>
    <n v="202"/>
    <s v="OK"/>
    <s v="Valid"/>
    <s v="Unique"/>
    <s v="South"/>
    <s v="Unknown"/>
    <s v="Valid"/>
    <x v="3"/>
    <n v="2025"/>
    <s v="Clean"/>
    <s v="OK"/>
    <s v="Valid"/>
    <s v="Ok"/>
    <s v="Ok"/>
  </r>
  <r>
    <s v="ORD-2025-10482"/>
    <d v="2025-05-06T00:00:00"/>
    <d v="2025-11-20T00:00:00"/>
    <s v="CUST-4403"/>
    <s v="Isha Nair"/>
    <x v="0"/>
    <x v="0"/>
    <s v="Uttar Pradesh"/>
    <s v="Noida"/>
    <x v="2"/>
    <x v="12"/>
    <s v="Classic Machines 287"/>
    <x v="1"/>
    <n v="4"/>
    <n v="2793.88"/>
    <s v="85%"/>
    <s v="85%"/>
    <n v="10616.74"/>
    <n v="6353.59"/>
    <x v="481"/>
    <x v="481"/>
    <n v="4263.1499999999996"/>
    <n v="-5502.6611764705876"/>
    <x v="0"/>
    <s v="Paid"/>
    <x v="0"/>
    <n v="198"/>
    <s v="OK"/>
    <s v="Valid"/>
    <s v="Unique"/>
    <s v="North"/>
    <s v="Same Day"/>
    <s v="Invalid"/>
    <x v="3"/>
    <n v="2025"/>
    <s v="Clean"/>
    <s v="OK"/>
    <s v="Valid"/>
    <s v="Missmatched"/>
    <s v="Missmatched"/>
  </r>
  <r>
    <s v="ORD-2024-10483"/>
    <d v="2024-07-22T00:00:00"/>
    <d v="2025-11-21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"/>
    <n v="1856.03"/>
    <x v="482"/>
    <x v="482"/>
    <n v="1037.96"/>
    <n v="4151.8599999999997"/>
    <x v="0"/>
    <s v="Paid"/>
    <x v="0"/>
    <n v="487"/>
    <s v="OK"/>
    <s v="Valid"/>
    <s v="Unique"/>
    <s v="South"/>
    <s v="Second Class"/>
    <s v="Valid"/>
    <x v="0"/>
    <n v="2024"/>
    <s v="Clean"/>
    <s v="OK"/>
    <s v="Valid"/>
    <s v="Missmatched"/>
    <s v="Missmatched"/>
  </r>
  <r>
    <s v="ORD-2024-10484"/>
    <d v="2024-12-25T00:00:00"/>
    <d v="2025-11-22T00:00:00"/>
    <s v="CUST-9432"/>
    <s v="Mira Das"/>
    <x v="2"/>
    <x v="1"/>
    <s v="Bihar"/>
    <s v="Patna"/>
    <x v="2"/>
    <x v="6"/>
    <s v="Pro Copiers 984"/>
    <x v="3"/>
    <n v="1"/>
    <n v="829.66"/>
    <n v="0.15"/>
    <n v="0.15"/>
    <n v="705.21"/>
    <n v="438.32"/>
    <x v="483"/>
    <x v="483"/>
    <n v="266.89"/>
    <n v="1779.2733333333329"/>
    <x v="0"/>
    <s v="Paid"/>
    <x v="0"/>
    <n v="332"/>
    <s v="OK"/>
    <s v="Valid"/>
    <s v="Unique"/>
    <s v="East"/>
    <s v="Standard Class"/>
    <s v="Valid"/>
    <x v="7"/>
    <n v="2024"/>
    <s v="Clean"/>
    <s v="OK"/>
    <s v="Valid"/>
    <s v="Missmatched"/>
    <s v="Missmatched"/>
  </r>
  <r>
    <s v="ORD-2024-10485"/>
    <d v="2024-12-28T00:00:00"/>
    <d v="2025-11-23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3679.24"/>
    <x v="484"/>
    <x v="484"/>
    <n v="2706.25"/>
    <n v="10824.999999999993"/>
    <x v="0"/>
    <s v="Paid"/>
    <x v="0"/>
    <n v="330"/>
    <s v="OK"/>
    <s v="Valid"/>
    <s v="Unique"/>
    <s v="South"/>
    <s v="First Class"/>
    <s v="Valid"/>
    <x v="7"/>
    <n v="2024"/>
    <s v="Clean"/>
    <s v="OK"/>
    <s v="Valid"/>
    <s v="Ok"/>
    <s v="Ok"/>
  </r>
  <r>
    <s v="ORD-2025-10486"/>
    <d v="2025-01-22T00:00:00"/>
    <d v="2025-11-24T00:00:00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5595.6"/>
    <x v="485"/>
    <x v="485"/>
    <n v="2069.9699999999998"/>
    <n v="8279.8799999999974"/>
    <x v="0"/>
    <s v="Paid"/>
    <x v="0"/>
    <n v="306"/>
    <s v="OK"/>
    <s v="Valid"/>
    <s v="Unique"/>
    <s v="West"/>
    <s v="Standard Class"/>
    <s v="Valid"/>
    <x v="8"/>
    <n v="2025"/>
    <s v="Clean"/>
    <s v="OK"/>
    <s v="Valid"/>
    <s v="Ok"/>
    <s v="Ok"/>
  </r>
  <r>
    <s v="ORD-2025-10487"/>
    <d v="2025-06-22T00:00:00"/>
    <d v="2025-11-25T00:00:00"/>
    <s v="CUST-8132"/>
    <s v="Rahul Verma"/>
    <x v="2"/>
    <x v="3"/>
    <s v="Goa"/>
    <s v="Panaji"/>
    <x v="1"/>
    <x v="1"/>
    <s v="Pro Tables 257"/>
    <x v="3"/>
    <n v="3"/>
    <n v="1946.18"/>
    <n v="0.2"/>
    <n v="0.2"/>
    <n v="4670.83"/>
    <n v="3166.49"/>
    <x v="486"/>
    <x v="486"/>
    <n v="1504.34"/>
    <n v="7521.7100000000028"/>
    <x v="0"/>
    <s v="Paid"/>
    <x v="0"/>
    <n v="156"/>
    <s v="OK"/>
    <s v="Valid"/>
    <s v="Unique"/>
    <s v="West"/>
    <s v="Standard Class"/>
    <s v="Valid"/>
    <x v="10"/>
    <n v="2025"/>
    <s v="Clean"/>
    <s v="OK"/>
    <s v="Valid"/>
    <s v="Missmatched"/>
    <s v="Missmatched"/>
  </r>
  <r>
    <s v="ORD-2025-10488"/>
    <d v="2025-10-06T00:00:00"/>
    <d v="2025-11-26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4282.09"/>
    <x v="487"/>
    <x v="487"/>
    <n v="1873.41"/>
    <n v="0"/>
    <x v="1"/>
    <s v="Refunded"/>
    <x v="2"/>
    <n v="51"/>
    <s v="OK"/>
    <s v="Valid"/>
    <s v="Unique"/>
    <s v="South"/>
    <s v="Standard Class"/>
    <s v="Valid"/>
    <x v="4"/>
    <n v="2025"/>
    <s v="Clean"/>
    <s v="OK"/>
    <s v="Valid"/>
    <s v="Ok"/>
    <s v="Ok"/>
  </r>
  <r>
    <s v="ORD-2024-10489"/>
    <d v="2024-10-14T00:00:00"/>
    <d v="2025-11-27T00:00:00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5967.44"/>
    <x v="488"/>
    <x v="488"/>
    <n v="2699.12"/>
    <n v="13495.599999999999"/>
    <x v="0"/>
    <s v="Paid"/>
    <x v="0"/>
    <n v="409"/>
    <s v="OK"/>
    <s v="Valid"/>
    <s v="Unique"/>
    <s v="North"/>
    <s v="Same Day"/>
    <s v="Valid"/>
    <x v="4"/>
    <n v="2024"/>
    <s v="Clean"/>
    <s v="OK"/>
    <s v="Valid"/>
    <s v="Ok"/>
    <s v="Ok"/>
  </r>
  <r>
    <s v="ORD-2024-10490"/>
    <d v="2024-07-02T00:00:00"/>
    <d v="2025-11-28T00:00:00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"/>
    <n v="262.52999999999997"/>
    <x v="489"/>
    <x v="489"/>
    <n v="99.22"/>
    <n v="496.11000000000018"/>
    <x v="0"/>
    <s v="Paid"/>
    <x v="0"/>
    <n v="514"/>
    <s v="OK"/>
    <s v="Valid"/>
    <s v="Unique"/>
    <s v="East"/>
    <s v="Second Class"/>
    <s v="Valid"/>
    <x v="0"/>
    <n v="2024"/>
    <s v="Clean"/>
    <s v="OK"/>
    <s v="Valid"/>
    <s v="Missmatched"/>
    <s v="Missmatched"/>
  </r>
  <r>
    <s v="ORD-2024-10491"/>
    <d v="2024-09-16T00:00:00"/>
    <d v="2025-11-29T00:00:00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9999999998"/>
    <n v="1613.82"/>
    <x v="490"/>
    <x v="490"/>
    <n v="804.38"/>
    <n v="5362.5266666666676"/>
    <x v="0"/>
    <s v="Paid"/>
    <x v="0"/>
    <n v="439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5-10492"/>
    <d v="2025-04-29T00:00:00"/>
    <d v="2025-11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6"/>
    <n v="1207.42"/>
    <x v="491"/>
    <x v="491"/>
    <n v="733.64"/>
    <n v="3668.1800000000007"/>
    <x v="0"/>
    <s v="Paid"/>
    <x v="0"/>
    <n v="21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5-10493"/>
    <d v="2025-06-28T00:00:00"/>
    <d v="2025-12-01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3205.68"/>
    <x v="492"/>
    <x v="492"/>
    <n v="882.48"/>
    <n v="3529.92"/>
    <x v="0"/>
    <s v="Paid"/>
    <x v="0"/>
    <n v="156"/>
    <s v="OK"/>
    <s v="Valid"/>
    <s v="Unique"/>
    <s v="South"/>
    <s v="Second Class"/>
    <s v="Valid"/>
    <x v="10"/>
    <n v="2025"/>
    <s v="Clean"/>
    <s v="OK"/>
    <s v="Valid"/>
    <s v="Ok"/>
    <s v="Ok"/>
  </r>
  <r>
    <s v="ORD-2025-10494"/>
    <d v="2025-02-13T00:00:00"/>
    <d v="2025-12-02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1088.76"/>
    <x v="493"/>
    <x v="493"/>
    <n v="4184.29"/>
    <n v="83685.899999999921"/>
    <x v="0"/>
    <s v="Paid"/>
    <x v="0"/>
    <n v="292"/>
    <s v="OK"/>
    <s v="Valid"/>
    <s v="Unique"/>
    <s v="East"/>
    <s v="Second Class"/>
    <s v="Valid"/>
    <x v="5"/>
    <n v="2025"/>
    <s v="Clean"/>
    <s v="OK"/>
    <s v="Valid"/>
    <s v="Missmatched"/>
    <s v="Missmatched"/>
  </r>
  <r>
    <s v="ORD-2024-10495"/>
    <d v="2024-11-14T00:00:00"/>
    <d v="2025-12-03T00:00:00"/>
    <s v="CUST-9056"/>
    <s v="Isha Nair"/>
    <x v="0"/>
    <x v="3"/>
    <s v="Madhya Pradesh"/>
    <s v="Indore"/>
    <x v="2"/>
    <x v="11"/>
    <s v="Smart Phones 125"/>
    <x v="3"/>
    <n v="3"/>
    <n v="671.68"/>
    <n v="-0.13"/>
    <n v="-0.13"/>
    <n v="1712.78"/>
    <n v="1569.38"/>
    <x v="494"/>
    <x v="494"/>
    <n v="360.66"/>
    <n v="-5443.1938461538439"/>
    <x v="3"/>
    <s v="Failed"/>
    <x v="1"/>
    <n v="384"/>
    <s v="OK"/>
    <s v="Valid"/>
    <s v="Unique"/>
    <s v="West"/>
    <s v="Standard Class"/>
    <s v="Invalid"/>
    <x v="2"/>
    <n v="2024"/>
    <s v="Clean"/>
    <s v="OK"/>
    <s v="Valid"/>
    <s v="Missmatched"/>
    <s v="Missmatched"/>
  </r>
  <r>
    <s v="ORD-2024-10496"/>
    <d v="2024-09-05T00:00:00"/>
    <d v="2025-12-04T00:00:00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"/>
    <n v="2419.2399999999998"/>
    <x v="495"/>
    <x v="495"/>
    <n v="1365.48"/>
    <n v="27309.679999999997"/>
    <x v="1"/>
    <s v="Refunded"/>
    <x v="2"/>
    <n v="455"/>
    <s v="OK"/>
    <s v="Valid"/>
    <s v="Unique"/>
    <s v="East"/>
    <s v="Second Class"/>
    <s v="Valid"/>
    <x v="6"/>
    <n v="2024"/>
    <s v="Clean"/>
    <s v="OK"/>
    <s v="Valid"/>
    <s v="Missmatched"/>
    <s v="Missmatched"/>
  </r>
  <r>
    <s v="ORD-2025-10497"/>
    <d v="2025-04-07T00:00:00"/>
    <d v="2025-12-05T00:00:00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6"/>
    <n v="3652.91"/>
    <x v="496"/>
    <x v="496"/>
    <n v="2982.65"/>
    <n v="29826.460000000006"/>
    <x v="0"/>
    <s v="Paid"/>
    <x v="0"/>
    <n v="242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498"/>
    <d v="2024-08-29T00:00:00"/>
    <d v="2025-12-06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"/>
    <n v="2028.43"/>
    <x v="497"/>
    <x v="497"/>
    <n v="457.07"/>
    <n v="2285.3700000000013"/>
    <x v="0"/>
    <s v="Paid"/>
    <x v="1"/>
    <n v="464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5-10499"/>
    <d v="2025-07-09T00:00:00"/>
    <d v="2025-12-07T00:00:00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5"/>
    <n v="600.98"/>
    <x v="498"/>
    <x v="498"/>
    <n v="249.37"/>
    <n v="4987.3"/>
    <x v="1"/>
    <s v="Refunded"/>
    <x v="1"/>
    <n v="151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4-10500"/>
    <d v="2024-12-22T00:00:00"/>
    <d v="2025-12-08T00:00:00"/>
    <s v="CUST-5604"/>
    <s v="Rahul Verma"/>
    <x v="3"/>
    <x v="0"/>
    <s v="Uttar Pradesh"/>
    <s v="Noida"/>
    <x v="1"/>
    <x v="4"/>
    <s v="Eco Chairs 210"/>
    <x v="3"/>
    <n v="9"/>
    <n v="1110.8699999999999"/>
    <m/>
    <n v="0"/>
    <n v="7498.37"/>
    <n v="6059.07"/>
    <x v="499"/>
    <x v="499"/>
    <n v="1439.3"/>
    <n v="0"/>
    <x v="0"/>
    <s v="Paid"/>
    <x v="1"/>
    <n v="351"/>
    <s v="OK"/>
    <s v="Valid"/>
    <s v="Unique"/>
    <s v="North"/>
    <s v="Standard Class"/>
    <s v="Valid"/>
    <x v="7"/>
    <n v="2024"/>
    <s v="Clean"/>
    <s v="OK"/>
    <s v="Valid"/>
    <s v="Missmatched"/>
    <s v="Missmatched"/>
  </r>
  <r>
    <s v="ORD-2024-10501"/>
    <d v="2024-05-17T00:00:00"/>
    <d v="2025-12-09T00:00:00"/>
    <s v="CUST-7661"/>
    <s v="Sneha Kapoor"/>
    <x v="0"/>
    <x v="2"/>
    <s v="Kerala"/>
    <s v="Kochi"/>
    <x v="2"/>
    <x v="11"/>
    <s v="Prime Phones 533"/>
    <x v="1"/>
    <n v="9"/>
    <n v="3795.99"/>
    <s v="85%"/>
    <s v="85%"/>
    <n v="34163.910000000003"/>
    <n v="28577.15"/>
    <x v="500"/>
    <x v="500"/>
    <n v="5586.76"/>
    <n v="-27591.251176470589"/>
    <x v="0"/>
    <s v="Paid"/>
    <x v="0"/>
    <n v="571"/>
    <s v="OK"/>
    <s v="Valid"/>
    <s v="Unique"/>
    <s v="South"/>
    <s v="Same Day"/>
    <s v="Invalid"/>
    <x v="3"/>
    <n v="2024"/>
    <s v="Clean"/>
    <s v="OK"/>
    <s v="Valid"/>
    <s v="Missmatched"/>
    <s v="Missmatched"/>
  </r>
  <r>
    <s v="ORD-2024-10502"/>
    <d v="2024-11-08T00:00:00"/>
    <d v="2025-12-10T00:00:00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"/>
    <n v="13627.02"/>
    <x v="501"/>
    <x v="501"/>
    <n v="4210.43"/>
    <n v="28069.559999999983"/>
    <x v="0"/>
    <s v="Paid"/>
    <x v="0"/>
    <n v="397"/>
    <s v="OK"/>
    <s v="Valid"/>
    <s v="Unique"/>
    <s v="East"/>
    <s v="Second Class"/>
    <s v="Valid"/>
    <x v="2"/>
    <n v="2024"/>
    <s v="Clean"/>
    <s v="OK"/>
    <s v="Valid"/>
    <s v="Missmatched"/>
    <s v="Missmatched"/>
  </r>
  <r>
    <s v="ORD-2024-10503"/>
    <d v="2024-01-04T00:00:00"/>
    <d v="2025-12-11T00:00:00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3377.1"/>
    <x v="502"/>
    <x v="502"/>
    <n v="1088.32"/>
    <n v="10883.220000000005"/>
    <x v="0"/>
    <s v="Paid"/>
    <x v="0"/>
    <n v="707"/>
    <s v="OK"/>
    <s v="Valid"/>
    <s v="Duplicate"/>
    <s v="East"/>
    <s v="Second Class"/>
    <s v="Valid"/>
    <x v="8"/>
    <n v="2024"/>
    <s v="Clean"/>
    <s v="OK"/>
    <s v="Valid"/>
    <s v="Missmatched"/>
    <s v="Missmatched"/>
  </r>
  <r>
    <s v="ORD-2024-10504"/>
    <d v="2024-09-28T00:00:00"/>
    <d v="2025-12-12T00:00:00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7160.31"/>
    <x v="503"/>
    <x v="503"/>
    <n v="3433.77"/>
    <n v="34337.69999999999"/>
    <x v="0"/>
    <s v="Paid"/>
    <x v="0"/>
    <n v="440"/>
    <s v="OK"/>
    <s v="Valid"/>
    <s v="Unique"/>
    <s v="South"/>
    <s v="Standard Class"/>
    <s v="Valid"/>
    <x v="6"/>
    <n v="2024"/>
    <s v="Clean"/>
    <s v="OK"/>
    <s v="Valid"/>
    <s v="Ok"/>
    <s v="Ok"/>
  </r>
  <r>
    <s v="ORD-2025-10505"/>
    <d v="2025-12-02T00:00:00"/>
    <d v="2025-12-13T00:00:00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4424.22"/>
    <x v="504"/>
    <x v="504"/>
    <n v="2888.26"/>
    <n v="0"/>
    <x v="0"/>
    <s v="Paid"/>
    <x v="0"/>
    <n v="11"/>
    <s v="OK"/>
    <s v="Valid"/>
    <s v="Unique"/>
    <s v="West"/>
    <s v="Standard Class"/>
    <s v="Valid"/>
    <x v="7"/>
    <n v="2025"/>
    <s v="Clean"/>
    <s v="OK"/>
    <s v="Valid"/>
    <s v="Ok"/>
    <s v="Ok"/>
  </r>
  <r>
    <s v="ORD-2024-10506"/>
    <d v="2024-09-11T00:00:00"/>
    <d v="2025-12-14T00:00:00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3293.2"/>
    <x v="505"/>
    <x v="505"/>
    <n v="4262.49"/>
    <n v="21312.440000000006"/>
    <x v="0"/>
    <s v="Paid"/>
    <x v="1"/>
    <n v="459"/>
    <s v="OK"/>
    <s v="Valid"/>
    <s v="Unique"/>
    <s v="West"/>
    <s v="First Class"/>
    <s v="Valid"/>
    <x v="6"/>
    <n v="2024"/>
    <s v="Clean"/>
    <s v="OK"/>
    <s v="Valid"/>
    <s v="Missmatched"/>
    <s v="Missmatched"/>
  </r>
  <r>
    <s v="ORD-2024-10507"/>
    <d v="2024-12-15T00:00:00"/>
    <d v="2025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842.07"/>
    <x v="506"/>
    <x v="506"/>
    <n v="363.57"/>
    <n v="3635.699999999998"/>
    <x v="1"/>
    <s v="Refunded"/>
    <x v="2"/>
    <n v="365"/>
    <s v="OK"/>
    <s v="Valid"/>
    <s v="Unique"/>
    <s v="North"/>
    <s v="First Class"/>
    <s v="Valid"/>
    <x v="7"/>
    <n v="2024"/>
    <s v="Clean"/>
    <s v="OK"/>
    <s v="Valid"/>
    <s v="Ok"/>
    <s v="Ok"/>
  </r>
  <r>
    <s v="ORD-2025-10508"/>
    <d v="2025-04-15T00:00:00"/>
    <d v="2025-12-16T00:00:00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6814.35"/>
    <x v="507"/>
    <x v="507"/>
    <n v="2156.91"/>
    <n v="8627.64"/>
    <x v="0"/>
    <s v="Paid"/>
    <x v="0"/>
    <n v="245"/>
    <s v="OK"/>
    <s v="Valid"/>
    <s v="Unique"/>
    <s v="North"/>
    <s v="Same Day"/>
    <s v="Valid"/>
    <x v="9"/>
    <n v="2025"/>
    <s v="Clean"/>
    <s v="OK"/>
    <s v="Valid"/>
    <s v="Ok"/>
    <s v="Ok"/>
  </r>
  <r>
    <s v="ORD-2024-10509"/>
    <d v="2024-03-31T00:00:00"/>
    <d v="2025-12-17T00:00:00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4179.63"/>
    <x v="508"/>
    <x v="508"/>
    <n v="3144.37"/>
    <n v="0"/>
    <x v="0"/>
    <s v="Paid"/>
    <x v="0"/>
    <n v="626"/>
    <s v="OK"/>
    <s v="Valid"/>
    <s v="Unique"/>
    <s v="North"/>
    <s v="Second Class"/>
    <s v="Valid"/>
    <x v="11"/>
    <n v="2024"/>
    <s v="Clean"/>
    <s v="OK"/>
    <s v="Valid"/>
    <s v="Ok"/>
    <s v="Ok"/>
  </r>
  <r>
    <s v="ORD-2025-10510"/>
    <d v="2025-12-05T00:00:00"/>
    <d v="2025-12-18T00:00:00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17220.900000000001"/>
    <x v="509"/>
    <x v="509"/>
    <n v="6020.32"/>
    <n v="30101.579999999994"/>
    <x v="0"/>
    <s v="Paid"/>
    <x v="0"/>
    <n v="13"/>
    <s v="OK"/>
    <s v="Valid"/>
    <s v="Unique"/>
    <s v="West"/>
    <s v="Same Day"/>
    <s v="Valid"/>
    <x v="7"/>
    <n v="2025"/>
    <s v="Clean"/>
    <s v="OK"/>
    <s v="Valid"/>
    <s v="Missmatched"/>
    <s v="Missmatched"/>
  </r>
  <r>
    <s v="ORD-2024-10511"/>
    <d v="2024-10-18T00:00:00"/>
    <d v="2025-12-19T00:00:00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6884.96"/>
    <x v="510"/>
    <x v="510"/>
    <n v="1592.06"/>
    <n v="0"/>
    <x v="0"/>
    <s v="Paid"/>
    <x v="0"/>
    <n v="427"/>
    <s v="OK"/>
    <s v="Valid"/>
    <s v="Unique"/>
    <s v="South"/>
    <s v="Second Class"/>
    <s v="Valid"/>
    <x v="4"/>
    <n v="2024"/>
    <s v="Clean"/>
    <s v="OK"/>
    <s v="Valid"/>
    <s v="Ok"/>
    <s v="Ok"/>
  </r>
  <r>
    <s v="ORD-2024-10512"/>
    <d v="2024-10-23T00:00:00"/>
    <d v="2025-12-20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"/>
    <n v="2088.15"/>
    <x v="511"/>
    <x v="511"/>
    <n v="1585.67"/>
    <n v="6342.6900000000005"/>
    <x v="0"/>
    <s v="Paid"/>
    <x v="0"/>
    <n v="423"/>
    <s v="OK"/>
    <s v="Valid"/>
    <s v="Unique"/>
    <s v="West"/>
    <s v="Standard Class"/>
    <s v="Valid"/>
    <x v="4"/>
    <n v="2024"/>
    <s v="Clean"/>
    <s v="OK"/>
    <s v="Valid"/>
    <s v="Missmatched"/>
    <s v="Missmatched"/>
  </r>
  <r>
    <s v="ORD-2025-10513"/>
    <d v="2025-02-03T00:00:00"/>
    <d v="2025-12-21T00:00:00"/>
    <s v="CUST-9943"/>
    <s v="Isha Nair"/>
    <x v="2"/>
    <x v="2"/>
    <s v="Kerala"/>
    <s v="Kochi"/>
    <x v="0"/>
    <x v="7"/>
    <s v="Pro Labels 849"/>
    <x v="0"/>
    <n v="2"/>
    <n v="4031.45"/>
    <n v="0.25"/>
    <n v="0.25"/>
    <n v="6047.17"/>
    <n v="3368.79"/>
    <x v="512"/>
    <x v="512"/>
    <n v="2678.38"/>
    <n v="10713.539999999997"/>
    <x v="0"/>
    <s v="Paid"/>
    <x v="0"/>
    <n v="321"/>
    <s v="OK"/>
    <s v="Valid"/>
    <s v="Unique"/>
    <s v="South"/>
    <s v="Second Class"/>
    <s v="Valid"/>
    <x v="5"/>
    <n v="2025"/>
    <s v="Clean"/>
    <s v="OK"/>
    <s v="Valid"/>
    <s v="Missmatched"/>
    <s v="Missmatched"/>
  </r>
  <r>
    <s v="ORD-2025-10514"/>
    <d v="2025-06-27T00:00:00"/>
    <d v="2025-12-22T00:00:00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6212.38"/>
    <n v="4088.46"/>
    <x v="513"/>
    <x v="513"/>
    <n v="1848.79"/>
    <n v="18487.860000000008"/>
    <x v="0"/>
    <s v="Paid"/>
    <x v="0"/>
    <n v="178"/>
    <s v="OK"/>
    <s v="Valid"/>
    <s v="Unique"/>
    <s v="South"/>
    <s v="First Class"/>
    <s v="Valid"/>
    <x v="10"/>
    <n v="2025"/>
    <s v="Clean"/>
    <s v="OK"/>
    <s v="Valid"/>
    <s v="Missmatched"/>
    <s v="Missmatched"/>
  </r>
  <r>
    <s v="ORD-2024-10515"/>
    <d v="2024-11-18T00:00:00"/>
    <d v="2025-12-23T00:00:00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8"/>
    <n v="11684.68"/>
    <x v="514"/>
    <x v="514"/>
    <n v="9229.2000000000007"/>
    <n v="92291.959999999992"/>
    <x v="0"/>
    <s v="Paid"/>
    <x v="0"/>
    <n v="400"/>
    <s v="OK"/>
    <s v="Valid"/>
    <s v="Unique"/>
    <s v="South"/>
    <s v="Standard Class"/>
    <s v="Valid"/>
    <x v="2"/>
    <n v="2024"/>
    <s v="Clean"/>
    <s v="OK"/>
    <s v="Valid"/>
    <s v="Missmatched"/>
    <s v="Missmatched"/>
  </r>
  <r>
    <s v="ORD-2025-10516"/>
    <d v="2025-11-04T00:00:00"/>
    <d v="2025-12-24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n v="3566.79"/>
    <n v="2083.41"/>
    <x v="515"/>
    <x v="515"/>
    <n v="1483.38"/>
    <n v="-38388.204285714288"/>
    <x v="0"/>
    <s v="Paid"/>
    <x v="0"/>
    <n v="50"/>
    <s v="OK"/>
    <s v="Valid"/>
    <s v="Unique"/>
    <s v="North"/>
    <s v="Standard Class"/>
    <s v="Invalid"/>
    <x v="2"/>
    <n v="2025"/>
    <s v="Clean"/>
    <s v="OK"/>
    <s v="Valid"/>
    <s v="Missmatched"/>
    <s v="Missmatched"/>
  </r>
  <r>
    <s v="ORD-2024-10517"/>
    <d v="2024-09-28T00:00:00"/>
    <d v="2025-12-25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1585.82"/>
    <x v="516"/>
    <x v="516"/>
    <n v="647.36"/>
    <n v="0"/>
    <x v="3"/>
    <s v="Failed"/>
    <x v="2"/>
    <n v="453"/>
    <s v="OK"/>
    <s v="Valid"/>
    <s v="Unique"/>
    <s v="North"/>
    <s v="Standard Class"/>
    <s v="Valid"/>
    <x v="6"/>
    <n v="2024"/>
    <s v="Clean"/>
    <s v="OK"/>
    <s v="Valid"/>
    <s v="Ok"/>
    <s v="Ok"/>
  </r>
  <r>
    <s v="ORD-2025-10518"/>
    <d v="2025-05-25T00:00:00"/>
    <d v="2025-12-26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9234.5300000000007"/>
    <x v="517"/>
    <x v="517"/>
    <n v="2655.84"/>
    <n v="13279.190000000008"/>
    <x v="1"/>
    <s v="Refunded"/>
    <x v="2"/>
    <n v="215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5-10519"/>
    <d v="2025-04-30T00:00:00"/>
    <d v="2025-12-27T00:00:00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6534.47"/>
    <x v="518"/>
    <x v="518"/>
    <n v="1887.21"/>
    <n v="7548.8499999999949"/>
    <x v="0"/>
    <s v="Paid"/>
    <x v="1"/>
    <n v="241"/>
    <s v="OK"/>
    <s v="Valid"/>
    <s v="Unique"/>
    <s v="East"/>
    <s v="First Class"/>
    <s v="Valid"/>
    <x v="9"/>
    <n v="2025"/>
    <s v="Clean"/>
    <s v="OK"/>
    <s v="Valid"/>
    <s v="Missmatched"/>
    <s v="Missmatched"/>
  </r>
  <r>
    <s v="ORD-2025-10520"/>
    <d v="2025-07-03T00:00:00"/>
    <d v="2025-12-28T00:00:00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8857.58"/>
    <x v="519"/>
    <x v="519"/>
    <n v="5111.09"/>
    <n v="25555.460000000003"/>
    <x v="2"/>
    <s v="Pending"/>
    <x v="1"/>
    <n v="178"/>
    <s v="OK"/>
    <s v="Valid"/>
    <s v="Unique"/>
    <s v="North"/>
    <s v="Standard Class"/>
    <s v="Valid"/>
    <x v="0"/>
    <n v="2025"/>
    <s v="Clean"/>
    <s v="OK"/>
    <s v="Valid"/>
    <s v="Missmatched"/>
    <s v="Missmatched"/>
  </r>
  <r>
    <s v="ORD-2024-10521"/>
    <d v="2024-07-16T00:00:00"/>
    <d v="2025-12-29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895.15"/>
    <x v="520"/>
    <x v="520"/>
    <n v="715.96"/>
    <n v="14319.289999999997"/>
    <x v="0"/>
    <s v="Paid"/>
    <x v="0"/>
    <n v="531"/>
    <s v="OK"/>
    <s v="Valid"/>
    <s v="Unique"/>
    <s v="South"/>
    <s v="Same Day"/>
    <s v="Valid"/>
    <x v="0"/>
    <n v="2024"/>
    <s v="Clean"/>
    <s v="OK"/>
    <s v="Valid"/>
    <s v="Missmatched"/>
    <s v="Missmatched"/>
  </r>
  <r>
    <s v="ORD-2025-10522"/>
    <d v="2025-03-25T00:00:00"/>
    <d v="2025-12-30T00:00:00"/>
    <s v="CUST-8012"/>
    <s v="Diya Patel"/>
    <x v="0"/>
    <x v="0"/>
    <s v="Punjab"/>
    <s v="Ludhiana"/>
    <x v="0"/>
    <x v="7"/>
    <s v="Classic Labels 776"/>
    <x v="0"/>
    <n v="6"/>
    <n v="2192.11"/>
    <n v="0.05"/>
    <n v="0.05"/>
    <n v="12495.03"/>
    <n v="9184.52"/>
    <x v="521"/>
    <x v="521"/>
    <n v="3310.51"/>
    <n v="66210.139999999985"/>
    <x v="0"/>
    <s v="Paid"/>
    <x v="0"/>
    <n v="280"/>
    <s v="OK"/>
    <s v="Valid"/>
    <s v="Unique"/>
    <s v="North"/>
    <s v="Second Class"/>
    <s v="Valid"/>
    <x v="11"/>
    <n v="2025"/>
    <s v="Clean"/>
    <s v="OK"/>
    <s v="Valid"/>
    <s v="Missmatched"/>
    <s v="Missmatched"/>
  </r>
  <r>
    <s v="ORD-2025-10523"/>
    <d v="2025-02-28T00:00:00"/>
    <d v="2025-12-31T00:00:00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24539.83"/>
    <x v="522"/>
    <x v="522"/>
    <n v="8495.0300000000007"/>
    <n v="0"/>
    <x v="0"/>
    <s v="Paid"/>
    <x v="0"/>
    <n v="306"/>
    <s v="OK"/>
    <s v="Valid"/>
    <s v="Unique"/>
    <s v="East"/>
    <s v="First Class"/>
    <s v="Valid"/>
    <x v="5"/>
    <n v="2025"/>
    <s v="Clean"/>
    <s v="OK"/>
    <s v="Valid"/>
    <s v="Ok"/>
    <s v="Ok"/>
  </r>
  <r>
    <s v="ORD-2024-10524"/>
    <d v="2024-04-02T00:00:00"/>
    <d v="2026-01-01T00:00:00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4654.3599999999997"/>
    <x v="523"/>
    <x v="523"/>
    <n v="1150.9000000000001"/>
    <n v="0"/>
    <x v="0"/>
    <s v="Paid"/>
    <x v="2"/>
    <n v="639"/>
    <s v="OK"/>
    <s v="Valid"/>
    <s v="Unique"/>
    <s v="West"/>
    <s v="Second Class"/>
    <s v="Valid"/>
    <x v="9"/>
    <n v="2024"/>
    <s v="Clean"/>
    <s v="OK"/>
    <s v="Valid"/>
    <s v="Ok"/>
    <s v="Ok"/>
  </r>
  <r>
    <s v="ORD-2024-10525"/>
    <d v="2024-11-30T00:00:00"/>
    <d v="2026-01-02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20000000003"/>
    <n v="21871.39"/>
    <x v="524"/>
    <x v="524"/>
    <n v="12208.23"/>
    <n v="122082.26000000002"/>
    <x v="0"/>
    <s v="Paid"/>
    <x v="0"/>
    <n v="398"/>
    <s v="OK"/>
    <s v="Valid"/>
    <s v="Unique"/>
    <s v="West"/>
    <s v="First Class"/>
    <s v="Valid"/>
    <x v="2"/>
    <n v="2024"/>
    <s v="Clean"/>
    <s v="OK"/>
    <s v="Valid"/>
    <s v="Missmatched"/>
    <s v="Missmatched"/>
  </r>
  <r>
    <s v="ORD-2024-10526"/>
    <d v="2024-10-17T00:00:00"/>
    <d v="2026-01-03T00:00:0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"/>
    <n v="7062.44"/>
    <x v="525"/>
    <x v="525"/>
    <n v="4297.3599999999997"/>
    <n v="42973.600000000013"/>
    <x v="0"/>
    <s v="Paid"/>
    <x v="0"/>
    <n v="443"/>
    <s v="OK"/>
    <s v="Valid"/>
    <s v="Unique"/>
    <s v="East"/>
    <s v="Standard Class"/>
    <s v="Valid"/>
    <x v="4"/>
    <n v="2024"/>
    <s v="Clean"/>
    <s v="OK"/>
    <s v="Valid"/>
    <s v="Ok"/>
    <s v="Ok"/>
  </r>
  <r>
    <s v="ORD-2025-10527"/>
    <d v="2025-07-18T00:00:00"/>
    <d v="2026-01-04T00:00:00"/>
    <s v="CUST-7198"/>
    <s v="Priya Menon"/>
    <x v="0"/>
    <x v="1"/>
    <s v="Odisha"/>
    <s v="Bhubaneswar"/>
    <x v="1"/>
    <x v="1"/>
    <s v="Elite Tables 815"/>
    <x v="0"/>
    <n v="4"/>
    <n v="284.04000000000002"/>
    <m/>
    <n v="0"/>
    <n v="908.93"/>
    <n v="572.08000000000004"/>
    <x v="526"/>
    <x v="526"/>
    <n v="336.85"/>
    <n v="0"/>
    <x v="0"/>
    <s v="Paid"/>
    <x v="0"/>
    <n v="170"/>
    <s v="OK"/>
    <s v="Valid"/>
    <s v="Unique"/>
    <s v="East"/>
    <s v="Second Class"/>
    <s v="Valid"/>
    <x v="0"/>
    <n v="2025"/>
    <s v="Clean"/>
    <s v="OK"/>
    <s v="Valid"/>
    <s v="Missmatched"/>
    <s v="Missmatched"/>
  </r>
  <r>
    <s v="ORD-2025-10528"/>
    <d v="2025-10-01T00:00:00"/>
    <d v="2026-01-05T00:00:00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0075.93"/>
    <x v="527"/>
    <x v="527"/>
    <n v="3726.2"/>
    <n v="24841.333333333328"/>
    <x v="0"/>
    <s v="Paid"/>
    <x v="0"/>
    <n v="96"/>
    <s v="OK"/>
    <s v="Valid"/>
    <s v="Unique"/>
    <s v="North"/>
    <s v="First Class"/>
    <s v="Valid"/>
    <x v="4"/>
    <n v="2025"/>
    <s v="Clean"/>
    <s v="OK"/>
    <s v="Valid"/>
    <s v="Ok"/>
    <s v="Ok"/>
  </r>
  <r>
    <s v="ORD-2024-10529"/>
    <d v="2024-07-10T00:00:00"/>
    <d v="2026-01-06T00:00:00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2"/>
    <n v="21302.13"/>
    <x v="528"/>
    <x v="528"/>
    <n v="8255.99"/>
    <n v="165119.78999999998"/>
    <x v="2"/>
    <s v="Pending"/>
    <x v="2"/>
    <n v="545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4-10530"/>
    <d v="2024-06-02T00:00:00"/>
    <d v="2026-01-07T00:00:00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2146.96"/>
    <x v="529"/>
    <x v="529"/>
    <n v="4253.29"/>
    <n v="0"/>
    <x v="0"/>
    <s v="Paid"/>
    <x v="0"/>
    <n v="584"/>
    <s v="OK"/>
    <s v="Valid"/>
    <s v="Unique"/>
    <s v="East"/>
    <s v="Second Class"/>
    <s v="Valid"/>
    <x v="10"/>
    <n v="2024"/>
    <s v="Clean"/>
    <s v="OK"/>
    <s v="Valid"/>
    <s v="Ok"/>
    <s v="Ok"/>
  </r>
  <r>
    <s v="ORD-2025-10531"/>
    <d v="2025-05-30T00:00:00"/>
    <d v="2026-01-08T00:00:00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000000001"/>
    <n v="10742.38"/>
    <x v="530"/>
    <x v="530"/>
    <n v="6310.68"/>
    <n v="126213.61"/>
    <x v="0"/>
    <s v="Paid"/>
    <x v="0"/>
    <n v="223"/>
    <s v="OK"/>
    <s v="Valid"/>
    <s v="Unique"/>
    <s v="South"/>
    <s v="Standard Class"/>
    <s v="Valid"/>
    <x v="3"/>
    <n v="2025"/>
    <s v="Clean"/>
    <s v="OK"/>
    <s v="Valid"/>
    <s v="Missmatched"/>
    <s v="Missmatched"/>
  </r>
  <r>
    <s v="ORD-2024-10532"/>
    <d v="2024-01-08T00:00:00"/>
    <d v="2026-01-09T00:00:00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"/>
    <n v="311.66000000000003"/>
    <x v="531"/>
    <x v="531"/>
    <n v="87.01"/>
    <n v="870.13000000000034"/>
    <x v="0"/>
    <s v="Paid"/>
    <x v="0"/>
    <n v="732"/>
    <s v="OK"/>
    <s v="Valid"/>
    <s v="Unique"/>
    <s v="West"/>
    <s v="Unknown"/>
    <s v="Valid"/>
    <x v="8"/>
    <n v="2024"/>
    <s v="Clean"/>
    <s v="OK"/>
    <s v="Valid"/>
    <s v="Missmatched"/>
    <s v="Missmatched"/>
  </r>
  <r>
    <s v="ORD-2025-10533"/>
    <d v="2025-05-10T00:00:00"/>
    <d v="2026-01-10T00:00:00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9892.2099999999991"/>
    <x v="532"/>
    <x v="532"/>
    <n v="7969.94"/>
    <n v="159398.73999999996"/>
    <x v="3"/>
    <s v="Failed"/>
    <x v="1"/>
    <n v="245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4-10534"/>
    <d v="2024-08-25T00:00:00"/>
    <d v="2026-01-11T00:00:00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"/>
    <n v="2124.48"/>
    <x v="533"/>
    <x v="533"/>
    <n v="430.45"/>
    <n v="165.48000000000138"/>
    <x v="0"/>
    <s v="Paid"/>
    <x v="0"/>
    <n v="504"/>
    <s v="OK"/>
    <s v="Valid"/>
    <s v="Unique"/>
    <s v="North"/>
    <s v="Same Day"/>
    <s v="Valid"/>
    <x v="1"/>
    <n v="2024"/>
    <s v="Clean"/>
    <s v="OK"/>
    <s v="Valid"/>
    <s v="Ok"/>
    <s v="Missmatched"/>
  </r>
  <r>
    <s v="ORD-2025-10535"/>
    <d v="2025-04-27T00:00:00"/>
    <d v="2026-01-12T00:00:00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"/>
    <n v="11705.3"/>
    <x v="534"/>
    <x v="534"/>
    <n v="2562.9"/>
    <n v="25629.040000000005"/>
    <x v="2"/>
    <s v="Pending"/>
    <x v="2"/>
    <n v="260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536"/>
    <d v="2024-05-19T00:00:00"/>
    <d v="2026-01-13T00:00:00"/>
    <s v="CUST-1729"/>
    <s v="Diya Patel"/>
    <x v="1"/>
    <x v="3"/>
    <s v="Maharashtra"/>
    <s v="Mumbai"/>
    <x v="2"/>
    <x v="6"/>
    <s v="Eco Copiers 243"/>
    <x v="2"/>
    <n v="3"/>
    <n v="4000.98"/>
    <n v="0.2"/>
    <n v="0.2"/>
    <n v="9602.35"/>
    <n v="7387.57"/>
    <x v="535"/>
    <x v="535"/>
    <n v="2214.7800000000002"/>
    <n v="11073.910000000005"/>
    <x v="0"/>
    <s v="Paid"/>
    <x v="0"/>
    <n v="604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5-10537"/>
    <d v="2025-10-04T00:00:00"/>
    <d v="2026-01-14T00:00:00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"/>
    <n v="12295.76"/>
    <x v="536"/>
    <x v="536"/>
    <n v="7595.96"/>
    <n v="30383.859999999993"/>
    <x v="3"/>
    <s v="Failed"/>
    <x v="1"/>
    <n v="102"/>
    <s v="OK"/>
    <s v="Valid"/>
    <s v="Unique"/>
    <s v="West"/>
    <s v="First Class"/>
    <s v="Valid"/>
    <x v="4"/>
    <n v="2025"/>
    <s v="Clean"/>
    <s v="OK"/>
    <s v="Valid"/>
    <s v="Missmatched"/>
    <s v="Missmatched"/>
  </r>
  <r>
    <s v="ORD-2024-10538"/>
    <d v="2024-01-22T00:00:00"/>
    <d v="2026-01-15T00:00:00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"/>
    <n v="1460.6"/>
    <x v="537"/>
    <x v="537"/>
    <n v="467.05"/>
    <n v="9341.0900000000038"/>
    <x v="3"/>
    <s v="Failed"/>
    <x v="1"/>
    <n v="724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4-10539"/>
    <d v="2024-09-25T00:00:00"/>
    <d v="2026-01-16T00:00:00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4650.67"/>
    <x v="538"/>
    <x v="538"/>
    <n v="5250.12"/>
    <n v="35000.800000000017"/>
    <x v="0"/>
    <s v="Paid"/>
    <x v="0"/>
    <n v="478"/>
    <s v="OK"/>
    <s v="Valid"/>
    <s v="Unique"/>
    <s v="East"/>
    <s v="Second Class"/>
    <s v="Valid"/>
    <x v="6"/>
    <n v="2024"/>
    <s v="Clean"/>
    <s v="OK"/>
    <s v="Valid"/>
    <s v="Ok"/>
    <s v="Ok"/>
  </r>
  <r>
    <s v="ORD-2025-10540"/>
    <d v="2025-04-07T00:00:00"/>
    <d v="2026-01-17T00:00:00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5"/>
    <n v="1316.54"/>
    <x v="539"/>
    <x v="539"/>
    <n v="587.91"/>
    <n v="5879.050000000002"/>
    <x v="0"/>
    <s v="Paid"/>
    <x v="1"/>
    <n v="285"/>
    <s v="OK"/>
    <s v="Valid"/>
    <s v="Unique"/>
    <s v="South"/>
    <s v="Standard Class"/>
    <s v="Valid"/>
    <x v="9"/>
    <n v="2025"/>
    <s v="Clean"/>
    <s v="OK"/>
    <s v="Valid"/>
    <s v="Missmatched"/>
    <s v="Missmatched"/>
  </r>
  <r>
    <s v="ORD-2024-10541"/>
    <d v="2024-02-26T00:00:00"/>
    <d v="2026-01-18T00:00:00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17118.07"/>
    <x v="540"/>
    <x v="540"/>
    <n v="4453.5200000000004"/>
    <n v="22267.610000000022"/>
    <x v="0"/>
    <s v="Paid"/>
    <x v="0"/>
    <n v="692"/>
    <s v="OK"/>
    <s v="Valid"/>
    <s v="Unique"/>
    <s v="West"/>
    <s v="Standard Class"/>
    <s v="Valid"/>
    <x v="5"/>
    <n v="2024"/>
    <s v="Clean"/>
    <s v="OK"/>
    <s v="Valid"/>
    <s v="Missmatched"/>
    <s v="Missmatched"/>
  </r>
  <r>
    <s v="ORD-2025-10542"/>
    <d v="2025-07-08T00:00:00"/>
    <d v="2026-01-19T00:00:00"/>
    <s v="CUST-4188"/>
    <s v="Sneha Kapoor"/>
    <x v="0"/>
    <x v="3"/>
    <s v="Maharashtra"/>
    <s v="Mumbai"/>
    <x v="2"/>
    <x v="6"/>
    <s v="Elite Copiers 831"/>
    <x v="1"/>
    <n v="3"/>
    <n v="2880.56"/>
    <n v="0"/>
    <n v="0"/>
    <n v="8641.68"/>
    <n v="5747.09"/>
    <x v="541"/>
    <x v="541"/>
    <n v="2894.59"/>
    <n v="0"/>
    <x v="0"/>
    <s v="Paid"/>
    <x v="2"/>
    <n v="195"/>
    <s v="OK"/>
    <s v="Valid"/>
    <s v="Unique"/>
    <s v="West"/>
    <s v="Same Day"/>
    <s v="Valid"/>
    <x v="0"/>
    <n v="2025"/>
    <s v="Clean"/>
    <s v="OK"/>
    <s v="Valid"/>
    <s v="Ok"/>
    <s v="Ok"/>
  </r>
  <r>
    <s v="ORD-2024-10543"/>
    <d v="2024-09-17T00:00:00"/>
    <d v="2026-01-20T00:00:00"/>
    <s v="CUST-9376"/>
    <s v="Rahul Verma"/>
    <x v="3"/>
    <x v="2"/>
    <s v="Kerala"/>
    <s v="Kochi"/>
    <x v="1"/>
    <x v="10"/>
    <s v="Eco Bookcases 759"/>
    <x v="0"/>
    <n v="3"/>
    <n v="4067.62"/>
    <n v="0.2"/>
    <n v="0.2"/>
    <n v="9988.5300000000007"/>
    <n v="8368.24"/>
    <x v="542"/>
    <x v="542"/>
    <n v="1394.05"/>
    <n v="6970.2400000000034"/>
    <x v="0"/>
    <s v="Paid"/>
    <x v="1"/>
    <n v="490"/>
    <s v="OK"/>
    <s v="Valid"/>
    <s v="Unique"/>
    <s v="South"/>
    <s v="Second Class"/>
    <s v="Valid"/>
    <x v="6"/>
    <n v="2024"/>
    <s v="Clean"/>
    <s v="OK"/>
    <s v="Valid"/>
    <s v="Missmatched"/>
    <s v="Missmatched"/>
  </r>
  <r>
    <s v="ORD-2024-10544"/>
    <d v="2024-07-14T00:00:00"/>
    <d v="2026-01-21T00:00:00"/>
    <s v="CUST-9094"/>
    <s v="Mira Das"/>
    <x v="0"/>
    <x v="1"/>
    <s v="Bihar"/>
    <s v="Patna"/>
    <x v="2"/>
    <x v="6"/>
    <s v="Max Copiers 440"/>
    <x v="1"/>
    <n v="1"/>
    <n v="492.67"/>
    <n v="0.15"/>
    <n v="0.15"/>
    <n v="418.77"/>
    <n v="313.72000000000003"/>
    <x v="543"/>
    <x v="543"/>
    <n v="105.05"/>
    <n v="700.32999999999981"/>
    <x v="0"/>
    <s v="Paid"/>
    <x v="0"/>
    <n v="556"/>
    <s v="OK"/>
    <s v="Valid"/>
    <s v="Unique"/>
    <s v="East"/>
    <s v="Same Day"/>
    <s v="Valid"/>
    <x v="0"/>
    <n v="2024"/>
    <s v="Clean"/>
    <s v="OK"/>
    <s v="Valid"/>
    <s v="Missmatched"/>
    <s v="Missmatched"/>
  </r>
  <r>
    <s v="ORD-2025-10545"/>
    <d v="2025-01-29T00:00:00"/>
    <d v="2026-01-22T00:00:00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18464.34"/>
    <x v="544"/>
    <x v="544"/>
    <n v="3397.38"/>
    <n v="13589.520000000004"/>
    <x v="0"/>
    <s v="Paid"/>
    <x v="1"/>
    <n v="358"/>
    <s v="OK"/>
    <s v="Valid"/>
    <s v="Unique"/>
    <s v="South"/>
    <s v="Same Day"/>
    <s v="Valid"/>
    <x v="8"/>
    <n v="2025"/>
    <s v="Clean"/>
    <s v="OK"/>
    <s v="Valid"/>
    <s v="Ok"/>
    <s v="Ok"/>
  </r>
  <r>
    <s v="ORD-2024-10546"/>
    <d v="2024-05-27T00:00:00"/>
    <d v="2026-01-23T00:00:00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2"/>
    <n v="13513.51"/>
    <x v="545"/>
    <x v="545"/>
    <n v="3746.61"/>
    <n v="24977.37999999999"/>
    <x v="0"/>
    <s v="Paid"/>
    <x v="0"/>
    <n v="606"/>
    <s v="OK"/>
    <s v="Valid"/>
    <s v="Unique"/>
    <s v="East"/>
    <s v="Same Day"/>
    <s v="Valid"/>
    <x v="3"/>
    <n v="2024"/>
    <s v="Clean"/>
    <s v="OK"/>
    <s v="Valid"/>
    <s v="Missmatched"/>
    <s v="Missmatched"/>
  </r>
  <r>
    <s v="ORD-2025-10547"/>
    <d v="2025-08-14T00:00:00"/>
    <d v="2026-01-24T00:00:00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6966.44"/>
    <x v="546"/>
    <x v="546"/>
    <n v="4395.17"/>
    <n v="26299.21666666666"/>
    <x v="0"/>
    <s v="Paid"/>
    <x v="0"/>
    <n v="163"/>
    <s v="OK"/>
    <s v="Valid"/>
    <s v="Unique"/>
    <s v="West"/>
    <s v="First Class"/>
    <s v="Valid"/>
    <x v="1"/>
    <n v="2025"/>
    <s v="Clean"/>
    <s v="OK"/>
    <s v="Valid"/>
    <s v="Missmatched"/>
    <s v="Missmatched"/>
  </r>
  <r>
    <s v="ORD-2024-10548"/>
    <d v="2024-05-16T00:00:00"/>
    <d v="2026-01-25T00:00:00"/>
    <s v="CUST-9146"/>
    <s v="Neha Gupta"/>
    <x v="1"/>
    <x v="0"/>
    <s v="Uttar Pradesh"/>
    <s v="Noida"/>
    <x v="2"/>
    <x v="6"/>
    <s v="Max Copiers 607"/>
    <x v="3"/>
    <n v="9"/>
    <n v="3722.09"/>
    <n v="0.1"/>
    <n v="0.1"/>
    <n v="30148.93"/>
    <n v="25155.07"/>
    <x v="547"/>
    <x v="547"/>
    <n v="4993.8599999999997"/>
    <n v="49938.590000000004"/>
    <x v="0"/>
    <s v="Paid"/>
    <x v="0"/>
    <n v="619"/>
    <s v="OK"/>
    <s v="Valid"/>
    <s v="Unique"/>
    <s v="North"/>
    <s v="Standard Class"/>
    <s v="Valid"/>
    <x v="3"/>
    <n v="2024"/>
    <s v="Clean"/>
    <s v="OK"/>
    <s v="Valid"/>
    <s v="Missmatched"/>
    <s v="Missmatched"/>
  </r>
  <r>
    <s v="ORD-2024-10549"/>
    <d v="2024-05-29T00:00:00"/>
    <d v="2026-01-26T00:00:0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852.62"/>
    <x v="548"/>
    <x v="548"/>
    <n v="219.39"/>
    <n v="0"/>
    <x v="2"/>
    <s v="Pending"/>
    <x v="1"/>
    <n v="607"/>
    <s v="OK"/>
    <s v="Valid"/>
    <s v="Unique"/>
    <s v="East"/>
    <s v="Same Day"/>
    <s v="Valid"/>
    <x v="3"/>
    <n v="2024"/>
    <s v="Clean"/>
    <s v="OK"/>
    <s v="Valid"/>
    <s v="Ok"/>
    <s v="Ok"/>
  </r>
  <r>
    <s v="ORD-2025-10550"/>
    <d v="2025-11-10T00:00:00"/>
    <d v="2026-01-27T00:00:00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8272.24"/>
    <x v="549"/>
    <x v="549"/>
    <n v="1999.29"/>
    <n v="19992.890000000007"/>
    <x v="0"/>
    <s v="Paid"/>
    <x v="0"/>
    <n v="78"/>
    <s v="OK"/>
    <s v="Valid"/>
    <s v="Duplicate"/>
    <s v="South"/>
    <s v="Second Class"/>
    <s v="Valid"/>
    <x v="2"/>
    <n v="2025"/>
    <s v="Clean"/>
    <s v="OK"/>
    <s v="Valid"/>
    <s v="Missmatched"/>
    <s v="Missmatched"/>
  </r>
  <r>
    <s v="ORD-2024-10551"/>
    <d v="2024-08-02T00:00:00"/>
    <d v="2026-01-28T00:00:00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"/>
    <n v="6764.53"/>
    <x v="550"/>
    <x v="550"/>
    <n v="3442.38"/>
    <n v="17211.91"/>
    <x v="0"/>
    <s v="Paid"/>
    <x v="0"/>
    <n v="544"/>
    <s v="OK"/>
    <s v="Valid"/>
    <s v="Unique"/>
    <s v="East"/>
    <s v="Standard Class"/>
    <s v="Valid"/>
    <x v="1"/>
    <n v="2024"/>
    <s v="Clean"/>
    <s v="OK"/>
    <s v="Valid"/>
    <s v="Missmatched"/>
    <s v="Missmatched"/>
  </r>
  <r>
    <s v="ORD-2024-10552"/>
    <d v="2024-02-27T00:00:00"/>
    <d v="2026-01-29T00:00:0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3"/>
    <n v="5496.09"/>
    <x v="551"/>
    <x v="551"/>
    <n v="2531.54"/>
    <n v="16876.93"/>
    <x v="0"/>
    <s v="Paid"/>
    <x v="0"/>
    <n v="702"/>
    <s v="OK"/>
    <s v="Valid"/>
    <s v="Unique"/>
    <s v="East"/>
    <s v="Second Class"/>
    <s v="Valid"/>
    <x v="5"/>
    <n v="2024"/>
    <s v="Clean"/>
    <s v="OK"/>
    <s v="Valid"/>
    <s v="Missmatched"/>
    <s v="Missmatched"/>
  </r>
  <r>
    <s v="ORD-2025-10553"/>
    <d v="2025-01-24T00:00:00"/>
    <d v="2026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s v="70%"/>
    <n v="1875.18"/>
    <n v="1579.17"/>
    <x v="552"/>
    <x v="552"/>
    <n v="296.01"/>
    <n v="-1184.4257142857145"/>
    <x v="0"/>
    <s v="Paid"/>
    <x v="0"/>
    <n v="371"/>
    <s v="OK"/>
    <s v="Valid"/>
    <s v="Unique"/>
    <s v="East"/>
    <s v="Standard Class"/>
    <s v="Invalid"/>
    <x v="8"/>
    <n v="2025"/>
    <s v="Clean"/>
    <s v="OK"/>
    <s v="Valid"/>
    <s v="Missmatched"/>
    <s v="Missmatched"/>
  </r>
  <r>
    <s v="ORD-2025-10554"/>
    <d v="2025-04-25T00:00:00"/>
    <d v="2026-01-31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"/>
    <n v="6620.07"/>
    <x v="553"/>
    <x v="553"/>
    <n v="2115.17"/>
    <n v="8460.6900000000023"/>
    <x v="0"/>
    <s v="Paid"/>
    <x v="0"/>
    <n v="281"/>
    <s v="OK"/>
    <s v="Valid"/>
    <s v="Unique"/>
    <s v="West"/>
    <s v="First Class"/>
    <s v="Valid"/>
    <x v="9"/>
    <n v="2025"/>
    <s v="Clean"/>
    <s v="OK"/>
    <s v="Valid"/>
    <s v="Missmatched"/>
    <s v="Missmatched"/>
  </r>
  <r>
    <s v="ORD-2024-10555"/>
    <d v="2024-12-10T00:00:00"/>
    <d v="2026-02-01T00:00:00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2831.62"/>
    <x v="554"/>
    <x v="554"/>
    <n v="1239.02"/>
    <n v="24780.32"/>
    <x v="0"/>
    <s v="Paid"/>
    <x v="0"/>
    <n v="418"/>
    <s v="OK"/>
    <s v="Valid"/>
    <s v="Unique"/>
    <s v="Unknown"/>
    <s v="Standard Class"/>
    <s v="Valid"/>
    <x v="7"/>
    <n v="2024"/>
    <s v="Clean"/>
    <s v="OK"/>
    <s v="Valid"/>
    <s v="Missmatched"/>
    <s v="Missmatched"/>
  </r>
  <r>
    <s v="ORD-2025-10556"/>
    <d v="2025-02-04T00:00:00"/>
    <d v="2026-02-02T00:00:00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6"/>
    <n v="3604.14"/>
    <x v="555"/>
    <x v="555"/>
    <n v="2339.8200000000002"/>
    <n v="46796.39999999998"/>
    <x v="0"/>
    <s v="Paid"/>
    <x v="0"/>
    <n v="363"/>
    <s v="OK"/>
    <s v="Valid"/>
    <s v="Unique"/>
    <s v="South"/>
    <s v="Standard Class"/>
    <s v="Valid"/>
    <x v="5"/>
    <n v="2025"/>
    <s v="Clean"/>
    <s v="OK"/>
    <s v="Valid"/>
    <s v="Ok"/>
    <s v="Ok"/>
  </r>
  <r>
    <s v="ORD-2024-10557"/>
    <d v="2024-06-23T00:00:00"/>
    <d v="2026-02-03T00:00:00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3035.2"/>
    <x v="556"/>
    <x v="556"/>
    <n v="1816.23"/>
    <n v="0"/>
    <x v="0"/>
    <s v="Paid"/>
    <x v="2"/>
    <n v="590"/>
    <s v="OK"/>
    <s v="Valid"/>
    <s v="Unique"/>
    <s v="North"/>
    <s v="First Class"/>
    <s v="Valid"/>
    <x v="10"/>
    <n v="2024"/>
    <s v="Clean"/>
    <s v="OK"/>
    <s v="Valid"/>
    <s v="Ok"/>
    <s v="Missmatched"/>
  </r>
  <r>
    <s v="ORD-2024-10558"/>
    <d v="2024-08-05T00:00:00"/>
    <d v="2026-02-04T00:00:00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0000000001"/>
    <n v="24971.360000000001"/>
    <x v="557"/>
    <x v="557"/>
    <n v="7257.52"/>
    <n v="145150.45999999993"/>
    <x v="0"/>
    <s v="Paid"/>
    <x v="1"/>
    <n v="548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559"/>
    <d v="2025-04-09T00:00:00"/>
    <d v="2026-02-05T00:00:00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4461.8"/>
    <x v="558"/>
    <x v="558"/>
    <n v="5249.88"/>
    <n v="26249.400000000005"/>
    <x v="0"/>
    <s v="Paid"/>
    <x v="0"/>
    <n v="302"/>
    <s v="OK"/>
    <s v="Valid"/>
    <s v="Unique"/>
    <s v="North"/>
    <s v="First Class"/>
    <s v="Valid"/>
    <x v="9"/>
    <n v="2025"/>
    <s v="Clean"/>
    <s v="OK"/>
    <s v="Valid"/>
    <s v="Ok"/>
    <s v="Ok"/>
  </r>
  <r>
    <s v="ORD-2025-10560"/>
    <d v="2025-09-30T00:00:00"/>
    <d v="2026-02-06T00:00:00"/>
    <s v="CUST-6797"/>
    <s v="Diya Patel"/>
    <x v="2"/>
    <x v="1"/>
    <s v="Bihar"/>
    <s v="Patna"/>
    <x v="2"/>
    <x v="6"/>
    <s v="Basic Copiers 512"/>
    <x v="0"/>
    <n v="5"/>
    <n v="3277.82"/>
    <n v="0.1"/>
    <n v="0.1"/>
    <n v="14750.19"/>
    <n v="9482.58"/>
    <x v="559"/>
    <x v="559"/>
    <n v="5267.61"/>
    <n v="52676.10000000002"/>
    <x v="0"/>
    <s v="Paid"/>
    <x v="2"/>
    <n v="129"/>
    <s v="OK"/>
    <s v="Valid"/>
    <s v="Unique"/>
    <s v="East"/>
    <s v="Second Class"/>
    <s v="Valid"/>
    <x v="6"/>
    <n v="2025"/>
    <s v="Clean"/>
    <s v="OK"/>
    <s v="Valid"/>
    <s v="Ok"/>
    <s v="Ok"/>
  </r>
  <r>
    <s v="ORD-2024-10561"/>
    <d v="2024-01-16T00:00:00"/>
    <d v="2026-02-07T00:00:00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848.62"/>
    <x v="560"/>
    <x v="560"/>
    <n v="281.5"/>
    <n v="0"/>
    <x v="0"/>
    <s v="Paid"/>
    <x v="1"/>
    <n v="753"/>
    <s v="OK"/>
    <s v="Valid"/>
    <s v="Unique"/>
    <s v="West"/>
    <s v="Standard Class"/>
    <s v="Valid"/>
    <x v="8"/>
    <n v="2024"/>
    <s v="Clean"/>
    <s v="OK"/>
    <s v="Valid"/>
    <s v="Ok"/>
    <s v="Ok"/>
  </r>
  <r>
    <s v="ORD-2025-10562"/>
    <d v="2025-07-14T00:00:00"/>
    <d v="2026-02-08T00:00:00"/>
    <s v="CUST-6654"/>
    <s v="Aditi Sen"/>
    <x v="0"/>
    <x v="0"/>
    <s v="Punjab"/>
    <s v="Ludhiana"/>
    <x v="2"/>
    <x v="6"/>
    <s v="Eco Copiers 954"/>
    <x v="2"/>
    <n v="4"/>
    <n v="725.22"/>
    <n v="0"/>
    <n v="0"/>
    <n v="2900.88"/>
    <n v="2391.85"/>
    <x v="561"/>
    <x v="561"/>
    <n v="509.03"/>
    <n v="0"/>
    <x v="2"/>
    <s v="Pending"/>
    <x v="2"/>
    <n v="209"/>
    <s v="OK"/>
    <s v="Valid"/>
    <s v="Unique"/>
    <s v="North"/>
    <s v="First Class"/>
    <s v="Valid"/>
    <x v="0"/>
    <n v="2025"/>
    <s v="Clean"/>
    <s v="OK"/>
    <s v="Valid"/>
    <s v="Ok"/>
    <s v="Ok"/>
  </r>
  <r>
    <s v="ORD-2024-10563"/>
    <d v="2024-10-05T00:00:00"/>
    <d v="2026-02-09T00:00:00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"/>
    <n v="463.49"/>
    <x v="562"/>
    <x v="562"/>
    <n v="217.13"/>
    <n v="1085.6700000000005"/>
    <x v="3"/>
    <s v="Failed"/>
    <x v="2"/>
    <n v="492"/>
    <s v="OK"/>
    <s v="Valid"/>
    <s v="Unique"/>
    <s v="North"/>
    <s v="Same Day"/>
    <s v="Valid"/>
    <x v="4"/>
    <n v="2024"/>
    <s v="Clean"/>
    <s v="OK"/>
    <s v="Valid"/>
    <s v="Missmatched"/>
    <s v="Missmatched"/>
  </r>
  <r>
    <s v="ORD-2024-10564"/>
    <d v="2024-06-05T00:00:00"/>
    <d v="2026-02-10T00:00:00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"/>
    <n v="4618.33"/>
    <x v="563"/>
    <x v="563"/>
    <n v="1076.6500000000001"/>
    <n v="5383.2700000000023"/>
    <x v="2"/>
    <s v="Pending"/>
    <x v="1"/>
    <n v="615"/>
    <s v="OK"/>
    <s v="Valid"/>
    <s v="Unique"/>
    <s v="West"/>
    <s v="Standard Class"/>
    <s v="Valid"/>
    <x v="10"/>
    <n v="2024"/>
    <s v="Clean"/>
    <s v="OK"/>
    <s v="Valid"/>
    <s v="Missmatched"/>
    <s v="Missmatched"/>
  </r>
  <r>
    <s v="ORD-2024-10565"/>
    <d v="2024-10-11T00:00:00"/>
    <d v="2026-02-11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968.46"/>
    <x v="564"/>
    <x v="564"/>
    <n v="505.68"/>
    <n v="2528.420000000001"/>
    <x v="0"/>
    <s v="Paid"/>
    <x v="0"/>
    <n v="488"/>
    <s v="OK"/>
    <s v="Valid"/>
    <s v="Unique"/>
    <s v="South"/>
    <s v="First Class"/>
    <s v="Valid"/>
    <x v="4"/>
    <n v="2024"/>
    <s v="Clean"/>
    <s v="OK"/>
    <s v="Valid"/>
    <s v="Missmatched"/>
    <s v="Missmatched"/>
  </r>
  <r>
    <s v="ORD-2025-10566"/>
    <d v="2025-07-08T00:00:00"/>
    <d v="2026-02-12T00:00:00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3"/>
    <n v="7005.2"/>
    <x v="565"/>
    <x v="565"/>
    <n v="2219.73"/>
    <n v="11098.64"/>
    <x v="1"/>
    <s v="Refunded"/>
    <x v="1"/>
    <n v="219"/>
    <s v="OK"/>
    <s v="Valid"/>
    <s v="Unique"/>
    <s v="North"/>
    <s v="Standard Class"/>
    <s v="Valid"/>
    <x v="0"/>
    <n v="2025"/>
    <s v="Clean"/>
    <s v="OK"/>
    <s v="Valid"/>
    <s v="Missmatched"/>
    <s v="Missmatched"/>
  </r>
  <r>
    <s v="ORD-2024-10567"/>
    <d v="2024-11-08T00:00:00"/>
    <d v="2026-02-13T00:00:00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"/>
    <n v="3851.91"/>
    <x v="566"/>
    <x v="566"/>
    <n v="860.29"/>
    <n v="8602.9200000000037"/>
    <x v="3"/>
    <s v="Failed"/>
    <x v="2"/>
    <n v="462"/>
    <s v="OK"/>
    <s v="Valid"/>
    <s v="Unique"/>
    <s v="West"/>
    <s v="Same Day"/>
    <s v="Valid"/>
    <x v="2"/>
    <n v="2024"/>
    <s v="Clean"/>
    <s v="OK"/>
    <s v="Valid"/>
    <s v="Missmatched"/>
    <s v="Missmatched"/>
  </r>
  <r>
    <s v="ORD-2024-10568"/>
    <d v="2024-06-02T00:00:00"/>
    <d v="2026-02-14T00:00:00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731.89"/>
    <x v="567"/>
    <x v="567"/>
    <n v="573.47"/>
    <n v="11469.339999999998"/>
    <x v="0"/>
    <s v="Paid"/>
    <x v="0"/>
    <n v="622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4-10569"/>
    <d v="2024-01-21T00:00:00"/>
    <d v="2026-02-15T00:00:00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1968.12"/>
    <x v="568"/>
    <x v="568"/>
    <n v="886.61"/>
    <n v="3546.4200000000019"/>
    <x v="0"/>
    <s v="Paid"/>
    <x v="0"/>
    <n v="756"/>
    <s v="OK"/>
    <s v="Valid"/>
    <s v="Unique"/>
    <s v="North"/>
    <s v="Same Day"/>
    <s v="Valid"/>
    <x v="8"/>
    <n v="2024"/>
    <s v="Clean"/>
    <s v="OK"/>
    <s v="Valid"/>
    <s v="Missmatched"/>
    <s v="Missmatched"/>
  </r>
  <r>
    <s v="ORD-2025-10570"/>
    <d v="2025-08-09T00:00:00"/>
    <d v="2026-02-16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1906.36"/>
    <x v="569"/>
    <x v="569"/>
    <n v="2723.9"/>
    <n v="10895.619999999995"/>
    <x v="1"/>
    <s v="Refunded"/>
    <x v="2"/>
    <n v="191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5-10571"/>
    <d v="2025-08-18T00:00:00"/>
    <d v="2026-02-17T00:00:00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6344.57"/>
    <x v="570"/>
    <x v="570"/>
    <n v="2534.92"/>
    <n v="10139.68"/>
    <x v="3"/>
    <s v="Failed"/>
    <x v="2"/>
    <n v="183"/>
    <s v="OK"/>
    <s v="Valid"/>
    <s v="Unique"/>
    <s v="East"/>
    <s v="Second Class"/>
    <s v="Valid"/>
    <x v="1"/>
    <n v="2025"/>
    <s v="Clean"/>
    <s v="OK"/>
    <s v="Valid"/>
    <s v="Ok"/>
    <s v="Ok"/>
  </r>
  <r>
    <s v="ORD-2025-10572"/>
    <d v="2025-10-02T00:00:00"/>
    <d v="2026-02-18T00:00:00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13240.21"/>
    <x v="571"/>
    <x v="571"/>
    <n v="8141.24"/>
    <n v="0"/>
    <x v="3"/>
    <s v="Failed"/>
    <x v="2"/>
    <n v="139"/>
    <s v="OK"/>
    <s v="Valid"/>
    <s v="Duplicate"/>
    <s v="North"/>
    <s v="Unknown"/>
    <s v="Valid"/>
    <x v="4"/>
    <n v="2025"/>
    <s v="Clean"/>
    <s v="OK"/>
    <s v="Valid"/>
    <s v="Ok"/>
    <s v="Ok"/>
  </r>
  <r>
    <s v="ORD-2024-10573"/>
    <d v="2024-02-01T00:00:00"/>
    <d v="2026-02-19T00:00:00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"/>
    <n v="1007.4"/>
    <x v="572"/>
    <x v="572"/>
    <n v="767.54"/>
    <n v="3837.72"/>
    <x v="0"/>
    <s v="Paid"/>
    <x v="0"/>
    <n v="749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574"/>
    <d v="2025-09-22T00:00:00"/>
    <d v="2026-02-20T00:00:00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322.67"/>
    <x v="573"/>
    <x v="573"/>
    <n v="250.98"/>
    <n v="0"/>
    <x v="0"/>
    <s v="Paid"/>
    <x v="0"/>
    <n v="151"/>
    <s v="OK"/>
    <s v="Valid"/>
    <s v="Unique"/>
    <s v="South"/>
    <s v="Standard Class"/>
    <s v="Valid"/>
    <x v="6"/>
    <n v="2025"/>
    <s v="Clean"/>
    <s v="OK"/>
    <s v="Valid"/>
    <s v="Ok"/>
    <s v="Ok"/>
  </r>
  <r>
    <s v="ORD-2024-10575"/>
    <d v="2024-02-20T00:00:00"/>
    <d v="2026-02-21T00:00:00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4072.44"/>
    <x v="574"/>
    <x v="574"/>
    <n v="1350.76"/>
    <n v="0"/>
    <x v="0"/>
    <s v="Paid"/>
    <x v="0"/>
    <n v="732"/>
    <s v="OK"/>
    <s v="Valid"/>
    <s v="Unique"/>
    <s v="North"/>
    <s v="Standard Class"/>
    <s v="Valid"/>
    <x v="5"/>
    <n v="2024"/>
    <s v="Clean"/>
    <s v="OK"/>
    <s v="Valid"/>
    <s v="Ok"/>
    <s v="Ok"/>
  </r>
  <r>
    <s v="ORD-2025-10576"/>
    <d v="2025-11-03T00:00:00"/>
    <d v="2026-02-22T00:00:00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174.91"/>
    <x v="575"/>
    <x v="575"/>
    <n v="808.51"/>
    <n v="4042.5700000000006"/>
    <x v="3"/>
    <s v="Failed"/>
    <x v="2"/>
    <n v="111"/>
    <s v="OK"/>
    <s v="Valid"/>
    <s v="Unique"/>
    <s v="South"/>
    <s v="Same Day"/>
    <s v="Valid"/>
    <x v="2"/>
    <n v="2025"/>
    <s v="Clean"/>
    <s v="OK"/>
    <s v="Valid"/>
    <s v="Missmatched"/>
    <s v="Missmatched"/>
  </r>
  <r>
    <s v="ORD-2024-10577"/>
    <d v="2024-02-17T00:00:00"/>
    <d v="2026-02-23T00:00:00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19537.79"/>
    <x v="576"/>
    <x v="576"/>
    <n v="3992.35"/>
    <n v="0"/>
    <x v="1"/>
    <s v="Refunded"/>
    <x v="2"/>
    <n v="737"/>
    <s v="OK"/>
    <s v="Valid"/>
    <s v="Unique"/>
    <s v="Unknown"/>
    <s v="Standard Class"/>
    <s v="Valid"/>
    <x v="5"/>
    <n v="2024"/>
    <s v="Clean"/>
    <s v="OK"/>
    <s v="Valid"/>
    <s v="Ok"/>
    <s v="Ok"/>
  </r>
  <r>
    <s v="ORD-2025-10578"/>
    <d v="2025-08-28T00:00:00"/>
    <d v="2026-02-24T00:00:00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134.9000000000001"/>
    <x v="577"/>
    <x v="577"/>
    <n v="744.25"/>
    <n v="0"/>
    <x v="0"/>
    <s v="Paid"/>
    <x v="0"/>
    <n v="180"/>
    <s v="OK"/>
    <s v="Valid"/>
    <s v="Unique"/>
    <s v="West"/>
    <s v="Standard Class"/>
    <s v="Valid"/>
    <x v="1"/>
    <n v="2025"/>
    <s v="Clean"/>
    <s v="OK"/>
    <s v="Valid"/>
    <s v="Ok"/>
    <s v="Ok"/>
  </r>
  <r>
    <s v="ORD-2024-10579"/>
    <d v="2024-02-21T00:00:00"/>
    <d v="2026-02-25T00:00:00"/>
    <s v="CUST-4900"/>
    <s v="Neha Gupta"/>
    <x v="1"/>
    <x v="3"/>
    <s v="Gujarat"/>
    <s v="Ahmedabad"/>
    <x v="2"/>
    <x v="6"/>
    <s v="Elite Copiers 682"/>
    <x v="2"/>
    <n v="6"/>
    <n v="2633.65"/>
    <n v="0.05"/>
    <n v="0.05"/>
    <n v="15011.81"/>
    <n v="9660.36"/>
    <x v="578"/>
    <x v="578"/>
    <n v="5351.45"/>
    <n v="107028.9"/>
    <x v="0"/>
    <s v="Paid"/>
    <x v="0"/>
    <n v="735"/>
    <s v="OK"/>
    <s v="Valid"/>
    <s v="Unique"/>
    <s v="West"/>
    <s v="First Class"/>
    <s v="Valid"/>
    <x v="5"/>
    <n v="2024"/>
    <s v="Clean"/>
    <s v="OK"/>
    <s v="Valid"/>
    <s v="Missmatched"/>
    <s v="Missmatched"/>
  </r>
  <r>
    <s v="ORD-2024-10580"/>
    <d v="2024-06-19T00:00:00"/>
    <d v="2026-02-26T00:00:00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2608.44"/>
    <x v="579"/>
    <x v="579"/>
    <n v="593.97"/>
    <n v="0"/>
    <x v="0"/>
    <s v="Paid"/>
    <x v="0"/>
    <n v="617"/>
    <s v="OK"/>
    <s v="Valid"/>
    <s v="Unique"/>
    <s v="South"/>
    <s v="Same Day"/>
    <s v="Valid"/>
    <x v="10"/>
    <n v="2024"/>
    <s v="Clean"/>
    <s v="OK"/>
    <s v="Valid"/>
    <s v="Ok"/>
    <s v="Ok"/>
  </r>
  <r>
    <s v="ORD-2025-10581"/>
    <d v="2025-03-06T00:00:00"/>
    <d v="2026-02-27T00:00:00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9"/>
    <n v="261.67"/>
    <x v="580"/>
    <x v="580"/>
    <n v="155.82"/>
    <n v="1038.7733333333333"/>
    <x v="3"/>
    <s v="Failed"/>
    <x v="2"/>
    <n v="358"/>
    <s v="OK"/>
    <s v="Valid"/>
    <s v="Unique"/>
    <s v="South"/>
    <s v="Standard Class"/>
    <s v="Valid"/>
    <x v="11"/>
    <n v="2025"/>
    <s v="Clean"/>
    <s v="OK"/>
    <s v="Valid"/>
    <s v="Missmatched"/>
    <s v="Missmatched"/>
  </r>
  <r>
    <s v="ORD-2025-10582"/>
    <d v="2025-09-08T00:00:00"/>
    <d v="2026-02-28T00:00:00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9965.7900000000009"/>
    <x v="581"/>
    <x v="581"/>
    <n v="6358.01"/>
    <n v="0"/>
    <x v="1"/>
    <s v="Refunded"/>
    <x v="2"/>
    <n v="173"/>
    <s v="OK"/>
    <s v="Valid"/>
    <s v="Unique"/>
    <s v="North"/>
    <s v="Second Class"/>
    <s v="Valid"/>
    <x v="6"/>
    <n v="2025"/>
    <s v="Clean"/>
    <s v="OK"/>
    <s v="Valid"/>
    <s v="Ok"/>
    <s v="Ok"/>
  </r>
  <r>
    <s v="ORD-2024-10583"/>
    <d v="2024-10-15T00:00:00"/>
    <d v="2026-03-01T00:00:00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2205.7199999999998"/>
    <x v="582"/>
    <x v="582"/>
    <n v="1150.48"/>
    <n v="0"/>
    <x v="2"/>
    <s v="Pending"/>
    <x v="2"/>
    <n v="502"/>
    <s v="OK"/>
    <s v="Valid"/>
    <s v="Unique"/>
    <s v="East"/>
    <s v="First Class"/>
    <s v="Valid"/>
    <x v="4"/>
    <n v="2024"/>
    <s v="Clean"/>
    <s v="OK"/>
    <s v="Valid"/>
    <s v="Ok"/>
    <s v="Ok"/>
  </r>
  <r>
    <s v="ORD-2024-10584"/>
    <d v="2024-02-28T00:00:00"/>
    <d v="2026-03-02T00:00:0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699999999998"/>
    <n v="1217.83"/>
    <x v="583"/>
    <x v="583"/>
    <n v="883.64"/>
    <n v="4418.2100000000009"/>
    <x v="3"/>
    <s v="Failed"/>
    <x v="2"/>
    <n v="733"/>
    <s v="OK"/>
    <s v="Valid"/>
    <s v="Unique"/>
    <s v="East"/>
    <s v="First Class"/>
    <s v="Valid"/>
    <x v="5"/>
    <n v="2024"/>
    <s v="Clean"/>
    <s v="OK"/>
    <s v="Valid"/>
    <s v="Missmatched"/>
    <s v="Missmatched"/>
  </r>
  <r>
    <s v="ORD-2024-10585"/>
    <d v="2024-04-08T00:00:00"/>
    <d v="2026-03-03T00:00:00"/>
    <s v="CUST-4894"/>
    <s v="Vikram Iyer"/>
    <x v="0"/>
    <x v="1"/>
    <s v="Bihar"/>
    <s v="Patna"/>
    <x v="0"/>
    <x v="2"/>
    <s v="Pro Art 172"/>
    <x v="1"/>
    <n v="1"/>
    <n v="984.93"/>
    <n v="0.15"/>
    <n v="0.15"/>
    <n v="837.19"/>
    <n v="583.79"/>
    <x v="584"/>
    <x v="584"/>
    <n v="253.4"/>
    <n v="1689.3366666666666"/>
    <x v="2"/>
    <s v="Pending"/>
    <x v="2"/>
    <n v="694"/>
    <s v="OK"/>
    <s v="Valid"/>
    <s v="Unique"/>
    <s v="East"/>
    <s v="Same Day"/>
    <s v="Valid"/>
    <x v="9"/>
    <n v="2024"/>
    <s v="Clean"/>
    <s v="OK"/>
    <s v="Valid"/>
    <s v="Missmatched"/>
    <s v="Missmatched"/>
  </r>
  <r>
    <s v="ORD-2025-10586"/>
    <d v="2025-06-22T00:00:00"/>
    <d v="2026-03-04T00:00:00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2026.48"/>
    <x v="585"/>
    <x v="585"/>
    <n v="5602.8"/>
    <n v="0"/>
    <x v="0"/>
    <s v="Paid"/>
    <x v="0"/>
    <n v="255"/>
    <s v="OK"/>
    <s v="Valid"/>
    <s v="Unique"/>
    <s v="West"/>
    <s v="First Class"/>
    <s v="Valid"/>
    <x v="10"/>
    <n v="2025"/>
    <s v="Clean"/>
    <s v="OK"/>
    <s v="Valid"/>
    <s v="Ok"/>
    <s v="Ok"/>
  </r>
  <r>
    <s v="ORD-2025-10587"/>
    <d v="2025-04-12T00:00:00"/>
    <d v="2026-03-05T00:00:0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6184.32"/>
    <x v="586"/>
    <x v="586"/>
    <n v="1287.2"/>
    <n v="6436.0000000000036"/>
    <x v="0"/>
    <s v="Paid"/>
    <x v="0"/>
    <n v="327"/>
    <s v="OK"/>
    <s v="Valid"/>
    <s v="Unique"/>
    <s v="North"/>
    <s v="Second Class"/>
    <s v="Valid"/>
    <x v="9"/>
    <n v="2025"/>
    <s v="Clean"/>
    <s v="OK"/>
    <s v="Valid"/>
    <s v="Ok"/>
    <s v="Ok"/>
  </r>
  <r>
    <s v="ORD-2025-10588"/>
    <d v="2025-07-23T00:00:00"/>
    <d v="2026-03-06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"/>
    <n v="2951.52"/>
    <x v="587"/>
    <x v="587"/>
    <n v="664.24"/>
    <n v="4428.2933333333349"/>
    <x v="1"/>
    <s v="Refunded"/>
    <x v="1"/>
    <n v="226"/>
    <s v="OK"/>
    <s v="Valid"/>
    <s v="Unique"/>
    <s v="West"/>
    <s v="First Class"/>
    <s v="Valid"/>
    <x v="0"/>
    <n v="2025"/>
    <s v="Clean"/>
    <s v="OK"/>
    <s v="Valid"/>
    <s v="Missmatched"/>
    <s v="Missmatched"/>
  </r>
  <r>
    <s v="ORD-2025-10589"/>
    <d v="2025-11-03T00:00:00"/>
    <d v="2026-03-07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"/>
    <n v="20896.88"/>
    <x v="588"/>
    <x v="588"/>
    <n v="11116.91"/>
    <n v="111169.11999999997"/>
    <x v="1"/>
    <s v="Refunded"/>
    <x v="1"/>
    <n v="124"/>
    <s v="OK"/>
    <s v="Valid"/>
    <s v="Unique"/>
    <s v="South"/>
    <s v="Second Class"/>
    <s v="Valid"/>
    <x v="2"/>
    <n v="2025"/>
    <s v="Clean"/>
    <s v="OK"/>
    <s v="Valid"/>
    <s v="Missmatched"/>
    <s v="Missmatched"/>
  </r>
  <r>
    <s v="ORD-2024-10590"/>
    <d v="2024-06-12T00:00:00"/>
    <d v="2026-03-08T00:00:00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326.12"/>
    <x v="589"/>
    <x v="589"/>
    <n v="248.13"/>
    <n v="0"/>
    <x v="0"/>
    <s v="Paid"/>
    <x v="0"/>
    <n v="634"/>
    <s v="OK"/>
    <s v="Valid"/>
    <s v="Unique"/>
    <s v="North"/>
    <s v="First Class"/>
    <s v="Valid"/>
    <x v="10"/>
    <n v="2024"/>
    <s v="Clean"/>
    <s v="OK"/>
    <s v="Valid"/>
    <s v="Ok"/>
    <s v="Ok"/>
  </r>
  <r>
    <s v="ORD-2024-10591"/>
    <d v="2024-05-29T00:00:00"/>
    <d v="2026-03-09T00:00:0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15897.65"/>
    <x v="590"/>
    <x v="590"/>
    <n v="4684.45"/>
    <n v="0"/>
    <x v="2"/>
    <s v="Pending"/>
    <x v="1"/>
    <n v="649"/>
    <s v="OK"/>
    <s v="Valid"/>
    <s v="Unique"/>
    <s v="North"/>
    <s v="Same Day"/>
    <s v="Valid"/>
    <x v="3"/>
    <n v="2024"/>
    <s v="Clean"/>
    <s v="OK"/>
    <s v="Valid"/>
    <s v="Ok"/>
    <s v="Ok"/>
  </r>
  <r>
    <s v="ORD-2024-10592"/>
    <d v="2024-02-22T00:00:00"/>
    <d v="2026-03-10T00:00:00"/>
    <s v="CUST-2423"/>
    <s v="Sneha Kapoor"/>
    <x v="0"/>
    <x v="2"/>
    <s v="Karnataka"/>
    <s v="Bengaluru"/>
    <x v="2"/>
    <x v="6"/>
    <s v="Eco Copiers 324"/>
    <x v="2"/>
    <n v="3"/>
    <n v="3545.08"/>
    <n v="0"/>
    <n v="0"/>
    <n v="10635.24"/>
    <n v="6031.88"/>
    <x v="591"/>
    <x v="591"/>
    <n v="4603.3599999999997"/>
    <n v="0"/>
    <x v="3"/>
    <s v="Failed"/>
    <x v="2"/>
    <n v="747"/>
    <s v="OK"/>
    <s v="Valid"/>
    <s v="Unique"/>
    <s v="South"/>
    <s v="First Class"/>
    <s v="Valid"/>
    <x v="5"/>
    <n v="2024"/>
    <s v="Clean"/>
    <s v="OK"/>
    <s v="Valid"/>
    <s v="Ok"/>
    <s v="Ok"/>
  </r>
  <r>
    <s v="ORD-2024-10593"/>
    <d v="2024-03-04T00:00:00"/>
    <d v="2026-03-11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9"/>
    <n v="22436.03"/>
    <x v="592"/>
    <x v="592"/>
    <n v="7493.56"/>
    <n v="49957.053333333344"/>
    <x v="0"/>
    <s v="Paid"/>
    <x v="0"/>
    <n v="737"/>
    <s v="OK"/>
    <s v="Valid"/>
    <s v="Unique"/>
    <s v="East"/>
    <s v="Same Day"/>
    <s v="Valid"/>
    <x v="11"/>
    <n v="2024"/>
    <s v="Clean"/>
    <s v="OK"/>
    <s v="Valid"/>
    <s v="Missmatched"/>
    <s v="Missmatched"/>
  </r>
  <r>
    <s v="ORD-2025-10594"/>
    <d v="2025-09-27T00:00:00"/>
    <d v="2026-03-12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15571.08"/>
    <x v="593"/>
    <x v="593"/>
    <n v="12104.66"/>
    <n v="48418.65"/>
    <x v="0"/>
    <s v="Paid"/>
    <x v="0"/>
    <n v="166"/>
    <s v="OK"/>
    <s v="Valid"/>
    <s v="Unique"/>
    <s v="North"/>
    <s v="Second Class"/>
    <s v="Valid"/>
    <x v="6"/>
    <n v="2025"/>
    <s v="Clean"/>
    <s v="OK"/>
    <s v="Valid"/>
    <s v="Missmatched"/>
    <s v="Missmatched"/>
  </r>
  <r>
    <s v="ORD-2024-10595"/>
    <d v="2024-09-19T00:00:00"/>
    <d v="2026-03-13T00:00:00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9700.31"/>
    <x v="594"/>
    <x v="594"/>
    <n v="2244.9699999999998"/>
    <n v="0"/>
    <x v="0"/>
    <s v="Paid"/>
    <x v="0"/>
    <n v="540"/>
    <s v="OK"/>
    <s v="Valid"/>
    <s v="Unique"/>
    <s v="East"/>
    <s v="First Class"/>
    <s v="Valid"/>
    <x v="6"/>
    <n v="2024"/>
    <s v="Clean"/>
    <s v="OK"/>
    <s v="Valid"/>
    <s v="Ok"/>
    <s v="Ok"/>
  </r>
  <r>
    <s v="ORD-2025-10596"/>
    <d v="2025-11-02T00:00:00"/>
    <d v="2026-03-14T00:00:00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"/>
    <n v="9764"/>
    <x v="595"/>
    <x v="595"/>
    <n v="3380.03"/>
    <n v="33800.319999999992"/>
    <x v="0"/>
    <s v="Paid"/>
    <x v="0"/>
    <n v="132"/>
    <s v="OK"/>
    <s v="Valid"/>
    <s v="Unique"/>
    <s v="North"/>
    <s v="First Class"/>
    <s v="Valid"/>
    <x v="2"/>
    <n v="2025"/>
    <s v="Clean"/>
    <s v="OK"/>
    <s v="Valid"/>
    <s v="Missmatched"/>
    <s v="Missmatched"/>
  </r>
  <r>
    <s v="ORD-2024-10597"/>
    <d v="2024-10-04T00:00:00"/>
    <d v="2026-03-15T00:00:00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9999999998"/>
    <n v="13108.2"/>
    <x v="596"/>
    <x v="596"/>
    <n v="5273.81"/>
    <n v="21095.220000000016"/>
    <x v="0"/>
    <s v="Paid"/>
    <x v="0"/>
    <n v="527"/>
    <s v="OK"/>
    <s v="Valid"/>
    <s v="Unique"/>
    <s v="South"/>
    <s v="Second Class"/>
    <s v="Valid"/>
    <x v="4"/>
    <n v="2024"/>
    <s v="Clean"/>
    <s v="OK"/>
    <s v="Valid"/>
    <s v="Missmatched"/>
    <s v="Missmatched"/>
  </r>
  <r>
    <s v="ORD-2025-10598"/>
    <d v="2025-08-07T00:00:00"/>
    <d v="2026-03-16T00:00:00"/>
    <s v="CUST-6957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1262.74"/>
    <x v="597"/>
    <x v="597"/>
    <n v="592.70000000000005"/>
    <n v="2370.8000000000002"/>
    <x v="0"/>
    <s v="Paid"/>
    <x v="0"/>
    <n v="221"/>
    <s v="OK"/>
    <s v="Valid"/>
    <s v="Unique"/>
    <s v="South"/>
    <s v="Same Day"/>
    <s v="Valid"/>
    <x v="1"/>
    <n v="2025"/>
    <s v="Clean"/>
    <s v="OK"/>
    <s v="Valid"/>
    <s v="Ok"/>
    <s v="Ok"/>
  </r>
  <r>
    <s v="ORD-2024-10599"/>
    <d v="2024-08-17T00:00:00"/>
    <d v="2026-03-17T00:00:00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2672.67"/>
    <x v="598"/>
    <x v="598"/>
    <n v="681.38"/>
    <n v="2725.5299999999988"/>
    <x v="0"/>
    <s v="Paid"/>
    <x v="0"/>
    <n v="577"/>
    <s v="OK"/>
    <s v="Valid"/>
    <s v="Duplicate"/>
    <s v="East"/>
    <s v="Same Day"/>
    <s v="Valid"/>
    <x v="1"/>
    <n v="2024"/>
    <s v="Clean"/>
    <s v="OK"/>
    <s v="Valid"/>
    <s v="Missmatched"/>
    <s v="Missmatched"/>
  </r>
  <r>
    <s v="ORD-2024-10600"/>
    <d v="2024-08-19T00:00:00"/>
    <d v="2026-03-18T00:00:00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99999999998"/>
    <n v="1621.72"/>
    <x v="599"/>
    <x v="599"/>
    <n v="861.25"/>
    <n v="3444.9800000000005"/>
    <x v="0"/>
    <s v="Paid"/>
    <x v="0"/>
    <n v="576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5-10601"/>
    <d v="2025-03-05T00:00:00"/>
    <d v="2026-03-19T00:00:00"/>
    <s v="CUST-6013"/>
    <s v="Ananya Rao"/>
    <x v="2"/>
    <x v="3"/>
    <s v="Madhya Pradesh"/>
    <s v="Indore"/>
    <x v="0"/>
    <x v="8"/>
    <s v="Prime Storage 432"/>
    <x v="1"/>
    <n v="3"/>
    <n v="3682.75"/>
    <m/>
    <n v="0"/>
    <n v="11048.25"/>
    <n v="9062.7199999999993"/>
    <x v="600"/>
    <x v="600"/>
    <n v="1985.53"/>
    <n v="0"/>
    <x v="0"/>
    <s v="Paid"/>
    <x v="0"/>
    <n v="379"/>
    <s v="OK"/>
    <s v="Valid"/>
    <s v="Unique"/>
    <s v="West"/>
    <s v="Same Day"/>
    <s v="Valid"/>
    <x v="11"/>
    <n v="2025"/>
    <s v="Clean"/>
    <s v="OK"/>
    <s v="Valid"/>
    <s v="Ok"/>
    <s v="Ok"/>
  </r>
  <r>
    <s v="ORD-2024-10602"/>
    <d v="2024-01-26T00:00:00"/>
    <d v="2026-03-20T00:00:00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3604.03"/>
    <x v="601"/>
    <x v="601"/>
    <n v="2856.09"/>
    <n v="14280.449999999997"/>
    <x v="0"/>
    <s v="Paid"/>
    <x v="0"/>
    <n v="784"/>
    <s v="OK"/>
    <s v="Valid"/>
    <s v="Unique"/>
    <s v="East"/>
    <s v="Second Class"/>
    <s v="Valid"/>
    <x v="8"/>
    <n v="2024"/>
    <s v="Clean"/>
    <s v="OK"/>
    <s v="Valid"/>
    <s v="Ok"/>
    <s v="Ok"/>
  </r>
  <r>
    <s v="ORD-2024-10603"/>
    <d v="2024-10-23T00:00:00"/>
    <d v="2026-03-21T00:00:00"/>
    <s v="CUST-5668"/>
    <s v="Aarav Sharma"/>
    <x v="0"/>
    <x v="1"/>
    <s v="Jharkhand"/>
    <s v="Ranchi"/>
    <x v="2"/>
    <x v="6"/>
    <s v="Max Copiers 477"/>
    <x v="0"/>
    <n v="9"/>
    <n v="3423.82"/>
    <n v="0.15"/>
    <n v="0.15"/>
    <n v="26192.22"/>
    <n v="20795.55"/>
    <x v="602"/>
    <x v="602"/>
    <n v="5396.67"/>
    <n v="35977.820000000022"/>
    <x v="0"/>
    <s v="Paid"/>
    <x v="0"/>
    <n v="514"/>
    <s v="OK"/>
    <s v="Valid"/>
    <s v="Unique"/>
    <s v="East"/>
    <s v="Second Class"/>
    <s v="Valid"/>
    <x v="4"/>
    <n v="2024"/>
    <s v="Clean"/>
    <s v="OK"/>
    <s v="Valid"/>
    <s v="Missmatched"/>
    <s v="Missmatched"/>
  </r>
  <r>
    <s v="ORD-2025-10604"/>
    <d v="2025-03-01T00:00:00"/>
    <d v="2026-03-22T00:00:00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599999999999"/>
    <n v="11154.59"/>
    <x v="603"/>
    <x v="603"/>
    <n v="8410.01"/>
    <n v="168200.27999999997"/>
    <x v="2"/>
    <s v="Pending"/>
    <x v="1"/>
    <n v="386"/>
    <s v="OK"/>
    <s v="Valid"/>
    <s v="Unique"/>
    <s v="East"/>
    <s v="First Class"/>
    <s v="Valid"/>
    <x v="11"/>
    <n v="2025"/>
    <s v="Clean"/>
    <s v="OK"/>
    <s v="Valid"/>
    <s v="Missmatched"/>
    <s v="Missmatched"/>
  </r>
  <r>
    <s v="ORD-2025-10605"/>
    <d v="2025-02-05T00:00:00"/>
    <d v="2026-03-23T00:00:00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9"/>
    <n v="1853.23"/>
    <x v="604"/>
    <x v="604"/>
    <n v="1375.67"/>
    <n v="0"/>
    <x v="0"/>
    <s v="Paid"/>
    <x v="0"/>
    <n v="411"/>
    <s v="OK"/>
    <s v="Valid"/>
    <s v="Unique"/>
    <s v="West"/>
    <s v="Same Day"/>
    <s v="Valid"/>
    <x v="5"/>
    <n v="2025"/>
    <s v="Clean"/>
    <s v="OK"/>
    <s v="Valid"/>
    <s v="Ok"/>
    <s v="Ok"/>
  </r>
  <r>
    <s v="ORD-2025-10606"/>
    <d v="2025-09-07T00:00:00"/>
    <d v="2026-03-24T00:00:00"/>
    <s v="CUST-4447"/>
    <s v="Kabir Singh"/>
    <x v="2"/>
    <x v="3"/>
    <s v="Goa"/>
    <s v="Panaji"/>
    <x v="1"/>
    <x v="3"/>
    <s v="Pro Furnishings 267"/>
    <x v="0"/>
    <n v="5"/>
    <n v="1680.01"/>
    <s v="85%"/>
    <s v="85%"/>
    <n v="7560.04"/>
    <n v="6448.05"/>
    <x v="605"/>
    <x v="605"/>
    <n v="1111.99"/>
    <n v="-6103.5794117647056"/>
    <x v="0"/>
    <s v="Paid"/>
    <x v="1"/>
    <n v="198"/>
    <s v="OK"/>
    <s v="Valid"/>
    <s v="Unique"/>
    <s v="West"/>
    <s v="Second Class"/>
    <s v="Invalid"/>
    <x v="6"/>
    <n v="2025"/>
    <s v="Clean"/>
    <s v="OK"/>
    <s v="Valid"/>
    <s v="Missmatched"/>
    <s v="Missmatched"/>
  </r>
  <r>
    <s v="ORD-2025-10607"/>
    <d v="2025-02-22T00:00:00"/>
    <d v="2026-03-25T00:00:00"/>
    <s v="CUST-2698"/>
    <s v="Rahul Verma"/>
    <x v="3"/>
    <x v="3"/>
    <s v="Madhya Pradesh"/>
    <s v="Indore"/>
    <x v="2"/>
    <x v="6"/>
    <s v="Max Copiers 520"/>
    <x v="1"/>
    <n v="3"/>
    <n v="3890.81"/>
    <n v="0.25"/>
    <n v="0.25"/>
    <n v="8754.32"/>
    <n v="6238.9"/>
    <x v="606"/>
    <x v="606"/>
    <n v="2515.42"/>
    <n v="10061.690000000002"/>
    <x v="0"/>
    <s v="Paid"/>
    <x v="0"/>
    <n v="396"/>
    <s v="OK"/>
    <s v="Valid"/>
    <s v="Unique"/>
    <s v="West"/>
    <s v="Same Day"/>
    <s v="Valid"/>
    <x v="5"/>
    <n v="2025"/>
    <s v="Clean"/>
    <s v="OK"/>
    <s v="Valid"/>
    <s v="Missmatched"/>
    <s v="Missmatched"/>
  </r>
  <r>
    <s v="ORD-2025-10608"/>
    <d v="2025-02-16T00:00:00"/>
    <d v="2026-03-26T00:00:00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5"/>
    <n v="2862.03"/>
    <x v="607"/>
    <x v="607"/>
    <n v="1195.32"/>
    <n v="7968.7833333333283"/>
    <x v="0"/>
    <s v="Paid"/>
    <x v="0"/>
    <n v="403"/>
    <s v="OK"/>
    <s v="Valid"/>
    <s v="Unique"/>
    <s v="East"/>
    <s v="Same Day"/>
    <s v="Valid"/>
    <x v="5"/>
    <n v="2025"/>
    <s v="Clean"/>
    <s v="OK"/>
    <s v="Valid"/>
    <s v="Missmatched"/>
    <s v="Missmatched"/>
  </r>
  <r>
    <s v="ORD-2024-10609"/>
    <d v="2024-06-21T00:00:00"/>
    <d v="2026-03-27T00:00:00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1667.43"/>
    <x v="608"/>
    <x v="608"/>
    <n v="7716.32"/>
    <n v="0"/>
    <x v="0"/>
    <s v="Paid"/>
    <x v="0"/>
    <n v="644"/>
    <s v="OK"/>
    <s v="Valid"/>
    <s v="Unique"/>
    <s v="West"/>
    <s v="Second Class"/>
    <s v="Valid"/>
    <x v="10"/>
    <n v="2024"/>
    <s v="Clean"/>
    <s v="OK"/>
    <s v="Valid"/>
    <s v="Ok"/>
    <s v="Ok"/>
  </r>
  <r>
    <s v="ORD-2025-10610"/>
    <d v="2025-08-01T00:00:00"/>
    <d v="2026-03-28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6"/>
    <n v="25065.4"/>
    <x v="609"/>
    <x v="609"/>
    <n v="5296.96"/>
    <n v="0"/>
    <x v="0"/>
    <s v="Paid"/>
    <x v="0"/>
    <n v="239"/>
    <s v="OK"/>
    <s v="Valid"/>
    <s v="Unique"/>
    <s v="South"/>
    <s v="Standard Class"/>
    <s v="Valid"/>
    <x v="1"/>
    <n v="2025"/>
    <s v="Clean"/>
    <s v="OK"/>
    <s v="Valid"/>
    <s v="Ok"/>
    <s v="Ok"/>
  </r>
  <r>
    <s v="ORD-2024-10611"/>
    <d v="2024-05-20T00:00:00"/>
    <d v="2026-03-29T00:00:0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"/>
    <n v="1715.36"/>
    <x v="610"/>
    <x v="610"/>
    <n v="1014.29"/>
    <n v="10142.949999999997"/>
    <x v="0"/>
    <s v="Paid"/>
    <x v="0"/>
    <n v="678"/>
    <s v="OK"/>
    <s v="Valid"/>
    <s v="Unique"/>
    <s v="West"/>
    <s v="Standard Class"/>
    <s v="Valid"/>
    <x v="3"/>
    <n v="2024"/>
    <s v="Clean"/>
    <s v="OK"/>
    <s v="Valid"/>
    <s v="Missmatched"/>
    <s v="Missmatched"/>
  </r>
  <r>
    <s v="ORD-2025-10612"/>
    <d v="2025-07-08T00:00:00"/>
    <d v="2026-03-30T00:00:00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200000000004"/>
    <n v="3908.23"/>
    <x v="611"/>
    <x v="611"/>
    <n v="809.79"/>
    <n v="8097.859999999996"/>
    <x v="0"/>
    <s v="Paid"/>
    <x v="0"/>
    <n v="265"/>
    <s v="OK"/>
    <s v="Valid"/>
    <s v="Unique"/>
    <s v="North"/>
    <s v="Same Day"/>
    <s v="Valid"/>
    <x v="0"/>
    <n v="2025"/>
    <s v="Clean"/>
    <s v="OK"/>
    <s v="Valid"/>
    <s v="Missmatched"/>
    <s v="Missmatched"/>
  </r>
  <r>
    <s v="ORD-2025-10613"/>
    <d v="2025-06-04T00:00:00"/>
    <d v="2026-03-31T00:00:00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2195.79"/>
    <x v="612"/>
    <x v="612"/>
    <n v="1648.22"/>
    <n v="0"/>
    <x v="0"/>
    <s v="Paid"/>
    <x v="0"/>
    <n v="300"/>
    <s v="OK"/>
    <s v="Valid"/>
    <s v="Unique"/>
    <s v="Unknown"/>
    <s v="Standard Class"/>
    <s v="Valid"/>
    <x v="10"/>
    <n v="2025"/>
    <s v="Clean"/>
    <s v="OK"/>
    <s v="Valid"/>
    <s v="Ok"/>
    <s v="Ok"/>
  </r>
  <r>
    <s v="ORD-2024-10614"/>
    <d v="2024-05-10T00:00:00"/>
    <d v="2026-04-01T00:00:00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14672.41"/>
    <x v="613"/>
    <x v="613"/>
    <n v="8016.37"/>
    <n v="32065.460000000006"/>
    <x v="0"/>
    <s v="Paid"/>
    <x v="0"/>
    <n v="691"/>
    <s v="OK"/>
    <s v="Valid"/>
    <s v="Unique"/>
    <s v="West"/>
    <s v="Same Day"/>
    <s v="Valid"/>
    <x v="3"/>
    <n v="2024"/>
    <s v="Clean"/>
    <s v="OK"/>
    <s v="Valid"/>
    <s v="Missmatched"/>
    <s v="Missmatched"/>
  </r>
  <r>
    <s v="ORD-2024-10615"/>
    <d v="2024-02-11T00:00:00"/>
    <d v="2026-04-02T00:00:00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19999999998"/>
    <n v="16661.080000000002"/>
    <x v="614"/>
    <x v="614"/>
    <n v="3728.84"/>
    <n v="14915.36"/>
    <x v="1"/>
    <s v="Refunded"/>
    <x v="1"/>
    <n v="781"/>
    <s v="OK"/>
    <s v="Valid"/>
    <s v="Unique"/>
    <s v="South"/>
    <s v="Standard Class"/>
    <s v="Valid"/>
    <x v="5"/>
    <n v="2024"/>
    <s v="Clean"/>
    <s v="OK"/>
    <s v="Valid"/>
    <s v="Ok"/>
    <s v="Ok"/>
  </r>
  <r>
    <s v="ORD-2024-10616"/>
    <d v="2024-04-10T00:00:00"/>
    <d v="2026-04-03T00:00:00"/>
    <s v="CUST-4462"/>
    <s v="Rahul Verma"/>
    <x v="2"/>
    <x v="2"/>
    <s v="Kerala"/>
    <s v="Kochi"/>
    <x v="0"/>
    <x v="2"/>
    <s v="Basic Art 771"/>
    <x v="0"/>
    <n v="2"/>
    <n v="3144.38"/>
    <n v="0.1"/>
    <n v="0.1"/>
    <n v="5904.57"/>
    <n v="4337.79"/>
    <x v="615"/>
    <x v="615"/>
    <n v="1322.09"/>
    <n v="13220.94"/>
    <x v="0"/>
    <s v="Paid"/>
    <x v="0"/>
    <n v="723"/>
    <s v="OK"/>
    <s v="Valid"/>
    <s v="Unique"/>
    <s v="South"/>
    <s v="Second Class"/>
    <s v="Valid"/>
    <x v="9"/>
    <n v="2024"/>
    <s v="Clean"/>
    <s v="OK"/>
    <s v="Valid"/>
    <s v="Missmatched"/>
    <s v="Missmatched"/>
  </r>
  <r>
    <s v="ORD-2024-10617"/>
    <d v="2024-08-16T00:00:00"/>
    <d v="2026-04-04T00:00:00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1840.58"/>
    <x v="616"/>
    <x v="616"/>
    <n v="7002.06"/>
    <n v="35010.30000000001"/>
    <x v="0"/>
    <s v="Paid"/>
    <x v="0"/>
    <n v="596"/>
    <s v="OK"/>
    <s v="Valid"/>
    <s v="Unique"/>
    <s v="South"/>
    <s v="Standard Class"/>
    <s v="Valid"/>
    <x v="1"/>
    <n v="2024"/>
    <s v="Clean"/>
    <s v="OK"/>
    <s v="Valid"/>
    <s v="Ok"/>
    <s v="Ok"/>
  </r>
  <r>
    <s v="ORD-2024-10618"/>
    <d v="2024-09-29T00:00:00"/>
    <d v="2026-04-05T00:00:00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0350.849999999999"/>
    <x v="617"/>
    <x v="617"/>
    <n v="4326.34"/>
    <n v="0"/>
    <x v="0"/>
    <s v="Paid"/>
    <x v="0"/>
    <n v="553"/>
    <s v="OK"/>
    <s v="Valid"/>
    <s v="Unique"/>
    <s v="South"/>
    <s v="Standard Class"/>
    <s v="Valid"/>
    <x v="6"/>
    <n v="2024"/>
    <s v="Clean"/>
    <s v="OK"/>
    <s v="Valid"/>
    <s v="Ok"/>
    <s v="Ok"/>
  </r>
  <r>
    <s v="ORD-2024-10619"/>
    <d v="2024-07-23T00:00:00"/>
    <d v="2026-04-06T00:00:00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0540.8"/>
    <x v="618"/>
    <x v="618"/>
    <n v="2082.44"/>
    <n v="8329.7699999999968"/>
    <x v="3"/>
    <s v="Failed"/>
    <x v="1"/>
    <n v="622"/>
    <s v="OK"/>
    <s v="Valid"/>
    <s v="Unique"/>
    <s v="North"/>
    <s v="Same Day"/>
    <s v="Valid"/>
    <x v="0"/>
    <n v="2024"/>
    <s v="Clean"/>
    <s v="OK"/>
    <s v="Valid"/>
    <s v="Missmatched"/>
    <s v="Missmatched"/>
  </r>
  <r>
    <s v="ORD-2024-10620"/>
    <d v="2024-11-22T00:00:00"/>
    <d v="2026-04-07T00:00:00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1"/>
    <n v="2917.54"/>
    <x v="619"/>
    <x v="619"/>
    <n v="483.47"/>
    <n v="2417.3400000000015"/>
    <x v="1"/>
    <s v="Refunded"/>
    <x v="2"/>
    <n v="501"/>
    <s v="OK"/>
    <s v="Valid"/>
    <s v="Unique"/>
    <s v="South"/>
    <s v="First Class"/>
    <s v="Valid"/>
    <x v="2"/>
    <n v="2024"/>
    <s v="Clean"/>
    <s v="OK"/>
    <s v="Valid"/>
    <s v="Missmatched"/>
    <s v="Missmatched"/>
  </r>
  <r>
    <s v="ORD-2024-10621"/>
    <d v="2024-08-18T00:00:00"/>
    <d v="2026-04-08T00:00:00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4946.78"/>
    <x v="620"/>
    <x v="620"/>
    <n v="1662.28"/>
    <n v="0"/>
    <x v="0"/>
    <s v="Paid"/>
    <x v="0"/>
    <n v="598"/>
    <s v="OK"/>
    <s v="Valid"/>
    <s v="Unique"/>
    <s v="North"/>
    <s v="Standard Class"/>
    <s v="Valid"/>
    <x v="1"/>
    <n v="2024"/>
    <s v="Clean"/>
    <s v="OK"/>
    <s v="Valid"/>
    <s v="Ok"/>
    <s v="Ok"/>
  </r>
  <r>
    <s v="ORD-2024-10622"/>
    <d v="2024-11-28T00:00:00"/>
    <d v="2026-04-09T00:00:00"/>
    <s v="CUST-7236"/>
    <s v="Aditi Sen"/>
    <x v="0"/>
    <x v="3"/>
    <s v="Maharashtra"/>
    <s v="Mumbai"/>
    <x v="1"/>
    <x v="4"/>
    <s v="Max Chairs 748"/>
    <x v="1"/>
    <n v="5"/>
    <n v="1092.8399999999999"/>
    <m/>
    <n v="0"/>
    <n v="5464.2"/>
    <n v="3318.09"/>
    <x v="621"/>
    <x v="621"/>
    <n v="2146.11"/>
    <n v="0"/>
    <x v="0"/>
    <s v="Paid"/>
    <x v="0"/>
    <n v="497"/>
    <s v="OK"/>
    <s v="Valid"/>
    <s v="Unique"/>
    <s v="West"/>
    <s v="Same Day"/>
    <s v="Valid"/>
    <x v="2"/>
    <n v="2024"/>
    <s v="Clean"/>
    <s v="OK"/>
    <s v="Valid"/>
    <s v="Ok"/>
    <s v="Ok"/>
  </r>
  <r>
    <s v="ORD-2025-10623"/>
    <d v="2025-01-29T00:00:00"/>
    <d v="2026-04-10T00:00:00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4"/>
    <n v="6680.15"/>
    <x v="622"/>
    <x v="622"/>
    <n v="3804.09"/>
    <n v="76081.760000000024"/>
    <x v="0"/>
    <s v="Paid"/>
    <x v="0"/>
    <n v="436"/>
    <s v="OK"/>
    <s v="Valid"/>
    <s v="Unique"/>
    <s v="East"/>
    <s v="Standard Class"/>
    <s v="Valid"/>
    <x v="8"/>
    <n v="2025"/>
    <s v="Clean"/>
    <s v="OK"/>
    <s v="Valid"/>
    <s v="Missmatched"/>
    <s v="Missmatched"/>
  </r>
  <r>
    <s v="ORD-2024-10624"/>
    <d v="2024-08-08T00:00:00"/>
    <d v="2026-04-11T00:00:00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"/>
    <n v="7512.22"/>
    <x v="623"/>
    <x v="623"/>
    <n v="2817.62"/>
    <n v="56352.479999999974"/>
    <x v="0"/>
    <s v="Paid"/>
    <x v="0"/>
    <n v="611"/>
    <s v="OK"/>
    <s v="Valid"/>
    <s v="Unique"/>
    <s v="North"/>
    <s v="Second Class"/>
    <s v="Valid"/>
    <x v="1"/>
    <n v="2024"/>
    <s v="Clean"/>
    <s v="OK"/>
    <s v="Valid"/>
    <s v="Missmatched"/>
    <s v="Missmatched"/>
  </r>
  <r>
    <s v="ORD-2024-10625"/>
    <d v="2024-01-30T00:00:00"/>
    <d v="2026-04-12T00:00:00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99999999991"/>
    <n v="5462.85"/>
    <x v="624"/>
    <x v="624"/>
    <n v="2994.11"/>
    <n v="59882.139999999963"/>
    <x v="0"/>
    <s v="Paid"/>
    <x v="0"/>
    <n v="803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4-10626"/>
    <d v="2024-12-15T00:00:00"/>
    <d v="2026-04-13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100000000001"/>
    <n v="983.92"/>
    <x v="625"/>
    <x v="625"/>
    <n v="282.49"/>
    <n v="1412.4399999999996"/>
    <x v="0"/>
    <s v="Paid"/>
    <x v="0"/>
    <n v="484"/>
    <s v="OK"/>
    <s v="Valid"/>
    <s v="Unique"/>
    <s v="West"/>
    <s v="Same Day"/>
    <s v="Valid"/>
    <x v="7"/>
    <n v="2024"/>
    <s v="Clean"/>
    <s v="OK"/>
    <s v="Valid"/>
    <s v="Missmatched"/>
    <s v="Missmatched"/>
  </r>
  <r>
    <s v="ORD-2025-10627"/>
    <d v="2025-06-04T00:00:00"/>
    <d v="2026-04-14T00:00:00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8931.33"/>
    <x v="626"/>
    <x v="626"/>
    <n v="2541.71"/>
    <n v="0"/>
    <x v="2"/>
    <s v="Pending"/>
    <x v="2"/>
    <n v="314"/>
    <s v="OK"/>
    <s v="Valid"/>
    <s v="Unique"/>
    <s v="East"/>
    <s v="Standard Class"/>
    <s v="Valid"/>
    <x v="10"/>
    <n v="2025"/>
    <s v="Clean"/>
    <s v="OK"/>
    <s v="Valid"/>
    <s v="Ok"/>
    <s v="Ok"/>
  </r>
  <r>
    <s v="ORD-2025-10628"/>
    <d v="2025-02-13T00:00:00"/>
    <d v="2026-04-15T00:00:00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"/>
    <n v="3142.92"/>
    <x v="627"/>
    <x v="627"/>
    <n v="869.11"/>
    <n v="5794.0933333333305"/>
    <x v="2"/>
    <s v="Pending"/>
    <x v="1"/>
    <n v="426"/>
    <s v="OK"/>
    <s v="Valid"/>
    <s v="Unique"/>
    <s v="South"/>
    <s v="Second Class"/>
    <s v="Valid"/>
    <x v="5"/>
    <n v="2025"/>
    <s v="Clean"/>
    <s v="OK"/>
    <s v="Valid"/>
    <s v="Missmatched"/>
    <s v="Missmatched"/>
  </r>
  <r>
    <s v="ORD-2025-10629"/>
    <d v="2025-05-10T00:00:00"/>
    <d v="2026-04-16T00:00:00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6"/>
    <n v="4391.29"/>
    <x v="628"/>
    <x v="628"/>
    <n v="973.07"/>
    <n v="19461.309999999994"/>
    <x v="0"/>
    <s v="Paid"/>
    <x v="0"/>
    <n v="341"/>
    <s v="OK"/>
    <s v="Valid"/>
    <s v="Unique"/>
    <s v="East"/>
    <s v="Same Day"/>
    <s v="Valid"/>
    <x v="3"/>
    <n v="2025"/>
    <s v="Clean"/>
    <s v="OK"/>
    <s v="Valid"/>
    <s v="Missmatched"/>
    <s v="Missmatched"/>
  </r>
  <r>
    <s v="ORD-2025-10630"/>
    <d v="2025-10-09T00:00:00"/>
    <d v="2026-04-17T00:00:00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"/>
    <n v="5927.1"/>
    <x v="629"/>
    <x v="629"/>
    <n v="4778.97"/>
    <n v="31859.82"/>
    <x v="0"/>
    <s v="Paid"/>
    <x v="0"/>
    <n v="190"/>
    <s v="OK"/>
    <s v="Valid"/>
    <s v="Unique"/>
    <s v="West"/>
    <s v="Same Day"/>
    <s v="Valid"/>
    <x v="4"/>
    <n v="2025"/>
    <s v="Clean"/>
    <s v="OK"/>
    <s v="Valid"/>
    <s v="Missmatched"/>
    <s v="Missmatched"/>
  </r>
  <r>
    <s v="ORD-2024-10631"/>
    <d v="2024-09-04T00:00:00"/>
    <d v="2026-04-18T00:00:00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"/>
    <n v="9254.4599999999991"/>
    <x v="630"/>
    <x v="630"/>
    <n v="1714.92"/>
    <n v="17149.200000000019"/>
    <x v="0"/>
    <s v="Paid"/>
    <x v="0"/>
    <n v="591"/>
    <s v="OK"/>
    <s v="Valid"/>
    <s v="Unique"/>
    <s v="East"/>
    <s v="Standard Class"/>
    <s v="Valid"/>
    <x v="6"/>
    <n v="2024"/>
    <s v="Clean"/>
    <s v="OK"/>
    <s v="Valid"/>
    <s v="Ok"/>
    <s v="Ok"/>
  </r>
  <r>
    <s v="ORD-2024-10632"/>
    <d v="2024-10-04T00:00:00"/>
    <d v="2026-04-19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6"/>
    <n v="22523.54"/>
    <x v="631"/>
    <x v="631"/>
    <n v="8886.32"/>
    <n v="88863.159999999945"/>
    <x v="0"/>
    <s v="Paid"/>
    <x v="0"/>
    <n v="562"/>
    <s v="OK"/>
    <s v="Valid"/>
    <s v="Unique"/>
    <s v="West"/>
    <s v="Standard Class"/>
    <s v="Valid"/>
    <x v="4"/>
    <n v="2024"/>
    <s v="Clean"/>
    <s v="OK"/>
    <s v="Valid"/>
    <s v="Missmatched"/>
    <s v="Missmatched"/>
  </r>
  <r>
    <s v="ORD-2025-10633"/>
    <d v="2025-04-15T00:00:00"/>
    <d v="2026-04-20T00:00:00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1558.31"/>
    <x v="632"/>
    <x v="632"/>
    <n v="2694.34"/>
    <n v="0"/>
    <x v="0"/>
    <s v="Paid"/>
    <x v="0"/>
    <n v="370"/>
    <s v="OK"/>
    <s v="Valid"/>
    <s v="Duplicate"/>
    <s v="South"/>
    <s v="First Class"/>
    <s v="Valid"/>
    <x v="9"/>
    <n v="2025"/>
    <s v="Clean"/>
    <s v="OK"/>
    <s v="Valid"/>
    <s v="Ok"/>
    <s v="Ok"/>
  </r>
  <r>
    <s v="ORD-2025-10634"/>
    <d v="2025-04-18T00:00:00"/>
    <d v="2026-04-21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7"/>
    <n v="810.03"/>
    <x v="633"/>
    <x v="633"/>
    <n v="572.14"/>
    <n v="3814.2533333333331"/>
    <x v="0"/>
    <s v="Paid"/>
    <x v="0"/>
    <n v="368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35"/>
    <d v="2025-11-01T00:00:00"/>
    <d v="2026-04-22T00:00:00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5103.7"/>
    <x v="634"/>
    <x v="634"/>
    <n v="4119.47"/>
    <n v="82389.399999999994"/>
    <x v="0"/>
    <s v="Paid"/>
    <x v="0"/>
    <n v="172"/>
    <s v="OK"/>
    <s v="Valid"/>
    <s v="Unique"/>
    <s v="South"/>
    <s v="Second Class"/>
    <s v="Valid"/>
    <x v="2"/>
    <n v="2025"/>
    <s v="Clean"/>
    <s v="OK"/>
    <s v="Valid"/>
    <s v="Ok"/>
    <s v="Ok"/>
  </r>
  <r>
    <s v="ORD-2024-10636"/>
    <d v="2024-05-20T00:00:00"/>
    <d v="2026-04-23T00:00:00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"/>
    <n v="10404.17"/>
    <x v="635"/>
    <x v="635"/>
    <n v="5990.79"/>
    <n v="23963.170000000006"/>
    <x v="0"/>
    <s v="Paid"/>
    <x v="0"/>
    <n v="703"/>
    <s v="OK"/>
    <s v="Valid"/>
    <s v="Unique"/>
    <s v="South"/>
    <s v="Same Day"/>
    <s v="Valid"/>
    <x v="3"/>
    <n v="2024"/>
    <s v="Clean"/>
    <s v="OK"/>
    <s v="Valid"/>
    <s v="Missmatched"/>
    <s v="Missmatched"/>
  </r>
  <r>
    <s v="ORD-2024-10637"/>
    <d v="2024-02-10T00:00:00"/>
    <d v="2026-04-24T00:00:00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0200.799999999999"/>
    <x v="636"/>
    <x v="636"/>
    <n v="2789.31"/>
    <n v="18595.386666666673"/>
    <x v="0"/>
    <s v="Paid"/>
    <x v="0"/>
    <n v="804"/>
    <s v="OK"/>
    <s v="Valid"/>
    <s v="Unique"/>
    <s v="South"/>
    <s v="Standard Class"/>
    <s v="Valid"/>
    <x v="5"/>
    <n v="2024"/>
    <s v="Clean"/>
    <s v="OK"/>
    <s v="Valid"/>
    <s v="Missmatched"/>
    <s v="Missmatched"/>
  </r>
  <r>
    <s v="ORD-2024-10638"/>
    <d v="2024-05-26T00:00:00"/>
    <d v="2026-04-25T00:00:00"/>
    <s v="CUST-2594"/>
    <s v="Rahul Verma"/>
    <x v="1"/>
    <x v="3"/>
    <s v="Goa"/>
    <s v="Panaji"/>
    <x v="2"/>
    <x v="6"/>
    <s v="Max Copiers 994"/>
    <x v="2"/>
    <n v="2"/>
    <n v="3192.47"/>
    <n v="0.2"/>
    <n v="0.2"/>
    <n v="5107.95"/>
    <n v="3133.08"/>
    <x v="637"/>
    <x v="637"/>
    <n v="1974.87"/>
    <n v="9874.36"/>
    <x v="0"/>
    <s v="Paid"/>
    <x v="0"/>
    <n v="699"/>
    <s v="OK"/>
    <s v="Valid"/>
    <s v="Unique"/>
    <s v="West"/>
    <s v="First Class"/>
    <s v="Valid"/>
    <x v="3"/>
    <n v="2024"/>
    <s v="Clean"/>
    <s v="OK"/>
    <s v="Valid"/>
    <s v="Missmatched"/>
    <s v="Missmatched"/>
  </r>
  <r>
    <s v="ORD-2024-10639"/>
    <d v="2024-01-26T00:00:00"/>
    <d v="2026-04-26T00:00:00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7"/>
    <n v="4626.8500000000004"/>
    <x v="638"/>
    <x v="638"/>
    <n v="3111.52"/>
    <n v="15557.590000000004"/>
    <x v="3"/>
    <s v="Failed"/>
    <x v="2"/>
    <n v="821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4-10640"/>
    <d v="2024-12-27T00:00:00"/>
    <d v="2026-04-27T00:00:00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"/>
    <n v="1046.17"/>
    <x v="639"/>
    <x v="639"/>
    <n v="468.79"/>
    <n v="9375.899999999996"/>
    <x v="0"/>
    <s v="Paid"/>
    <x v="0"/>
    <n v="486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5-10641"/>
    <d v="2025-01-14T00:00:00"/>
    <d v="2026-04-28T00:00:00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3"/>
    <n v="923.53"/>
    <x v="640"/>
    <x v="640"/>
    <n v="343.77"/>
    <n v="1718.8300000000004"/>
    <x v="0"/>
    <s v="Paid"/>
    <x v="0"/>
    <n v="469"/>
    <s v="OK"/>
    <s v="Valid"/>
    <s v="Unique"/>
    <s v="West"/>
    <s v="First Class"/>
    <s v="Valid"/>
    <x v="8"/>
    <n v="2025"/>
    <s v="Clean"/>
    <s v="OK"/>
    <s v="Valid"/>
    <s v="Missmatched"/>
    <s v="Missmatched"/>
  </r>
  <r>
    <s v="ORD-2025-10642"/>
    <d v="2025-09-04T00:00:00"/>
    <d v="2026-04-29T00:00:00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3561.87"/>
    <x v="641"/>
    <x v="641"/>
    <n v="2843.87"/>
    <n v="0"/>
    <x v="0"/>
    <s v="Paid"/>
    <x v="0"/>
    <n v="237"/>
    <s v="OK"/>
    <s v="Valid"/>
    <s v="Unique"/>
    <s v="North"/>
    <s v="Same Day"/>
    <s v="Valid"/>
    <x v="6"/>
    <n v="2025"/>
    <s v="Clean"/>
    <s v="OK"/>
    <s v="Valid"/>
    <s v="Ok"/>
    <s v="Ok"/>
  </r>
  <r>
    <s v="ORD-2024-10643"/>
    <d v="2024-08-29T00:00:00"/>
    <d v="2026-04-30T00:00:00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7"/>
    <n v="5337.64"/>
    <x v="642"/>
    <x v="642"/>
    <n v="3270.03"/>
    <n v="13080.109999999997"/>
    <x v="3"/>
    <s v="Failed"/>
    <x v="2"/>
    <n v="609"/>
    <s v="OK"/>
    <s v="Valid"/>
    <s v="Unique"/>
    <s v="East"/>
    <s v="Second Class"/>
    <s v="Valid"/>
    <x v="1"/>
    <n v="2024"/>
    <s v="Clean"/>
    <s v="OK"/>
    <s v="Valid"/>
    <s v="Missmatched"/>
    <s v="Missmatched"/>
  </r>
  <r>
    <s v="ORD-2024-10644"/>
    <d v="2024-02-05T00:00:00"/>
    <d v="2026-05-01T00:00:00"/>
    <s v="CUST-1986"/>
    <s v="Aarav Sharma"/>
    <x v="3"/>
    <x v="0"/>
    <s v="Uttar Pradesh"/>
    <s v="Noida"/>
    <x v="0"/>
    <x v="7"/>
    <s v="Elite Labels 654"/>
    <x v="3"/>
    <n v="8"/>
    <n v="3871.18"/>
    <n v="0.15"/>
    <n v="0.15"/>
    <n v="26324.02"/>
    <n v="16277.96"/>
    <x v="643"/>
    <x v="643"/>
    <n v="10046.06"/>
    <n v="66973.759999999995"/>
    <x v="3"/>
    <s v="Failed"/>
    <x v="2"/>
    <n v="816"/>
    <s v="OK"/>
    <s v="Valid"/>
    <s v="Unique"/>
    <s v="North"/>
    <s v="Standard Class"/>
    <s v="Valid"/>
    <x v="5"/>
    <n v="2024"/>
    <s v="Clean"/>
    <s v="OK"/>
    <s v="Valid"/>
    <s v="Missmatched"/>
    <s v="Missmatched"/>
  </r>
  <r>
    <s v="ORD-2025-10645"/>
    <d v="2025-10-04T00:00:00"/>
    <d v="2026-05-02T00:00:00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8"/>
    <n v="10914.92"/>
    <x v="644"/>
    <x v="644"/>
    <n v="3335.16"/>
    <n v="66703.119999999981"/>
    <x v="0"/>
    <s v="Paid"/>
    <x v="0"/>
    <n v="210"/>
    <s v="OK"/>
    <s v="Valid"/>
    <s v="Unique"/>
    <s v="East"/>
    <s v="Standard Class"/>
    <s v="Valid"/>
    <x v="4"/>
    <n v="2025"/>
    <s v="Clean"/>
    <s v="OK"/>
    <s v="Valid"/>
    <s v="Missmatched"/>
    <s v="Missmatched"/>
  </r>
  <r>
    <s v="ORD-2024-10646"/>
    <d v="2024-04-01T00:00:00"/>
    <d v="2026-05-03T00:00:00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"/>
    <n v="7608.89"/>
    <x v="645"/>
    <x v="645"/>
    <n v="5133.22"/>
    <n v="54786.04"/>
    <x v="0"/>
    <s v="Paid"/>
    <x v="0"/>
    <n v="762"/>
    <s v="OK"/>
    <s v="Valid"/>
    <s v="Unique"/>
    <s v="East"/>
    <s v="Second Class"/>
    <s v="Valid"/>
    <x v="9"/>
    <n v="2024"/>
    <s v="Clean"/>
    <s v="OK"/>
    <s v="Valid"/>
    <s v="Missmatched"/>
    <s v="Missmatched"/>
  </r>
  <r>
    <s v="ORD-2024-10647"/>
    <d v="2024-09-18T00:00:00"/>
    <d v="2026-05-04T00:00:00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136.98"/>
    <x v="646"/>
    <x v="646"/>
    <n v="503.59"/>
    <n v="2014.3400000000001"/>
    <x v="0"/>
    <s v="Paid"/>
    <x v="0"/>
    <n v="593"/>
    <s v="OK"/>
    <s v="Valid"/>
    <s v="Unique"/>
    <s v="East"/>
    <s v="First Class"/>
    <s v="Valid"/>
    <x v="6"/>
    <n v="2024"/>
    <s v="Clean"/>
    <s v="OK"/>
    <s v="Valid"/>
    <s v="Missmatched"/>
    <s v="Missmatched"/>
  </r>
  <r>
    <s v="ORD-2025-10648"/>
    <d v="2025-01-01T00:00:00"/>
    <d v="2026-05-05T00:00:00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1"/>
    <n v="10872.89"/>
    <x v="647"/>
    <x v="647"/>
    <n v="3569.02"/>
    <n v="23793.453333333335"/>
    <x v="0"/>
    <s v="Paid"/>
    <x v="0"/>
    <n v="489"/>
    <s v="OK"/>
    <s v="Valid"/>
    <s v="Unique"/>
    <s v="North"/>
    <s v="First Class"/>
    <s v="Valid"/>
    <x v="8"/>
    <n v="2025"/>
    <s v="Clean"/>
    <s v="OK"/>
    <s v="Valid"/>
    <s v="Missmatched"/>
    <s v="Missmatched"/>
  </r>
  <r>
    <s v="ORD-2024-10649"/>
    <d v="2024-04-21T00:00:00"/>
    <d v="2026-05-06T00:00:00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3517.23"/>
    <x v="648"/>
    <x v="648"/>
    <n v="1548.62"/>
    <n v="7743.0900000000038"/>
    <x v="3"/>
    <s v="Failed"/>
    <x v="2"/>
    <n v="745"/>
    <s v="OK"/>
    <s v="Valid"/>
    <s v="Unique"/>
    <s v="South"/>
    <s v="Same Day"/>
    <s v="Valid"/>
    <x v="9"/>
    <n v="2024"/>
    <s v="Clean"/>
    <s v="OK"/>
    <s v="Valid"/>
    <s v="Missmatched"/>
    <s v="Missmatched"/>
  </r>
  <r>
    <s v="ORD-2025-10650"/>
    <d v="2025-11-08T00:00:00"/>
    <d v="2026-05-07T00:00:00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3836.24"/>
    <x v="649"/>
    <x v="649"/>
    <n v="2940.64"/>
    <n v="11762.560000000001"/>
    <x v="0"/>
    <s v="Paid"/>
    <x v="0"/>
    <n v="180"/>
    <s v="OK"/>
    <s v="Valid"/>
    <s v="Unique"/>
    <s v="South"/>
    <s v="Standard Class"/>
    <s v="Valid"/>
    <x v="2"/>
    <n v="2025"/>
    <s v="Clean"/>
    <s v="OK"/>
    <s v="Valid"/>
    <s v="Ok"/>
    <s v="Ok"/>
  </r>
  <r>
    <s v="ORD-2024-10651"/>
    <d v="2024-04-13T00:00:00"/>
    <d v="2026-05-08T00:00:00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"/>
    <n v="9931.5300000000007"/>
    <x v="650"/>
    <x v="650"/>
    <n v="5828.59"/>
    <n v="38857.279999999992"/>
    <x v="3"/>
    <s v="Failed"/>
    <x v="2"/>
    <n v="755"/>
    <s v="OK"/>
    <s v="Valid"/>
    <s v="Unique"/>
    <s v="East"/>
    <s v="Same Day"/>
    <s v="Valid"/>
    <x v="9"/>
    <n v="2024"/>
    <s v="Clean"/>
    <s v="OK"/>
    <s v="Valid"/>
    <s v="Missmatched"/>
    <s v="Missmatched"/>
  </r>
  <r>
    <s v="ORD-2025-10652"/>
    <d v="2025-06-08T00:00:00"/>
    <d v="2026-05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996.72"/>
    <x v="651"/>
    <x v="651"/>
    <n v="798.93"/>
    <n v="0"/>
    <x v="0"/>
    <s v="Paid"/>
    <x v="0"/>
    <n v="335"/>
    <s v="OK"/>
    <s v="Valid"/>
    <s v="Unique"/>
    <s v="South"/>
    <s v="Second Class"/>
    <s v="Valid"/>
    <x v="10"/>
    <n v="2025"/>
    <s v="Clean"/>
    <s v="OK"/>
    <s v="Valid"/>
    <s v="Ok"/>
    <s v="Ok"/>
  </r>
  <r>
    <s v="ORD-2025-10653"/>
    <d v="2025-03-17T00:00:00"/>
    <d v="2026-05-10T00:00:00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9999999998"/>
    <n v="11133.97"/>
    <x v="652"/>
    <x v="652"/>
    <n v="7228.54"/>
    <n v="48190.250000000007"/>
    <x v="0"/>
    <s v="Paid"/>
    <x v="0"/>
    <n v="419"/>
    <s v="OK"/>
    <s v="Valid"/>
    <s v="Unique"/>
    <s v="North"/>
    <s v="Standard Class"/>
    <s v="Valid"/>
    <x v="11"/>
    <n v="2025"/>
    <s v="Clean"/>
    <s v="OK"/>
    <s v="Valid"/>
    <s v="Missmatched"/>
    <s v="Missmatched"/>
  </r>
  <r>
    <s v="ORD-2025-10654"/>
    <d v="2025-04-04T00:00:00"/>
    <d v="2026-05-11T00:00:00"/>
    <s v="CUST-3970"/>
    <s v="Priya Menon"/>
    <x v="1"/>
    <x v="2"/>
    <s v="Tamil Nadu"/>
    <s v="Chennai"/>
    <x v="2"/>
    <x v="6"/>
    <s v="Max Copiers 356"/>
    <x v="0"/>
    <n v="7"/>
    <n v="4457.93"/>
    <n v="0.15"/>
    <n v="0.15"/>
    <n v="26524.68"/>
    <n v="20574.3"/>
    <x v="653"/>
    <x v="653"/>
    <n v="5950.38"/>
    <n v="39669.223333333357"/>
    <x v="0"/>
    <s v="Paid"/>
    <x v="0"/>
    <n v="402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55"/>
    <d v="2025-12-10T00:00:00"/>
    <d v="2026-05-12T00:00:00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1662.39"/>
    <x v="654"/>
    <x v="654"/>
    <n v="393.66"/>
    <n v="1968.2900000000006"/>
    <x v="0"/>
    <s v="Paid"/>
    <x v="0"/>
    <n v="153"/>
    <s v="OK"/>
    <s v="Valid"/>
    <s v="Unique"/>
    <s v="East"/>
    <s v="Same Day"/>
    <s v="Valid"/>
    <x v="7"/>
    <n v="2025"/>
    <s v="Clean"/>
    <s v="OK"/>
    <s v="Valid"/>
    <s v="Missmatched"/>
    <s v="Missmatched"/>
  </r>
  <r>
    <s v="ORD-2025-10656"/>
    <d v="2025-08-26T00:00:00"/>
    <d v="2026-05-13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5124.01"/>
    <x v="655"/>
    <x v="655"/>
    <n v="3483.27"/>
    <n v="0"/>
    <x v="0"/>
    <s v="Paid"/>
    <x v="0"/>
    <n v="260"/>
    <s v="OK"/>
    <s v="Valid"/>
    <s v="Unique"/>
    <s v="East"/>
    <s v="Standard Class"/>
    <s v="Valid"/>
    <x v="1"/>
    <n v="2025"/>
    <s v="Clean"/>
    <s v="OK"/>
    <s v="Valid"/>
    <s v="Ok"/>
    <s v="Ok"/>
  </r>
  <r>
    <s v="ORD-2024-10657"/>
    <d v="2024-05-07T00:00:00"/>
    <d v="2026-05-14T00:00:00"/>
    <s v="CUST-4446"/>
    <s v="Neha Gupta"/>
    <x v="1"/>
    <x v="0"/>
    <s v="Haryana"/>
    <s v="Gurugram"/>
    <x v="2"/>
    <x v="12"/>
    <s v="Pro Machines 589"/>
    <x v="1"/>
    <n v="4"/>
    <n v="2751.1"/>
    <n v="-0.05"/>
    <n v="-0.05"/>
    <n v="9903.9599999999991"/>
    <n v="7696.28"/>
    <x v="656"/>
    <x v="656"/>
    <n v="2207.6799999999998"/>
    <n v="-77166.800000000017"/>
    <x v="0"/>
    <s v="Paid"/>
    <x v="0"/>
    <n v="737"/>
    <s v="OK"/>
    <s v="Valid"/>
    <s v="Unique"/>
    <s v="North"/>
    <s v="Same Day"/>
    <s v="Invalid"/>
    <x v="3"/>
    <n v="2024"/>
    <s v="Clean"/>
    <s v="OK"/>
    <s v="Valid"/>
    <s v="Missmatched"/>
    <s v="Missmatched"/>
  </r>
  <r>
    <s v="ORD-2025-10658"/>
    <d v="2025-07-08T00:00:00"/>
    <d v="2026-05-15T00:00:00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1291.4100000000001"/>
    <x v="657"/>
    <x v="657"/>
    <n v="741.59"/>
    <n v="3707.9499999999994"/>
    <x v="0"/>
    <s v="Paid"/>
    <x v="0"/>
    <n v="311"/>
    <s v="OK"/>
    <s v="Valid"/>
    <s v="Unique"/>
    <s v="East"/>
    <s v="Second Class"/>
    <s v="Valid"/>
    <x v="0"/>
    <n v="2025"/>
    <s v="Clean"/>
    <s v="OK"/>
    <s v="Valid"/>
    <s v="Ok"/>
    <s v="Ok"/>
  </r>
  <r>
    <s v="ORD-2025-10659"/>
    <d v="2025-09-06T00:00:00"/>
    <d v="2026-05-16T00:00:00"/>
    <s v="CUST-9074"/>
    <s v="Sneha Kapoor"/>
    <x v="0"/>
    <x v="4"/>
    <s v="Bihar"/>
    <s v="Patna"/>
    <x v="0"/>
    <x v="2"/>
    <s v="Eco Art 763"/>
    <x v="2"/>
    <n v="7"/>
    <n v="2852.42"/>
    <n v="0"/>
    <n v="0"/>
    <n v="19966.939999999999"/>
    <n v="12690.83"/>
    <x v="658"/>
    <x v="658"/>
    <n v="7276.11"/>
    <n v="0"/>
    <x v="1"/>
    <s v="Refunded"/>
    <x v="1"/>
    <n v="252"/>
    <s v="OK"/>
    <s v="Valid"/>
    <s v="Unique"/>
    <s v="Unknown"/>
    <s v="First Class"/>
    <s v="Valid"/>
    <x v="6"/>
    <n v="2025"/>
    <s v="Clean"/>
    <s v="OK"/>
    <s v="Valid"/>
    <s v="Ok"/>
    <s v="Ok"/>
  </r>
  <r>
    <s v="ORD-2025-10660"/>
    <d v="2025-01-21T00:00:00"/>
    <d v="2026-05-17T00:00:00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9"/>
    <n v="513.88"/>
    <x v="659"/>
    <x v="659"/>
    <n v="197.02"/>
    <n v="985.08000000000038"/>
    <x v="1"/>
    <s v="Refunded"/>
    <x v="1"/>
    <n v="481"/>
    <s v="OK"/>
    <s v="Valid"/>
    <s v="Unique"/>
    <s v="South"/>
    <s v="Second Class"/>
    <s v="Valid"/>
    <x v="8"/>
    <n v="2025"/>
    <s v="Clean"/>
    <s v="OK"/>
    <s v="Valid"/>
    <s v="Missmatched"/>
    <s v="Missmatched"/>
  </r>
  <r>
    <s v="ORD-2025-10661"/>
    <d v="2025-07-15T00:00:00"/>
    <d v="2026-05-18T00:00:0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8"/>
    <n v="9224.2800000000007"/>
    <x v="660"/>
    <x v="660"/>
    <n v="6770.2"/>
    <n v="67701.959999999992"/>
    <x v="0"/>
    <s v="Paid"/>
    <x v="0"/>
    <n v="307"/>
    <s v="OK"/>
    <s v="Valid"/>
    <s v="Unique"/>
    <s v="East"/>
    <s v="Same Day"/>
    <s v="Valid"/>
    <x v="0"/>
    <n v="2025"/>
    <s v="Clean"/>
    <s v="OK"/>
    <s v="Valid"/>
    <s v="Missmatched"/>
    <s v="Missmatched"/>
  </r>
  <r>
    <s v="ORD-2024-10662"/>
    <d v="2024-05-17T00:00:00"/>
    <d v="2026-05-19T00:00:00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939.9"/>
    <x v="661"/>
    <x v="661"/>
    <n v="687.6"/>
    <n v="0"/>
    <x v="0"/>
    <s v="Paid"/>
    <x v="0"/>
    <n v="732"/>
    <s v="OK"/>
    <s v="Valid"/>
    <s v="Unique"/>
    <s v="South"/>
    <s v="Second Class"/>
    <s v="Valid"/>
    <x v="3"/>
    <n v="2024"/>
    <s v="Clean"/>
    <s v="OK"/>
    <s v="Valid"/>
    <s v="Ok"/>
    <s v="Ok"/>
  </r>
  <r>
    <s v="ORD-2024-10663"/>
    <d v="2024-01-14T00:00:00"/>
    <d v="2026-05-20T00:00:00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7329.29"/>
    <x v="662"/>
    <x v="662"/>
    <n v="2308.63"/>
    <n v="23086.3"/>
    <x v="0"/>
    <s v="Paid"/>
    <x v="0"/>
    <n v="857"/>
    <s v="OK"/>
    <s v="Valid"/>
    <s v="Unique"/>
    <s v="West"/>
    <s v="Same Day"/>
    <s v="Valid"/>
    <x v="8"/>
    <n v="2024"/>
    <s v="Clean"/>
    <s v="OK"/>
    <s v="Valid"/>
    <s v="Ok"/>
    <s v="Ok"/>
  </r>
  <r>
    <s v="ORD-2024-10664"/>
    <d v="2024-02-05T00:00:00"/>
    <d v="2026-05-21T00:00:00"/>
    <s v="CUST-1015"/>
    <s v="Rahul Verma"/>
    <x v="3"/>
    <x v="1"/>
    <s v="Jharkhand"/>
    <s v="Ranchi"/>
    <x v="2"/>
    <x v="6"/>
    <s v="Basic Copiers 787"/>
    <x v="0"/>
    <n v="2"/>
    <n v="3185.01"/>
    <n v="-0.24"/>
    <n v="-0.24"/>
    <n v="4777.5200000000004"/>
    <n v="3152.98"/>
    <x v="663"/>
    <x v="663"/>
    <n v="1624.54"/>
    <n v="-19774.353333333336"/>
    <x v="0"/>
    <s v="Paid"/>
    <x v="0"/>
    <n v="836"/>
    <s v="OK"/>
    <s v="Valid"/>
    <s v="Unique"/>
    <s v="East"/>
    <s v="Second Class"/>
    <s v="Invalid"/>
    <x v="5"/>
    <n v="2024"/>
    <s v="Clean"/>
    <s v="OK"/>
    <s v="Valid"/>
    <s v="Missmatched"/>
    <s v="Missmatched"/>
  </r>
  <r>
    <s v="ORD-2024-10665"/>
    <d v="2024-07-12T00:00:00"/>
    <d v="2026-05-22T00:00:00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"/>
    <n v="1055.8900000000001"/>
    <x v="664"/>
    <x v="664"/>
    <n v="471.17"/>
    <n v="2355.87"/>
    <x v="0"/>
    <s v="Paid"/>
    <x v="0"/>
    <n v="679"/>
    <s v="OK"/>
    <s v="Valid"/>
    <s v="Unique"/>
    <s v="South"/>
    <s v="Standard Class"/>
    <s v="Valid"/>
    <x v="0"/>
    <n v="2024"/>
    <s v="Clean"/>
    <s v="OK"/>
    <s v="Valid"/>
    <s v="Missmatched"/>
    <s v="Missmatched"/>
  </r>
  <r>
    <s v="ORD-2025-10666"/>
    <d v="2025-01-13T00:00:00"/>
    <d v="2026-05-23T00:00:0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"/>
    <n v="3640.89"/>
    <x v="665"/>
    <x v="665"/>
    <n v="2057.5100000000002"/>
    <n v="20575.139999999996"/>
    <x v="3"/>
    <s v="Failed"/>
    <x v="1"/>
    <n v="495"/>
    <s v="OK"/>
    <s v="Valid"/>
    <s v="Unique"/>
    <s v="West"/>
    <s v="Standard Class"/>
    <s v="Valid"/>
    <x v="8"/>
    <n v="2025"/>
    <s v="Clean"/>
    <s v="OK"/>
    <s v="Valid"/>
    <s v="Missmatched"/>
    <s v="Missmatched"/>
  </r>
  <r>
    <s v="ORD-2024-10667"/>
    <d v="2024-06-21T00:00:00"/>
    <d v="2026-05-24T00:00:00"/>
    <s v="CUST-7758"/>
    <s v="Rohan Mehta"/>
    <x v="1"/>
    <x v="0"/>
    <s v="Punjab"/>
    <s v="Ludhiana"/>
    <x v="2"/>
    <x v="6"/>
    <s v="Classic Copiers 908"/>
    <x v="1"/>
    <n v="1"/>
    <n v="279.83"/>
    <n v="0.05"/>
    <n v="0.05"/>
    <n v="265.83999999999997"/>
    <n v="223.49"/>
    <x v="666"/>
    <x v="666"/>
    <n v="42.35"/>
    <n v="846.96999999999889"/>
    <x v="0"/>
    <s v="Paid"/>
    <x v="0"/>
    <n v="702"/>
    <s v="OK"/>
    <s v="Valid"/>
    <s v="Unique"/>
    <s v="North"/>
    <s v="Same Day"/>
    <s v="Valid"/>
    <x v="10"/>
    <n v="2024"/>
    <s v="Clean"/>
    <s v="OK"/>
    <s v="Valid"/>
    <s v="Missmatched"/>
    <s v="Missmatched"/>
  </r>
  <r>
    <s v="ORD-2025-10668"/>
    <d v="2025-05-20T00:00:00"/>
    <d v="2026-05-25T00:00:00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239.53"/>
    <x v="667"/>
    <x v="667"/>
    <n v="719.61"/>
    <n v="0"/>
    <x v="2"/>
    <s v="Pending"/>
    <x v="2"/>
    <n v="370"/>
    <s v="OK"/>
    <s v="Valid"/>
    <s v="Unique"/>
    <s v="East"/>
    <s v="Standard Class"/>
    <s v="Valid"/>
    <x v="3"/>
    <n v="2025"/>
    <s v="Clean"/>
    <s v="OK"/>
    <s v="Valid"/>
    <s v="Ok"/>
    <s v="Ok"/>
  </r>
  <r>
    <s v="ORD-2024-10669"/>
    <d v="2024-11-21T00:00:00"/>
    <d v="2026-05-26T00:00:00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1873.11"/>
    <x v="668"/>
    <x v="668"/>
    <n v="528.73"/>
    <n v="2643.650000000001"/>
    <x v="0"/>
    <s v="Paid"/>
    <x v="0"/>
    <n v="551"/>
    <s v="OK"/>
    <s v="Valid"/>
    <s v="Unique"/>
    <s v="West"/>
    <s v="Second Class"/>
    <s v="Valid"/>
    <x v="2"/>
    <n v="2024"/>
    <s v="Clean"/>
    <s v="OK"/>
    <s v="Valid"/>
    <s v="Ok"/>
    <s v="Ok"/>
  </r>
  <r>
    <s v="ORD-2024-10670"/>
    <d v="2024-03-24T00:00:00"/>
    <d v="2026-05-27T00:00:00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3226.45"/>
    <x v="669"/>
    <x v="669"/>
    <n v="1875.71"/>
    <n v="7502.84"/>
    <x v="0"/>
    <s v="Paid"/>
    <x v="0"/>
    <n v="794"/>
    <s v="OK"/>
    <s v="Valid"/>
    <s v="Unique"/>
    <s v="West"/>
    <s v="Second Class"/>
    <s v="Valid"/>
    <x v="11"/>
    <n v="2024"/>
    <s v="Clean"/>
    <s v="OK"/>
    <s v="Valid"/>
    <s v="Ok"/>
    <s v="Ok"/>
  </r>
  <r>
    <s v="ORD-2025-10671"/>
    <d v="2025-02-02T00:00:00"/>
    <d v="2026-05-28T00:00:00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3560.96"/>
    <x v="670"/>
    <x v="670"/>
    <n v="2615.63"/>
    <n v="26156.320000000003"/>
    <x v="0"/>
    <s v="Paid"/>
    <x v="0"/>
    <n v="480"/>
    <s v="OK"/>
    <s v="Valid"/>
    <s v="Unique"/>
    <s v="North"/>
    <s v="Standard Class"/>
    <s v="Valid"/>
    <x v="5"/>
    <n v="2025"/>
    <s v="Clean"/>
    <s v="OK"/>
    <s v="Valid"/>
    <s v="Missmatched"/>
    <s v="Missmatched"/>
  </r>
  <r>
    <s v="ORD-2024-10672"/>
    <d v="2024-03-22T00:00:00"/>
    <d v="2026-05-29T00:00:00"/>
    <s v="CUST-3293"/>
    <s v="Aditi Sen"/>
    <x v="3"/>
    <x v="3"/>
    <s v="Goa"/>
    <s v="Panaji"/>
    <x v="2"/>
    <x v="6"/>
    <s v="Classic Copiers 583"/>
    <x v="0"/>
    <n v="9"/>
    <n v="3649.51"/>
    <n v="0.05"/>
    <n v="0.05"/>
    <n v="31203.31"/>
    <n v="17738.13"/>
    <x v="671"/>
    <x v="671"/>
    <n v="13465.18"/>
    <n v="269303.61000000004"/>
    <x v="0"/>
    <s v="Paid"/>
    <x v="0"/>
    <n v="798"/>
    <s v="OK"/>
    <s v="Valid"/>
    <s v="Unique"/>
    <s v="West"/>
    <s v="Second Class"/>
    <s v="Valid"/>
    <x v="11"/>
    <n v="2024"/>
    <s v="Clean"/>
    <s v="OK"/>
    <s v="Valid"/>
    <s v="Missmatched"/>
    <s v="Missmatched"/>
  </r>
  <r>
    <s v="ORD-2024-10673"/>
    <d v="2024-04-09T00:00:00"/>
    <d v="2026-05-30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2"/>
    <n v="7864.61"/>
    <x v="672"/>
    <x v="672"/>
    <n v="4145.91"/>
    <n v="82918.149999999994"/>
    <x v="0"/>
    <s v="Paid"/>
    <x v="2"/>
    <n v="781"/>
    <s v="OK"/>
    <s v="Valid"/>
    <s v="Unique"/>
    <s v="West"/>
    <s v="Standard Class"/>
    <s v="Valid"/>
    <x v="9"/>
    <n v="2024"/>
    <s v="Clean"/>
    <s v="OK"/>
    <s v="Valid"/>
    <s v="Missmatched"/>
    <s v="Missmatched"/>
  </r>
  <r>
    <s v="ORD-2025-10674"/>
    <d v="2025-02-13T00:00:00"/>
    <d v="2026-05-31T00:00:00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8471.7800000000007"/>
    <x v="673"/>
    <x v="673"/>
    <n v="5376.08"/>
    <n v="35840.533333333333"/>
    <x v="0"/>
    <s v="Paid"/>
    <x v="0"/>
    <n v="472"/>
    <s v="OK"/>
    <s v="Valid"/>
    <s v="Unique"/>
    <s v="West"/>
    <s v="Second Class"/>
    <s v="Valid"/>
    <x v="5"/>
    <n v="2025"/>
    <s v="Clean"/>
    <s v="OK"/>
    <s v="Valid"/>
    <s v="Ok"/>
    <s v="Ok"/>
  </r>
  <r>
    <s v="ORD-2024-10675"/>
    <d v="2024-05-18T00:00:00"/>
    <d v="2026-06-01T00:00:00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630.82000000000005"/>
    <x v="674"/>
    <x v="674"/>
    <n v="402.89"/>
    <n v="0"/>
    <x v="2"/>
    <s v="Pending"/>
    <x v="2"/>
    <n v="744"/>
    <s v="OK"/>
    <s v="Valid"/>
    <s v="Unique"/>
    <s v="East"/>
    <s v="Second Class"/>
    <s v="Valid"/>
    <x v="3"/>
    <n v="2024"/>
    <s v="Clean"/>
    <s v="OK"/>
    <s v="Valid"/>
    <s v="Ok"/>
    <s v="Ok"/>
  </r>
  <r>
    <s v="ORD-2025-10676"/>
    <d v="2025-06-07T00:00:00"/>
    <d v="2026-06-02T00:00:00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8"/>
    <n v="1811.23"/>
    <x v="675"/>
    <x v="675"/>
    <n v="1078.55"/>
    <n v="0"/>
    <x v="0"/>
    <s v="Paid"/>
    <x v="0"/>
    <n v="360"/>
    <s v="OK"/>
    <s v="Valid"/>
    <s v="Unique"/>
    <s v="North"/>
    <s v="Same Day"/>
    <s v="Valid"/>
    <x v="10"/>
    <n v="2025"/>
    <s v="Clean"/>
    <s v="OK"/>
    <s v="Valid"/>
    <s v="Ok"/>
    <s v="Ok"/>
  </r>
  <r>
    <s v="ORD-2025-10677"/>
    <d v="2025-11-09T00:00:00"/>
    <d v="2026-06-03T00:00:00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14920.87"/>
    <x v="676"/>
    <x v="676"/>
    <n v="5375.83"/>
    <n v="35838.86333333332"/>
    <x v="0"/>
    <s v="Paid"/>
    <x v="0"/>
    <n v="206"/>
    <s v="OK"/>
    <s v="Valid"/>
    <s v="Duplicate"/>
    <s v="North"/>
    <s v="Same Day"/>
    <s v="Valid"/>
    <x v="2"/>
    <n v="2025"/>
    <s v="Clean"/>
    <s v="OK"/>
    <s v="Valid"/>
    <s v="Missmatched"/>
    <s v="Missmatched"/>
  </r>
  <r>
    <s v="ORD-2024-10678"/>
    <d v="2024-06-22T00:00:00"/>
    <d v="2026-06-04T00:00:00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5445.81"/>
    <x v="677"/>
    <x v="677"/>
    <n v="2918.55"/>
    <n v="0"/>
    <x v="0"/>
    <s v="Paid"/>
    <x v="0"/>
    <n v="712"/>
    <s v="OK"/>
    <s v="Valid"/>
    <s v="Unique"/>
    <s v="South"/>
    <s v="Same Day"/>
    <s v="Valid"/>
    <x v="10"/>
    <n v="2024"/>
    <s v="Clean"/>
    <s v="OK"/>
    <s v="Valid"/>
    <s v="Ok"/>
    <s v="Ok"/>
  </r>
  <r>
    <s v="ORD-2024-10679"/>
    <d v="2024-11-24T00:00:00"/>
    <d v="2026-06-05T00:00:00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11676.33"/>
    <x v="678"/>
    <x v="678"/>
    <n v="9465.2900000000009"/>
    <n v="63101.91"/>
    <x v="0"/>
    <s v="Paid"/>
    <x v="0"/>
    <n v="558"/>
    <s v="OK"/>
    <s v="Valid"/>
    <s v="Unique"/>
    <s v="South"/>
    <s v="Second Class"/>
    <s v="Valid"/>
    <x v="2"/>
    <n v="2024"/>
    <s v="Clean"/>
    <s v="OK"/>
    <s v="Valid"/>
    <s v="Missmatched"/>
    <s v="Missmatched"/>
  </r>
  <r>
    <s v="ORD-2025-10680"/>
    <d v="2025-08-16T00:00:00"/>
    <d v="2026-06-06T00:00:00"/>
    <s v="CUST-2897"/>
    <s v="Rohan Mehta"/>
    <x v="2"/>
    <x v="0"/>
    <s v="Punjab"/>
    <s v="Ludhiana"/>
    <x v="2"/>
    <x v="6"/>
    <s v="Smart Copiers 579"/>
    <x v="1"/>
    <n v="4"/>
    <n v="1410.57"/>
    <s v="70%"/>
    <s v="70%"/>
    <n v="5360.17"/>
    <n v="3881.51"/>
    <x v="679"/>
    <x v="679"/>
    <n v="1478.66"/>
    <n v="-3126.8942857142861"/>
    <x v="1"/>
    <s v="Refunded"/>
    <x v="1"/>
    <n v="294"/>
    <s v="OK"/>
    <s v="Valid"/>
    <s v="Unique"/>
    <s v="North"/>
    <s v="Same Day"/>
    <s v="Invalid"/>
    <x v="1"/>
    <n v="2025"/>
    <s v="Clean"/>
    <s v="OK"/>
    <s v="Valid"/>
    <s v="Missmatched"/>
    <s v="Missmatched"/>
  </r>
  <r>
    <s v="ORD-2024-10681"/>
    <d v="2024-05-29T00:00:00"/>
    <d v="2026-06-07T00:00:00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2048.39"/>
    <x v="680"/>
    <x v="680"/>
    <n v="2752.57"/>
    <n v="0"/>
    <x v="0"/>
    <s v="Paid"/>
    <x v="0"/>
    <n v="739"/>
    <s v="OK"/>
    <s v="Valid"/>
    <s v="Unique"/>
    <s v="South"/>
    <s v="First Class"/>
    <s v="Valid"/>
    <x v="3"/>
    <n v="2024"/>
    <s v="Clean"/>
    <s v="OK"/>
    <s v="Valid"/>
    <s v="Ok"/>
    <s v="Ok"/>
  </r>
  <r>
    <s v="ORD-2024-10682"/>
    <d v="2024-04-07T00:00:00"/>
    <d v="2026-06-08T00:00:00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4182.99"/>
    <x v="681"/>
    <x v="681"/>
    <n v="1818.36"/>
    <n v="0"/>
    <x v="0"/>
    <s v="Paid"/>
    <x v="1"/>
    <n v="792"/>
    <s v="OK"/>
    <s v="Valid"/>
    <s v="Unique"/>
    <s v="North"/>
    <s v="Second Class"/>
    <s v="Valid"/>
    <x v="9"/>
    <n v="2024"/>
    <s v="Clean"/>
    <s v="OK"/>
    <s v="Valid"/>
    <s v="Ok"/>
    <s v="Ok"/>
  </r>
  <r>
    <s v="ORD-2025-10683"/>
    <d v="2025-05-02T00:00:00"/>
    <d v="2026-06-09T00:00:00"/>
    <s v="CUST-1553"/>
    <s v="Ananya Rao"/>
    <x v="2"/>
    <x v="0"/>
    <s v="Haryana"/>
    <s v="Gurugram"/>
    <x v="0"/>
    <x v="8"/>
    <s v="Eco Storage 861"/>
    <x v="1"/>
    <n v="3"/>
    <n v="2590.7800000000002"/>
    <m/>
    <n v="0"/>
    <n v="7383.72"/>
    <n v="4113.66"/>
    <x v="682"/>
    <x v="682"/>
    <n v="3270.06"/>
    <n v="0"/>
    <x v="0"/>
    <s v="Paid"/>
    <x v="0"/>
    <n v="403"/>
    <s v="OK"/>
    <s v="Valid"/>
    <s v="Unique"/>
    <s v="North"/>
    <s v="Same Day"/>
    <s v="Valid"/>
    <x v="3"/>
    <n v="2025"/>
    <s v="Clean"/>
    <s v="OK"/>
    <s v="Valid"/>
    <s v="Missmatched"/>
    <s v="Missmatched"/>
  </r>
  <r>
    <s v="ORD-2025-10684"/>
    <d v="2025-07-20T00:00:00"/>
    <d v="2026-06-10T00:00:00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5512.03"/>
    <x v="683"/>
    <x v="683"/>
    <n v="2390.9299999999998"/>
    <n v="11954.650000000005"/>
    <x v="1"/>
    <s v="Refunded"/>
    <x v="1"/>
    <n v="325"/>
    <s v="OK"/>
    <s v="Valid"/>
    <s v="Unique"/>
    <s v="South"/>
    <s v="Second Class"/>
    <s v="Valid"/>
    <x v="0"/>
    <n v="2025"/>
    <s v="Clean"/>
    <s v="OK"/>
    <s v="Valid"/>
    <s v="Ok"/>
    <s v="Ok"/>
  </r>
  <r>
    <s v="ORD-2025-10685"/>
    <d v="2025-07-21T00:00:00"/>
    <d v="2026-06-1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4"/>
    <n v="17155.48"/>
    <x v="684"/>
    <x v="684"/>
    <n v="7465.76"/>
    <n v="37328.799999999988"/>
    <x v="1"/>
    <s v="Refunded"/>
    <x v="1"/>
    <n v="325"/>
    <s v="OK"/>
    <s v="Valid"/>
    <s v="Unique"/>
    <s v="South"/>
    <s v="First Class"/>
    <s v="Valid"/>
    <x v="0"/>
    <n v="2025"/>
    <s v="Clean"/>
    <s v="OK"/>
    <s v="Valid"/>
    <s v="Ok"/>
    <s v="Ok"/>
  </r>
  <r>
    <s v="ORD-2025-10686"/>
    <d v="2025-01-10T00:00:00"/>
    <d v="2026-06-12T00:00:00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6627.01"/>
    <n v="5606.79"/>
    <x v="685"/>
    <x v="685"/>
    <n v="1020.22"/>
    <n v="-4169.6045454545465"/>
    <x v="3"/>
    <s v="Failed"/>
    <x v="1"/>
    <n v="518"/>
    <s v="OK"/>
    <s v="Valid"/>
    <s v="Unique"/>
    <s v="West"/>
    <s v="Standard Class"/>
    <s v="Valid"/>
    <x v="8"/>
    <n v="2025"/>
    <s v="Clean"/>
    <s v="OK"/>
    <s v="Valid"/>
    <s v="Missmatched"/>
    <s v="Missmatched"/>
  </r>
  <r>
    <s v="ORD-2024-10687"/>
    <d v="2024-03-25T00:00:00"/>
    <d v="2026-06-13T00:00:00"/>
    <s v="CUST-3127"/>
    <s v="Sneha Kapoor"/>
    <x v="3"/>
    <x v="2"/>
    <s v="Tamil Nadu"/>
    <s v="Chennai"/>
    <x v="2"/>
    <x v="6"/>
    <s v="Pro Copiers 502"/>
    <x v="3"/>
    <n v="2"/>
    <n v="2349.13"/>
    <n v="0"/>
    <n v="0"/>
    <n v="4698.26"/>
    <n v="2654.92"/>
    <x v="686"/>
    <x v="686"/>
    <n v="2043.34"/>
    <n v="0"/>
    <x v="0"/>
    <s v="Paid"/>
    <x v="0"/>
    <n v="810"/>
    <s v="OK"/>
    <s v="Valid"/>
    <s v="Unique"/>
    <s v="South"/>
    <s v="Standard Class"/>
    <s v="Valid"/>
    <x v="11"/>
    <n v="2024"/>
    <s v="Clean"/>
    <s v="OK"/>
    <s v="Valid"/>
    <s v="Ok"/>
    <s v="Ok"/>
  </r>
  <r>
    <s v="ORD-2025-10688"/>
    <d v="2025-08-10T00:00:00"/>
    <d v="2026-06-14T00:00:00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497.68"/>
    <x v="687"/>
    <x v="687"/>
    <n v="190.52"/>
    <n v="0"/>
    <x v="3"/>
    <s v="Failed"/>
    <x v="1"/>
    <n v="308"/>
    <s v="OK"/>
    <s v="Valid"/>
    <s v="Unique"/>
    <s v="North"/>
    <s v="First Class"/>
    <s v="Valid"/>
    <x v="1"/>
    <n v="2025"/>
    <s v="Clean"/>
    <s v="OK"/>
    <s v="Valid"/>
    <s v="Ok"/>
    <s v="Ok"/>
  </r>
  <r>
    <s v="ORD-2025-10689"/>
    <d v="2025-02-26T00:00:00"/>
    <d v="2026-06-15T00:00:00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7"/>
    <n v="12581.23"/>
    <x v="688"/>
    <x v="688"/>
    <n v="2910.84"/>
    <n v="19405.57333333333"/>
    <x v="0"/>
    <s v="Paid"/>
    <x v="0"/>
    <n v="474"/>
    <s v="OK"/>
    <s v="Valid"/>
    <s v="Unique"/>
    <s v="North"/>
    <s v="Second Class"/>
    <s v="Valid"/>
    <x v="5"/>
    <n v="2025"/>
    <s v="Clean"/>
    <s v="OK"/>
    <s v="Valid"/>
    <s v="Missmatched"/>
    <s v="Missmatched"/>
  </r>
  <r>
    <s v="ORD-2024-10690"/>
    <d v="2024-10-05T00:00:00"/>
    <d v="2026-06-16T00:00:00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9"/>
    <n v="2302.65"/>
    <x v="689"/>
    <x v="689"/>
    <n v="1442.64"/>
    <n v="9617.5800000000017"/>
    <x v="3"/>
    <s v="Failed"/>
    <x v="1"/>
    <n v="619"/>
    <s v="OK"/>
    <s v="Valid"/>
    <s v="Unique"/>
    <s v="North"/>
    <s v="Standard Class"/>
    <s v="Valid"/>
    <x v="4"/>
    <n v="2024"/>
    <s v="Clean"/>
    <s v="OK"/>
    <s v="Valid"/>
    <s v="Missmatched"/>
    <s v="Missmatched"/>
  </r>
  <r>
    <s v="ORD-2024-10691"/>
    <d v="2024-11-09T00:00:00"/>
    <d v="2026-06-17T00:00:00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2797.29"/>
    <x v="690"/>
    <x v="690"/>
    <n v="665.23"/>
    <n v="0"/>
    <x v="3"/>
    <s v="Failed"/>
    <x v="2"/>
    <n v="585"/>
    <s v="OK"/>
    <s v="Valid"/>
    <s v="Unique"/>
    <s v="South"/>
    <s v="Standard Class"/>
    <s v="Valid"/>
    <x v="2"/>
    <n v="2024"/>
    <s v="Clean"/>
    <s v="OK"/>
    <s v="Valid"/>
    <s v="Ok"/>
    <s v="Ok"/>
  </r>
  <r>
    <s v="ORD-2024-10692"/>
    <d v="2024-12-15T00:00:00"/>
    <d v="2026-06-18T00:00:00"/>
    <s v="CUST-7309"/>
    <s v="Rohan Mehta"/>
    <x v="0"/>
    <x v="1"/>
    <s v="Odisha"/>
    <s v="Bhubaneswar"/>
    <x v="2"/>
    <x v="6"/>
    <s v="Smart Copiers 456"/>
    <x v="0"/>
    <n v="6"/>
    <n v="1538.1"/>
    <n v="0.05"/>
    <n v="0.05"/>
    <n v="8767.17"/>
    <n v="5098.2"/>
    <x v="691"/>
    <x v="691"/>
    <n v="3668.97"/>
    <n v="73379.399999999965"/>
    <x v="0"/>
    <s v="Paid"/>
    <x v="0"/>
    <n v="550"/>
    <s v="OK"/>
    <s v="Valid"/>
    <s v="Unique"/>
    <s v="East"/>
    <s v="Second Class"/>
    <s v="Valid"/>
    <x v="7"/>
    <n v="2024"/>
    <s v="Clean"/>
    <s v="OK"/>
    <s v="Valid"/>
    <s v="Ok"/>
    <s v="Ok"/>
  </r>
  <r>
    <s v="ORD-2025-10693"/>
    <d v="2025-10-05T00:00:00"/>
    <d v="2026-06-19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5903.81"/>
    <x v="692"/>
    <x v="692"/>
    <n v="2612.64"/>
    <n v="26126.379999999997"/>
    <x v="0"/>
    <s v="Paid"/>
    <x v="0"/>
    <n v="257"/>
    <s v="OK"/>
    <s v="Valid"/>
    <s v="Unique"/>
    <s v="South"/>
    <s v="Second Class"/>
    <s v="Valid"/>
    <x v="4"/>
    <n v="2025"/>
    <s v="Clean"/>
    <s v="OK"/>
    <s v="Valid"/>
    <s v="Missmatched"/>
    <s v="Missmatched"/>
  </r>
  <r>
    <s v="ORD-2025-10694"/>
    <d v="2025-04-03T00:00:00"/>
    <d v="2026-06-20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"/>
    <n v="8035.96"/>
    <x v="693"/>
    <x v="693"/>
    <n v="3790.88"/>
    <n v="75817.690000000017"/>
    <x v="0"/>
    <s v="Paid"/>
    <x v="0"/>
    <n v="443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5-10695"/>
    <d v="2025-08-01T00:00:00"/>
    <d v="2026-06-21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9627.2099999999991"/>
    <x v="694"/>
    <x v="694"/>
    <n v="2001.81"/>
    <n v="13345.399999999998"/>
    <x v="0"/>
    <s v="Paid"/>
    <x v="0"/>
    <n v="324"/>
    <s v="OK"/>
    <s v="Valid"/>
    <s v="Duplicate"/>
    <s v="South"/>
    <s v="First Class"/>
    <s v="Valid"/>
    <x v="1"/>
    <n v="2025"/>
    <s v="Clean"/>
    <s v="OK"/>
    <s v="Valid"/>
    <s v="Ok"/>
    <s v="Ok"/>
  </r>
  <r>
    <s v="ORD-2024-10696"/>
    <d v="2024-01-07T00:00:00"/>
    <d v="2026-06-22T00:00:0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626.33000000000004"/>
    <x v="695"/>
    <x v="695"/>
    <n v="403.23"/>
    <n v="0"/>
    <x v="0"/>
    <s v="Paid"/>
    <x v="0"/>
    <n v="897"/>
    <s v="OK"/>
    <s v="Valid"/>
    <s v="Unique"/>
    <s v="West"/>
    <s v="Standard Class"/>
    <s v="Valid"/>
    <x v="8"/>
    <n v="2024"/>
    <s v="Clean"/>
    <s v="OK"/>
    <s v="Valid"/>
    <s v="Ok"/>
    <s v="Ok"/>
  </r>
  <r>
    <s v="ORD-2025-10697"/>
    <d v="2025-09-22T00:00:00"/>
    <d v="2026-06-23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2"/>
    <n v="2102.41"/>
    <x v="696"/>
    <x v="696"/>
    <n v="1363.28"/>
    <n v="5736.4399999999987"/>
    <x v="0"/>
    <s v="Paid"/>
    <x v="0"/>
    <n v="274"/>
    <s v="OK"/>
    <s v="Valid"/>
    <s v="Unique"/>
    <s v="South"/>
    <s v="Unknown"/>
    <s v="Valid"/>
    <x v="6"/>
    <n v="2025"/>
    <s v="Clean"/>
    <s v="OK"/>
    <s v="Valid"/>
    <s v="Ok"/>
    <s v="Missmatched"/>
  </r>
  <r>
    <s v="ORD-2025-10698"/>
    <d v="2025-01-03T00:00:00"/>
    <d v="2026-06-24T00:00:00"/>
    <s v="CUST-6205"/>
    <s v="Arjun Bose"/>
    <x v="2"/>
    <x v="2"/>
    <s v="Andhra Pradesh"/>
    <s v="Vijayawada"/>
    <x v="0"/>
    <x v="7"/>
    <s v="Max Labels 970"/>
    <x v="2"/>
    <n v="7"/>
    <n v="567.15"/>
    <m/>
    <n v="0"/>
    <n v="2977.54"/>
    <n v="1849.3"/>
    <x v="697"/>
    <x v="697"/>
    <n v="1128.24"/>
    <n v="0"/>
    <x v="1"/>
    <s v="Refunded"/>
    <x v="2"/>
    <n v="537"/>
    <s v="OK"/>
    <s v="Valid"/>
    <s v="Unique"/>
    <s v="South"/>
    <s v="First Class"/>
    <s v="Valid"/>
    <x v="8"/>
    <n v="2025"/>
    <s v="Clean"/>
    <s v="OK"/>
    <s v="Valid"/>
    <s v="Missmatched"/>
    <s v="Missmatched"/>
  </r>
  <r>
    <s v="ORD-2024-10699"/>
    <d v="2024-09-14T00:00:00"/>
    <d v="2026-06-25T00:00:0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3751.91"/>
    <x v="698"/>
    <x v="698"/>
    <n v="4003.38"/>
    <n v="26689.186666666646"/>
    <x v="0"/>
    <s v="Paid"/>
    <x v="2"/>
    <n v="649"/>
    <s v="OK"/>
    <s v="Valid"/>
    <s v="Unique"/>
    <s v="North"/>
    <s v="Standard Class"/>
    <s v="Valid"/>
    <x v="6"/>
    <n v="2024"/>
    <s v="Clean"/>
    <s v="OK"/>
    <s v="Valid"/>
    <s v="Missmatched"/>
    <s v="Missmatched"/>
  </r>
  <r>
    <s v="ORD-2024-10700"/>
    <d v="2024-11-06T00:00:00"/>
    <d v="2026-06-26T00:00:0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"/>
    <n v="7798.56"/>
    <x v="699"/>
    <x v="699"/>
    <n v="1652.18"/>
    <n v="6608.73"/>
    <x v="0"/>
    <s v="Paid"/>
    <x v="0"/>
    <n v="597"/>
    <s v="OK"/>
    <s v="Valid"/>
    <s v="Unique"/>
    <s v="South"/>
    <s v="Standard Class"/>
    <s v="Valid"/>
    <x v="2"/>
    <n v="2024"/>
    <s v="Clean"/>
    <s v="OK"/>
    <s v="Valid"/>
    <s v="Missmatched"/>
    <s v="Missmatched"/>
  </r>
  <r>
    <s v="ORD-2024-10701"/>
    <d v="2024-09-18T00:00:00"/>
    <d v="2026-06-27T00:00:00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4691.7299999999996"/>
    <x v="700"/>
    <x v="700"/>
    <n v="3100.82"/>
    <n v="20672.100000000006"/>
    <x v="0"/>
    <s v="Paid"/>
    <x v="0"/>
    <n v="647"/>
    <s v="OK"/>
    <s v="Valid"/>
    <s v="Unique"/>
    <s v="East"/>
    <s v="Standard Class"/>
    <s v="Valid"/>
    <x v="6"/>
    <n v="2024"/>
    <s v="Clean"/>
    <s v="OK"/>
    <s v="Valid"/>
    <s v="Missmatched"/>
    <s v="Missmatched"/>
  </r>
  <r>
    <s v="ORD-2024-10702"/>
    <d v="2024-04-30T00:00:00"/>
    <d v="2026-06-28T00:00:00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6685.81"/>
    <x v="701"/>
    <x v="701"/>
    <n v="1888.77"/>
    <n v="0"/>
    <x v="0"/>
    <s v="Paid"/>
    <x v="2"/>
    <n v="789"/>
    <s v="OK"/>
    <s v="Valid"/>
    <s v="Unique"/>
    <s v="West"/>
    <s v="Same Day"/>
    <s v="Valid"/>
    <x v="9"/>
    <n v="2024"/>
    <s v="Clean"/>
    <s v="OK"/>
    <s v="Valid"/>
    <s v="Ok"/>
    <s v="Ok"/>
  </r>
  <r>
    <s v="ORD-2025-10703"/>
    <d v="2025-02-02T00:00:00"/>
    <d v="2026-06-29T00:00:00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2"/>
    <n v="1820.08"/>
    <x v="702"/>
    <x v="702"/>
    <n v="872.74"/>
    <n v="8727.3800000000028"/>
    <x v="0"/>
    <s v="Paid"/>
    <x v="0"/>
    <n v="512"/>
    <s v="OK"/>
    <s v="Valid"/>
    <s v="Unique"/>
    <s v="West"/>
    <s v="Second Class"/>
    <s v="Valid"/>
    <x v="5"/>
    <n v="2025"/>
    <s v="Clean"/>
    <s v="OK"/>
    <s v="Valid"/>
    <s v="Missmatched"/>
    <s v="Missmatched"/>
  </r>
  <r>
    <s v="ORD-2024-10704"/>
    <d v="2024-10-19T00:00:00"/>
    <d v="2026-06-30T00:00:00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3"/>
    <n v="854.35"/>
    <x v="703"/>
    <x v="703"/>
    <n v="180.68"/>
    <n v="1806.7700000000002"/>
    <x v="0"/>
    <s v="Paid"/>
    <x v="0"/>
    <n v="619"/>
    <s v="OK"/>
    <s v="Valid"/>
    <s v="Unique"/>
    <s v="North"/>
    <s v="First Class"/>
    <s v="Valid"/>
    <x v="4"/>
    <n v="2024"/>
    <s v="Clean"/>
    <s v="OK"/>
    <s v="Valid"/>
    <s v="Missmatched"/>
    <s v="Missmatched"/>
  </r>
  <r>
    <s v="ORD-2024-10705"/>
    <d v="2024-03-13T00:00:00"/>
    <d v="2026-07-01T00:00:00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1820.34"/>
    <x v="704"/>
    <x v="704"/>
    <n v="581.45000000000005"/>
    <n v="3876.3033333333337"/>
    <x v="0"/>
    <s v="Paid"/>
    <x v="0"/>
    <n v="840"/>
    <s v="OK"/>
    <s v="Valid"/>
    <s v="Duplicate"/>
    <s v="South"/>
    <s v="Unknown"/>
    <s v="Valid"/>
    <x v="11"/>
    <n v="2024"/>
    <s v="Clean"/>
    <s v="OK"/>
    <s v="Valid"/>
    <s v="Missmatched"/>
    <s v="Missmatched"/>
  </r>
  <r>
    <s v="ORD-2024-10706"/>
    <d v="2024-08-09T00:00:00"/>
    <d v="2026-07-02T00:00:00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"/>
    <n v="11352.38"/>
    <x v="705"/>
    <x v="705"/>
    <n v="4663.43"/>
    <n v="93268.650000000009"/>
    <x v="0"/>
    <s v="Paid"/>
    <x v="0"/>
    <n v="692"/>
    <s v="OK"/>
    <s v="Valid"/>
    <s v="Unique"/>
    <s v="North"/>
    <s v="Standard Class"/>
    <s v="Valid"/>
    <x v="1"/>
    <n v="2024"/>
    <s v="Clean"/>
    <s v="OK"/>
    <s v="Valid"/>
    <s v="Missmatched"/>
    <s v="Missmatched"/>
  </r>
  <r>
    <s v="ORD-2024-10707"/>
    <d v="2024-06-24T00:00:00"/>
    <d v="2026-07-03T00:00:00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8"/>
    <n v="1354.28"/>
    <x v="706"/>
    <x v="706"/>
    <n v="547.20000000000005"/>
    <n v="5471.9500000000016"/>
    <x v="0"/>
    <s v="Paid"/>
    <x v="0"/>
    <n v="739"/>
    <s v="OK"/>
    <s v="Valid"/>
    <s v="Unique"/>
    <s v="East"/>
    <s v="Same Day"/>
    <s v="Valid"/>
    <x v="10"/>
    <n v="2024"/>
    <s v="Clean"/>
    <s v="OK"/>
    <s v="Valid"/>
    <s v="Missmatched"/>
    <s v="Missmatched"/>
  </r>
  <r>
    <s v="ORD-2025-10708"/>
    <d v="2025-06-24T00:00:00"/>
    <d v="2026-07-04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16751.97"/>
    <n v="11678.32"/>
    <x v="707"/>
    <x v="707"/>
    <n v="5073.6499999999996"/>
    <n v="-6004.2454545454557"/>
    <x v="0"/>
    <s v="Paid"/>
    <x v="0"/>
    <n v="375"/>
    <s v="OK"/>
    <s v="Valid"/>
    <s v="Unique"/>
    <s v="North"/>
    <s v="Same Day"/>
    <s v="Valid"/>
    <x v="10"/>
    <n v="2025"/>
    <s v="Clean"/>
    <s v="OK"/>
    <s v="Valid"/>
    <s v="Missmatched"/>
    <s v="Missmatched"/>
  </r>
  <r>
    <s v="ORD-2025-10709"/>
    <d v="2025-03-20T00:00:00"/>
    <d v="2026-07-05T00:00:00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1"/>
    <n v="13233.79"/>
    <x v="708"/>
    <x v="708"/>
    <n v="3325.32"/>
    <n v="66506.359999999986"/>
    <x v="0"/>
    <s v="Paid"/>
    <x v="0"/>
    <n v="472"/>
    <s v="OK"/>
    <s v="Valid"/>
    <s v="Unique"/>
    <s v="East"/>
    <s v="First Class"/>
    <s v="Valid"/>
    <x v="11"/>
    <n v="2025"/>
    <s v="Clean"/>
    <s v="OK"/>
    <s v="Valid"/>
    <s v="Missmatched"/>
    <s v="Missmatched"/>
  </r>
  <r>
    <s v="ORD-2025-10710"/>
    <d v="2025-01-19T00:00:00"/>
    <d v="2026-07-06T00:00:00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9"/>
    <n v="6417.32"/>
    <x v="709"/>
    <x v="709"/>
    <n v="1692.77"/>
    <n v="11285.119999999995"/>
    <x v="0"/>
    <s v="Paid"/>
    <x v="1"/>
    <n v="533"/>
    <s v="OK"/>
    <s v="Valid"/>
    <s v="Unique"/>
    <s v="North"/>
    <s v="Same Day"/>
    <s v="Valid"/>
    <x v="8"/>
    <n v="2025"/>
    <s v="Clean"/>
    <s v="OK"/>
    <s v="Valid"/>
    <s v="Missmatched"/>
    <s v="Missmatched"/>
  </r>
  <r>
    <s v="ORD-2024-10711"/>
    <d v="2024-12-07T00:00:00"/>
    <d v="2026-07-07T00:00:00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5941.74"/>
    <x v="710"/>
    <x v="710"/>
    <n v="1464.27"/>
    <n v="29285.400000000009"/>
    <x v="0"/>
    <s v="Paid"/>
    <x v="0"/>
    <n v="577"/>
    <s v="OK"/>
    <s v="Valid"/>
    <s v="Unique"/>
    <s v="North"/>
    <s v="Second Class"/>
    <s v="Valid"/>
    <x v="7"/>
    <n v="2024"/>
    <s v="Clean"/>
    <s v="OK"/>
    <s v="Valid"/>
    <s v="Ok"/>
    <s v="Ok"/>
  </r>
  <r>
    <s v="ORD-2025-10712"/>
    <d v="2025-02-02T00:00:00"/>
    <d v="2026-07-08T00:00:0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2394.14"/>
    <x v="711"/>
    <x v="711"/>
    <n v="1716.27"/>
    <n v="34325.44999999999"/>
    <x v="2"/>
    <s v="Pending"/>
    <x v="2"/>
    <n v="521"/>
    <s v="OK"/>
    <s v="Valid"/>
    <s v="Unique"/>
    <s v="East"/>
    <s v="First Class"/>
    <s v="Valid"/>
    <x v="5"/>
    <n v="2025"/>
    <s v="Clean"/>
    <s v="OK"/>
    <s v="Valid"/>
    <s v="Missmatched"/>
    <s v="Missmatched"/>
  </r>
  <r>
    <s v="ORD-2024-10713"/>
    <d v="2024-10-02T00:00:00"/>
    <d v="2026-07-09T00:00:00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6876.66"/>
    <x v="712"/>
    <x v="712"/>
    <n v="2803.36"/>
    <n v="0"/>
    <x v="0"/>
    <s v="Paid"/>
    <x v="0"/>
    <n v="645"/>
    <s v="OK"/>
    <s v="Valid"/>
    <s v="Duplicate"/>
    <s v="West"/>
    <s v="First Class"/>
    <s v="Valid"/>
    <x v="4"/>
    <n v="2024"/>
    <s v="Clean"/>
    <s v="OK"/>
    <s v="Valid"/>
    <s v="Ok"/>
    <s v="Ok"/>
  </r>
  <r>
    <s v="ORD-2025-10714"/>
    <d v="2025-06-06T00:00:00"/>
    <d v="2026-07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132.13"/>
    <x v="713"/>
    <x v="713"/>
    <n v="85.35"/>
    <n v="341.3900000000001"/>
    <x v="0"/>
    <s v="Paid"/>
    <x v="0"/>
    <n v="399"/>
    <s v="OK"/>
    <s v="Valid"/>
    <s v="Unique"/>
    <s v="West"/>
    <s v="Second Class"/>
    <s v="Valid"/>
    <x v="10"/>
    <n v="2025"/>
    <s v="Clean"/>
    <s v="OK"/>
    <s v="Valid"/>
    <s v="Missmatched"/>
    <s v="Missmatched"/>
  </r>
  <r>
    <s v="ORD-2025-10715"/>
    <d v="2025-03-22T00:00:00"/>
    <d v="2026-07-11T00:00:00"/>
    <s v="CUST-9902"/>
    <s v="Karan Malhotra"/>
    <x v="3"/>
    <x v="0"/>
    <s v="Delhi"/>
    <s v="New Delhi"/>
    <x v="2"/>
    <x v="6"/>
    <s v="Pro Copiers 206"/>
    <x v="3"/>
    <n v="9"/>
    <n v="2075.02"/>
    <n v="0"/>
    <n v="0"/>
    <n v="18675.18"/>
    <n v="13974.7"/>
    <x v="714"/>
    <x v="714"/>
    <n v="4700.4799999999996"/>
    <n v="0"/>
    <x v="0"/>
    <s v="Paid"/>
    <x v="0"/>
    <n v="476"/>
    <s v="OK"/>
    <s v="Valid"/>
    <s v="Unique"/>
    <s v="North"/>
    <s v="Standard Class"/>
    <s v="Valid"/>
    <x v="11"/>
    <n v="2025"/>
    <s v="Clean"/>
    <s v="OK"/>
    <s v="Valid"/>
    <s v="Ok"/>
    <s v="Ok"/>
  </r>
  <r>
    <s v="ORD-2025-10716"/>
    <d v="2025-08-22T00:00:00"/>
    <d v="2026-07-12T00:00:00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5492.03"/>
    <x v="715"/>
    <x v="715"/>
    <n v="4409.6000000000004"/>
    <n v="0"/>
    <x v="1"/>
    <s v="Refunded"/>
    <x v="1"/>
    <n v="324"/>
    <s v="OK"/>
    <s v="Valid"/>
    <s v="Unique"/>
    <s v="North"/>
    <s v="Second Class"/>
    <s v="Valid"/>
    <x v="1"/>
    <n v="2025"/>
    <s v="Clean"/>
    <s v="OK"/>
    <s v="Valid"/>
    <s v="Ok"/>
    <s v="Ok"/>
  </r>
  <r>
    <s v="ORD-2025-10717"/>
    <d v="2025-08-26T00:00:00"/>
    <d v="2026-07-13T00:00:00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2"/>
    <n v="1824.88"/>
    <x v="716"/>
    <x v="716"/>
    <n v="1054.94"/>
    <n v="7032.913333333333"/>
    <x v="0"/>
    <s v="Paid"/>
    <x v="0"/>
    <n v="321"/>
    <s v="OK"/>
    <s v="Valid"/>
    <s v="Unique"/>
    <s v="North"/>
    <s v="First Class"/>
    <s v="Valid"/>
    <x v="1"/>
    <n v="2025"/>
    <s v="Clean"/>
    <s v="OK"/>
    <s v="Valid"/>
    <s v="Missmatched"/>
    <s v="Missmatched"/>
  </r>
  <r>
    <s v="ORD-2025-10718"/>
    <d v="2025-10-12T00:00:00"/>
    <d v="2026-07-14T00:00:00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1852.22"/>
    <x v="717"/>
    <x v="717"/>
    <n v="6860"/>
    <n v="34300.01999999999"/>
    <x v="2"/>
    <s v="Pending"/>
    <x v="1"/>
    <n v="275"/>
    <s v="OK"/>
    <s v="Valid"/>
    <s v="Unique"/>
    <s v="North"/>
    <s v="Standard Class"/>
    <s v="Valid"/>
    <x v="4"/>
    <n v="2025"/>
    <s v="Clean"/>
    <s v="OK"/>
    <s v="Valid"/>
    <s v="Missmatched"/>
    <s v="Missmatched"/>
  </r>
  <r>
    <s v="ORD-2024-10719"/>
    <d v="2024-06-09T00:00:00"/>
    <d v="2026-07-15T00:00:00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5"/>
    <n v="3672.32"/>
    <x v="718"/>
    <x v="718"/>
    <n v="1061.1300000000001"/>
    <n v="5305.6399999999958"/>
    <x v="0"/>
    <s v="Paid"/>
    <x v="0"/>
    <n v="766"/>
    <s v="OK"/>
    <s v="Valid"/>
    <s v="Unique"/>
    <s v="West"/>
    <s v="Same Day"/>
    <s v="Valid"/>
    <x v="10"/>
    <n v="2024"/>
    <s v="Clean"/>
    <s v="OK"/>
    <s v="Valid"/>
    <s v="Missmatched"/>
    <s v="Missmatched"/>
  </r>
  <r>
    <s v="ORD-2025-10720"/>
    <d v="2025-08-09T00:00:00"/>
    <d v="2026-07-16T00:00:00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2264.92"/>
    <x v="719"/>
    <x v="719"/>
    <n v="1530.94"/>
    <n v="7654.6799999999985"/>
    <x v="0"/>
    <s v="Paid"/>
    <x v="0"/>
    <n v="341"/>
    <s v="OK"/>
    <s v="Valid"/>
    <s v="Duplicate"/>
    <s v="West"/>
    <s v="Same Day"/>
    <s v="Valid"/>
    <x v="1"/>
    <n v="2025"/>
    <s v="Clean"/>
    <s v="OK"/>
    <s v="Valid"/>
    <s v="Missmatched"/>
    <s v="Missmatched"/>
  </r>
  <r>
    <s v="ORD-2024-10721"/>
    <d v="2024-07-16T00:00:00"/>
    <d v="2026-07-17T00:00:00"/>
    <s v="CUST-1991"/>
    <s v="Aditi Sen"/>
    <x v="3"/>
    <x v="3"/>
    <s v="Madhya Pradesh"/>
    <s v="Indore"/>
    <x v="2"/>
    <x v="6"/>
    <s v="Smart Copiers 196"/>
    <x v="1"/>
    <n v="4"/>
    <n v="4479.92"/>
    <n v="0.15"/>
    <n v="0.15"/>
    <n v="15231.73"/>
    <n v="12451.46"/>
    <x v="720"/>
    <x v="720"/>
    <n v="2780.27"/>
    <n v="18535.120000000003"/>
    <x v="0"/>
    <s v="Paid"/>
    <x v="0"/>
    <n v="731"/>
    <s v="OK"/>
    <s v="Valid"/>
    <s v="Unique"/>
    <s v="West"/>
    <s v="Same Day"/>
    <s v="Valid"/>
    <x v="0"/>
    <n v="2024"/>
    <s v="Clean"/>
    <s v="OK"/>
    <s v="Valid"/>
    <s v="Missmatched"/>
    <s v="Missmatched"/>
  </r>
  <r>
    <s v="ORD-2025-10722"/>
    <d v="2025-06-19T00:00:00"/>
    <d v="2026-07-18T00:00:00"/>
    <s v="CUST-7606"/>
    <s v="Sneha Kapoor"/>
    <x v="0"/>
    <x v="2"/>
    <s v="Karnataka"/>
    <s v="Bengaluru"/>
    <x v="2"/>
    <x v="6"/>
    <s v="Pro Copiers 532"/>
    <x v="2"/>
    <n v="5"/>
    <n v="2729.95"/>
    <n v="0"/>
    <n v="0"/>
    <n v="13649.75"/>
    <n v="10288.030000000001"/>
    <x v="721"/>
    <x v="721"/>
    <n v="3361.72"/>
    <n v="0"/>
    <x v="0"/>
    <s v="Paid"/>
    <x v="0"/>
    <n v="394"/>
    <s v="OK"/>
    <s v="Valid"/>
    <s v="Unique"/>
    <s v="South"/>
    <s v="First Class"/>
    <s v="Valid"/>
    <x v="10"/>
    <n v="2025"/>
    <s v="Clean"/>
    <s v="OK"/>
    <s v="Valid"/>
    <s v="Ok"/>
    <s v="Ok"/>
  </r>
  <r>
    <s v="ORD-2024-10723"/>
    <d v="2024-07-10T00:00:00"/>
    <d v="2026-07-19T00:00:00"/>
    <s v="CUST-8844"/>
    <s v="Vikram Iyer"/>
    <x v="0"/>
    <x v="1"/>
    <s v="West Bengal"/>
    <s v="Kolkata"/>
    <x v="1"/>
    <x v="4"/>
    <s v="Eco Chairs 442"/>
    <x v="0"/>
    <n v="9"/>
    <n v="481.51"/>
    <m/>
    <n v="0"/>
    <n v="4333.59"/>
    <n v="2533.59"/>
    <x v="722"/>
    <x v="722"/>
    <n v="1800"/>
    <n v="0"/>
    <x v="1"/>
    <s v="Refunded"/>
    <x v="1"/>
    <n v="739"/>
    <s v="OK"/>
    <s v="Valid"/>
    <s v="Unique"/>
    <s v="East"/>
    <s v="Second Class"/>
    <s v="Valid"/>
    <x v="0"/>
    <n v="2024"/>
    <s v="Clean"/>
    <s v="OK"/>
    <s v="Valid"/>
    <s v="Ok"/>
    <s v="Ok"/>
  </r>
  <r>
    <s v="ORD-2025-10724"/>
    <d v="2025-06-10T00:00:00"/>
    <d v="2026-07-20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"/>
    <n v="9589.81"/>
    <x v="723"/>
    <x v="723"/>
    <n v="4044.19"/>
    <n v="80883.819999999978"/>
    <x v="3"/>
    <s v="Failed"/>
    <x v="2"/>
    <n v="405"/>
    <s v="OK"/>
    <s v="Valid"/>
    <s v="Unique"/>
    <s v="East"/>
    <s v="Standard Class"/>
    <s v="Valid"/>
    <x v="10"/>
    <n v="2025"/>
    <s v="Clean"/>
    <s v="OK"/>
    <s v="Valid"/>
    <s v="Missmatched"/>
    <s v="Missmatched"/>
  </r>
  <r>
    <s v="ORD-2024-10725"/>
    <d v="2024-10-02T00:00:00"/>
    <d v="2026-07-21T00:00:00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497.77"/>
    <x v="724"/>
    <x v="724"/>
    <n v="262.52"/>
    <n v="0"/>
    <x v="0"/>
    <s v="Paid"/>
    <x v="0"/>
    <n v="657"/>
    <s v="OK"/>
    <s v="Valid"/>
    <s v="Unique"/>
    <s v="West"/>
    <s v="Second Class"/>
    <s v="Valid"/>
    <x v="4"/>
    <n v="2024"/>
    <s v="Clean"/>
    <s v="OK"/>
    <s v="Valid"/>
    <s v="Ok"/>
    <s v="Ok"/>
  </r>
  <r>
    <s v="ORD-2025-10726"/>
    <d v="2025-05-10T00:00:00"/>
    <d v="2026-07-22T00:00:00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8521.5"/>
    <x v="725"/>
    <x v="725"/>
    <n v="6421.61"/>
    <n v="0"/>
    <x v="0"/>
    <s v="Paid"/>
    <x v="0"/>
    <n v="438"/>
    <s v="OK"/>
    <s v="Valid"/>
    <s v="Unique"/>
    <s v="South"/>
    <s v="Second Class"/>
    <s v="Valid"/>
    <x v="3"/>
    <n v="2025"/>
    <s v="Clean"/>
    <s v="OK"/>
    <s v="Valid"/>
    <s v="Ok"/>
    <s v="Ok"/>
  </r>
  <r>
    <s v="ORD-2024-10727"/>
    <d v="2024-01-17T00:00:00"/>
    <d v="2026-07-23T00:00:00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5379.22"/>
    <x v="726"/>
    <x v="726"/>
    <n v="2692.78"/>
    <n v="13463.899999999998"/>
    <x v="2"/>
    <s v="Pending"/>
    <x v="2"/>
    <n v="918"/>
    <s v="OK"/>
    <s v="Valid"/>
    <s v="Unique"/>
    <s v="West"/>
    <s v="Standard Class"/>
    <s v="Valid"/>
    <x v="8"/>
    <n v="2024"/>
    <s v="Clean"/>
    <s v="OK"/>
    <s v="Valid"/>
    <s v="Ok"/>
    <s v="Ok"/>
  </r>
  <r>
    <s v="ORD-2024-10728"/>
    <d v="2024-10-13T00:00:00"/>
    <d v="2026-07-24T00:00:0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2"/>
    <n v="19257.849999999999"/>
    <x v="727"/>
    <x v="727"/>
    <n v="9095.17"/>
    <n v="181903.31999999995"/>
    <x v="0"/>
    <s v="Paid"/>
    <x v="0"/>
    <n v="649"/>
    <s v="OK"/>
    <s v="Valid"/>
    <s v="Unique"/>
    <s v="East"/>
    <s v="Second Class"/>
    <s v="Valid"/>
    <x v="4"/>
    <n v="2024"/>
    <s v="Clean"/>
    <s v="OK"/>
    <s v="Valid"/>
    <s v="Missmatched"/>
    <s v="Missmatched"/>
  </r>
  <r>
    <s v="ORD-2024-10729"/>
    <d v="2024-04-01T00:00:00"/>
    <d v="2026-07-25T00:00:00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1194.83"/>
    <x v="728"/>
    <x v="728"/>
    <n v="813.74"/>
    <n v="5424.9133333333339"/>
    <x v="0"/>
    <s v="Paid"/>
    <x v="0"/>
    <n v="845"/>
    <s v="OK"/>
    <s v="Valid"/>
    <s v="Unique"/>
    <s v="South"/>
    <s v="First Class"/>
    <s v="Valid"/>
    <x v="9"/>
    <n v="2024"/>
    <s v="Clean"/>
    <s v="OK"/>
    <s v="Valid"/>
    <s v="Missmatched"/>
    <s v="Missmatched"/>
  </r>
  <r>
    <s v="ORD-2025-10730"/>
    <d v="2025-05-17T00:00:00"/>
    <d v="2026-07-26T00:00:00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5516.52"/>
    <x v="729"/>
    <x v="729"/>
    <n v="3717.69"/>
    <n v="24784.619999999995"/>
    <x v="0"/>
    <s v="Paid"/>
    <x v="0"/>
    <n v="435"/>
    <s v="OK"/>
    <s v="Valid"/>
    <s v="Duplicate"/>
    <s v="South"/>
    <s v="Same Day"/>
    <s v="Valid"/>
    <x v="3"/>
    <n v="2025"/>
    <s v="Clean"/>
    <s v="OK"/>
    <s v="Valid"/>
    <s v="Missmatched"/>
    <s v="Missmatched"/>
  </r>
  <r>
    <s v="ORD-2025-10731"/>
    <d v="2025-06-19T00:00:00"/>
    <d v="2026-07-27T00:00:00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"/>
    <n v="2226.9699999999998"/>
    <x v="730"/>
    <x v="730"/>
    <n v="431.86"/>
    <n v="2879.0933333333337"/>
    <x v="1"/>
    <s v="Refunded"/>
    <x v="2"/>
    <n v="403"/>
    <s v="OK"/>
    <s v="Valid"/>
    <s v="Unique"/>
    <s v="East"/>
    <s v="Second Class"/>
    <s v="Valid"/>
    <x v="10"/>
    <n v="2025"/>
    <s v="Clean"/>
    <s v="OK"/>
    <s v="Valid"/>
    <s v="Missmatched"/>
    <s v="Missmatched"/>
  </r>
  <r>
    <s v="ORD-2024-10732"/>
    <d v="2024-03-17T00:00:00"/>
    <d v="2026-07-28T00:00:00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5"/>
    <n v="10245.44"/>
    <x v="731"/>
    <x v="731"/>
    <n v="5510.61"/>
    <n v="55106.080000000002"/>
    <x v="0"/>
    <s v="Paid"/>
    <x v="0"/>
    <n v="863"/>
    <s v="OK"/>
    <s v="Valid"/>
    <s v="Unique"/>
    <s v="East"/>
    <s v="First Class"/>
    <s v="Valid"/>
    <x v="11"/>
    <n v="2024"/>
    <s v="Clean"/>
    <s v="OK"/>
    <s v="Valid"/>
    <s v="Missmatched"/>
    <s v="Missmatched"/>
  </r>
  <r>
    <s v="ORD-2024-10733"/>
    <d v="2024-11-28T00:00:00"/>
    <d v="2026-07-29T00:00:00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8596.65"/>
    <x v="732"/>
    <x v="732"/>
    <n v="6191.13"/>
    <n v="0"/>
    <x v="0"/>
    <s v="Paid"/>
    <x v="0"/>
    <n v="608"/>
    <s v="OK"/>
    <s v="Valid"/>
    <s v="Unique"/>
    <s v="North"/>
    <s v="Standard Class"/>
    <s v="Valid"/>
    <x v="2"/>
    <n v="2024"/>
    <s v="Clean"/>
    <s v="OK"/>
    <s v="Valid"/>
    <s v="Ok"/>
    <s v="Ok"/>
  </r>
  <r>
    <s v="ORD-2024-10734"/>
    <d v="2024-06-21T00:00:00"/>
    <d v="2026-07-30T00:00:00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15337.9"/>
    <x v="733"/>
    <x v="733"/>
    <n v="9843.74"/>
    <n v="0"/>
    <x v="0"/>
    <s v="Paid"/>
    <x v="0"/>
    <n v="769"/>
    <s v="OK"/>
    <s v="Valid"/>
    <s v="Unique"/>
    <s v="North"/>
    <s v="First Class"/>
    <s v="Valid"/>
    <x v="10"/>
    <n v="2024"/>
    <s v="Clean"/>
    <s v="OK"/>
    <s v="Valid"/>
    <s v="Ok"/>
    <s v="Ok"/>
  </r>
  <r>
    <s v="ORD-2024-10735"/>
    <d v="2024-08-24T00:00:00"/>
    <d v="2026-07-31T00:00:0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00000000007"/>
    <n v="6157.27"/>
    <x v="734"/>
    <x v="734"/>
    <n v="2680.68"/>
    <n v="13403.410000000003"/>
    <x v="0"/>
    <s v="Paid"/>
    <x v="0"/>
    <n v="706"/>
    <s v="OK"/>
    <s v="Valid"/>
    <s v="Unique"/>
    <s v="North"/>
    <s v="First Class"/>
    <s v="Valid"/>
    <x v="1"/>
    <n v="2024"/>
    <s v="Clean"/>
    <s v="OK"/>
    <s v="Valid"/>
    <s v="Missmatched"/>
    <s v="Missmatched"/>
  </r>
  <r>
    <s v="ORD-2024-10736"/>
    <d v="2024-11-08T00:00:00"/>
    <d v="2026-08-01T00:00:00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"/>
    <n v="6152.87"/>
    <x v="735"/>
    <x v="735"/>
    <n v="1122.92"/>
    <n v="5614.6100000000024"/>
    <x v="0"/>
    <s v="Paid"/>
    <x v="0"/>
    <n v="631"/>
    <s v="OK"/>
    <s v="Valid"/>
    <s v="Unique"/>
    <s v="West"/>
    <s v="Standard Class"/>
    <s v="Valid"/>
    <x v="2"/>
    <n v="2024"/>
    <s v="Clean"/>
    <s v="OK"/>
    <s v="Valid"/>
    <s v="Missmatched"/>
    <s v="Missmatched"/>
  </r>
  <r>
    <s v="ORD-2024-10737"/>
    <d v="2024-06-12T00:00:00"/>
    <d v="2026-08-02T00:00:00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8"/>
    <n v="1350.03"/>
    <x v="736"/>
    <x v="736"/>
    <n v="1005.05"/>
    <n v="10050.450000000003"/>
    <x v="0"/>
    <s v="Paid"/>
    <x v="0"/>
    <n v="781"/>
    <s v="OK"/>
    <s v="Valid"/>
    <s v="Unique"/>
    <s v="West"/>
    <s v="Second Class"/>
    <s v="Valid"/>
    <x v="10"/>
    <n v="2024"/>
    <s v="Clean"/>
    <s v="OK"/>
    <s v="Valid"/>
    <s v="Missmatched"/>
    <s v="Missmatched"/>
  </r>
  <r>
    <s v="ORD-2024-10738"/>
    <d v="2024-10-02T00:00:00"/>
    <d v="2026-08-03T00:00:0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2645.5"/>
    <x v="737"/>
    <x v="737"/>
    <n v="963.62"/>
    <n v="0"/>
    <x v="0"/>
    <s v="Paid"/>
    <x v="0"/>
    <n v="670"/>
    <s v="OK"/>
    <s v="Valid"/>
    <s v="Unique"/>
    <s v="West"/>
    <s v="Same Day"/>
    <s v="Valid"/>
    <x v="4"/>
    <n v="2024"/>
    <s v="Clean"/>
    <s v="OK"/>
    <s v="Valid"/>
    <s v="Ok"/>
    <s v="Ok"/>
  </r>
  <r>
    <s v="ORD-2025-10739"/>
    <d v="2025-02-20T00:00:00"/>
    <d v="2026-08-04T00:00:00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1298.8399999999999"/>
    <x v="738"/>
    <x v="738"/>
    <n v="889.35"/>
    <n v="0"/>
    <x v="0"/>
    <s v="Paid"/>
    <x v="0"/>
    <n v="530"/>
    <s v="OK"/>
    <s v="Valid"/>
    <s v="Unique"/>
    <s v="South"/>
    <s v="First Class"/>
    <s v="Valid"/>
    <x v="5"/>
    <n v="2025"/>
    <s v="Clean"/>
    <s v="OK"/>
    <s v="Valid"/>
    <s v="Ok"/>
    <s v="Ok"/>
  </r>
  <r>
    <s v="ORD-2024-10740"/>
    <d v="2024-03-12T00:00:00"/>
    <d v="2026-08-05T00:00:00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4"/>
    <n v="7469.58"/>
    <x v="739"/>
    <x v="739"/>
    <n v="3901.26"/>
    <n v="78025.10000000002"/>
    <x v="0"/>
    <s v="Paid"/>
    <x v="0"/>
    <n v="876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4-10741"/>
    <d v="2024-02-04T00:00:00"/>
    <d v="2026-08-06T00:00:00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7999999999993"/>
    <n v="6548.5"/>
    <x v="740"/>
    <x v="740"/>
    <n v="2750.3"/>
    <n v="27503.000000000011"/>
    <x v="0"/>
    <s v="Paid"/>
    <x v="0"/>
    <n v="914"/>
    <s v="OK"/>
    <s v="Valid"/>
    <s v="Unique"/>
    <s v="West"/>
    <s v="First Class"/>
    <s v="Valid"/>
    <x v="5"/>
    <n v="2024"/>
    <s v="Clean"/>
    <s v="OK"/>
    <s v="Valid"/>
    <s v="Ok"/>
    <s v="Ok"/>
  </r>
  <r>
    <s v="ORD-2025-10742"/>
    <d v="2025-04-23T00:00:00"/>
    <d v="2026-08-07T00:00:00"/>
    <s v="CUST-3285"/>
    <s v="Isha Nair"/>
    <x v="3"/>
    <x v="2"/>
    <s v="Tamil Nadu"/>
    <s v="Chennai"/>
    <x v="1"/>
    <x v="4"/>
    <s v="Max Chairs 706"/>
    <x v="0"/>
    <n v="3"/>
    <n v="2951.12"/>
    <m/>
    <n v="0"/>
    <n v="7082.69"/>
    <n v="5596.34"/>
    <x v="741"/>
    <x v="741"/>
    <n v="1486.35"/>
    <n v="0"/>
    <x v="0"/>
    <s v="Paid"/>
    <x v="1"/>
    <n v="471"/>
    <s v="OK"/>
    <s v="Valid"/>
    <s v="Unique"/>
    <s v="South"/>
    <s v="Second Class"/>
    <s v="Valid"/>
    <x v="9"/>
    <n v="2025"/>
    <s v="Clean"/>
    <s v="OK"/>
    <s v="Valid"/>
    <s v="Missmatched"/>
    <s v="Missmatched"/>
  </r>
  <r>
    <s v="ORD-2024-10743"/>
    <d v="2024-10-15T00:00:00"/>
    <d v="2026-08-08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5913.38"/>
    <x v="742"/>
    <x v="742"/>
    <n v="3130.42"/>
    <n v="0"/>
    <x v="0"/>
    <s v="Paid"/>
    <x v="0"/>
    <n v="662"/>
    <s v="OK"/>
    <s v="Valid"/>
    <s v="Unique"/>
    <s v="East"/>
    <s v="Standard Class"/>
    <s v="Valid"/>
    <x v="4"/>
    <n v="2024"/>
    <s v="Clean"/>
    <s v="OK"/>
    <s v="Valid"/>
    <s v="Ok"/>
    <s v="Ok"/>
  </r>
  <r>
    <s v="ORD-2025-10744"/>
    <d v="2025-12-02T00:00:00"/>
    <d v="2026-08-09T00:00:00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1735.64"/>
    <x v="743"/>
    <x v="743"/>
    <n v="475.66"/>
    <n v="1902.6399999999985"/>
    <x v="0"/>
    <s v="Paid"/>
    <x v="0"/>
    <n v="250"/>
    <s v="OK"/>
    <s v="Valid"/>
    <s v="Unique"/>
    <s v="North"/>
    <s v="Standard Class"/>
    <s v="Valid"/>
    <x v="7"/>
    <n v="2025"/>
    <s v="Clean"/>
    <s v="OK"/>
    <s v="Valid"/>
    <s v="Ok"/>
    <s v="Ok"/>
  </r>
  <r>
    <s v="ORD-2025-10745"/>
    <d v="2025-08-17T00:00:00"/>
    <d v="2026-08-10T00:00:00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"/>
    <n v="10260.07"/>
    <x v="744"/>
    <x v="744"/>
    <n v="1898.43"/>
    <n v="18984.349999999995"/>
    <x v="0"/>
    <s v="Paid"/>
    <x v="1"/>
    <n v="358"/>
    <s v="OK"/>
    <s v="Valid"/>
    <s v="Unique"/>
    <s v="North"/>
    <s v="First Class"/>
    <s v="Valid"/>
    <x v="1"/>
    <n v="2025"/>
    <s v="Clean"/>
    <s v="OK"/>
    <s v="Valid"/>
    <s v="Missmatched"/>
    <s v="Missmatched"/>
  </r>
  <r>
    <s v="ORD-2024-10746"/>
    <d v="2024-10-24T00:00:00"/>
    <d v="2026-08-11T00:00:00"/>
    <s v="CUST-1493"/>
    <s v="Mira Das"/>
    <x v="1"/>
    <x v="1"/>
    <s v="Assam"/>
    <s v="Guwahati"/>
    <x v="2"/>
    <x v="6"/>
    <s v="Max Copiers 866"/>
    <x v="3"/>
    <n v="3"/>
    <n v="723.59"/>
    <n v="0.2"/>
    <n v="0.2"/>
    <n v="1736.62"/>
    <n v="1059.52"/>
    <x v="745"/>
    <x v="745"/>
    <n v="677.1"/>
    <n v="3385.48"/>
    <x v="0"/>
    <s v="Paid"/>
    <x v="0"/>
    <n v="656"/>
    <s v="OK"/>
    <s v="Valid"/>
    <s v="Unique"/>
    <s v="East"/>
    <s v="Standard Class"/>
    <s v="Valid"/>
    <x v="4"/>
    <n v="2024"/>
    <s v="Clean"/>
    <s v="OK"/>
    <s v="Valid"/>
    <s v="Missmatched"/>
    <s v="Missmatched"/>
  </r>
  <r>
    <s v="ORD-2025-10747"/>
    <d v="2025-04-01T00:00:00"/>
    <d v="2026-08-12T00:00:00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6236.32"/>
    <x v="746"/>
    <x v="746"/>
    <n v="2029.89"/>
    <n v="10149.440000000004"/>
    <x v="0"/>
    <s v="Paid"/>
    <x v="0"/>
    <n v="498"/>
    <s v="OK"/>
    <s v="Valid"/>
    <s v="Unique"/>
    <s v="East"/>
    <s v="Standard Class"/>
    <s v="Valid"/>
    <x v="9"/>
    <n v="2025"/>
    <s v="Clean"/>
    <s v="OK"/>
    <s v="Valid"/>
    <s v="Missmatched"/>
    <s v="Missmatched"/>
  </r>
  <r>
    <s v="ORD-2024-10748"/>
    <d v="2024-01-05T00:00:00"/>
    <d v="2026-08-13T00:00:00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5576.98"/>
    <x v="747"/>
    <x v="747"/>
    <n v="4445.0600000000004"/>
    <n v="29633.760000000002"/>
    <x v="0"/>
    <s v="Paid"/>
    <x v="0"/>
    <n v="951"/>
    <s v="OK"/>
    <s v="Valid"/>
    <s v="Unique"/>
    <s v="East"/>
    <s v="Same Day"/>
    <s v="Valid"/>
    <x v="8"/>
    <n v="2024"/>
    <s v="Clean"/>
    <s v="OK"/>
    <s v="Valid"/>
    <s v="Missmatched"/>
    <s v="Missmatched"/>
  </r>
  <r>
    <s v="ORD-2024-10749"/>
    <d v="2024-05-30T00:00:00"/>
    <d v="2026-08-14T00:00:0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3"/>
    <n v="2064.83"/>
    <x v="748"/>
    <x v="748"/>
    <n v="821.2"/>
    <n v="3284.7999999999993"/>
    <x v="0"/>
    <s v="Paid"/>
    <x v="0"/>
    <n v="806"/>
    <s v="OK"/>
    <s v="Valid"/>
    <s v="Unique"/>
    <s v="North"/>
    <s v="Second Class"/>
    <s v="Valid"/>
    <x v="3"/>
    <n v="2024"/>
    <s v="Clean"/>
    <s v="OK"/>
    <s v="Valid"/>
    <s v="Ok"/>
    <s v="Ok"/>
  </r>
  <r>
    <s v="ORD-2024-10750"/>
    <d v="2024-03-21T00:00:00"/>
    <d v="2026-08-15T00:00:00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055.79"/>
    <x v="749"/>
    <x v="749"/>
    <n v="403.4"/>
    <n v="2689.3666666666668"/>
    <x v="0"/>
    <s v="Paid"/>
    <x v="0"/>
    <n v="877"/>
    <s v="OK"/>
    <s v="Valid"/>
    <s v="Unique"/>
    <s v="East"/>
    <s v="Standard Class"/>
    <s v="Valid"/>
    <x v="11"/>
    <n v="2024"/>
    <s v="Clean"/>
    <s v="OK"/>
    <s v="Valid"/>
    <s v="Missmatched"/>
    <s v="Missmatched"/>
  </r>
  <r>
    <s v="ORD-2025-10751"/>
    <d v="2025-02-06T00:00:00"/>
    <d v="2026-08-16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"/>
    <n v="22724.52"/>
    <x v="750"/>
    <x v="750"/>
    <n v="3971.8"/>
    <n v="26478.693333333311"/>
    <x v="0"/>
    <s v="Paid"/>
    <x v="0"/>
    <n v="556"/>
    <s v="OK"/>
    <s v="Valid"/>
    <s v="Unique"/>
    <s v="South"/>
    <s v="First Class"/>
    <s v="Valid"/>
    <x v="5"/>
    <n v="2025"/>
    <s v="Clean"/>
    <s v="OK"/>
    <s v="Valid"/>
    <s v="Missmatched"/>
    <s v="Missmatched"/>
  </r>
  <r>
    <s v="ORD-2025-10752"/>
    <d v="2025-07-18T00:00:00"/>
    <d v="2026-08-17T00:00:00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6937.6"/>
    <x v="751"/>
    <x v="751"/>
    <n v="1507.66"/>
    <n v="30153.249999999971"/>
    <x v="0"/>
    <s v="Paid"/>
    <x v="0"/>
    <n v="395"/>
    <s v="OK"/>
    <s v="Valid"/>
    <s v="Unique"/>
    <s v="Unknown"/>
    <s v="Unknown"/>
    <s v="Valid"/>
    <x v="0"/>
    <n v="2025"/>
    <s v="Clean"/>
    <s v="OK"/>
    <s v="Valid"/>
    <s v="Missmatched"/>
    <s v="Missmatched"/>
  </r>
  <r>
    <s v="ORD-2024-10753"/>
    <d v="2024-03-24T00:00:00"/>
    <d v="2026-08-18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"/>
    <n v="8372.2900000000009"/>
    <x v="752"/>
    <x v="752"/>
    <n v="3337.5"/>
    <n v="66750.099999999948"/>
    <x v="0"/>
    <s v="Paid"/>
    <x v="0"/>
    <n v="877"/>
    <s v="OK"/>
    <s v="Valid"/>
    <s v="Unique"/>
    <s v="West"/>
    <s v="First Class"/>
    <s v="Valid"/>
    <x v="11"/>
    <n v="2024"/>
    <s v="Clean"/>
    <s v="OK"/>
    <s v="Valid"/>
    <s v="Missmatched"/>
    <s v="Missmatched"/>
  </r>
  <r>
    <s v="ORD-2024-10754"/>
    <d v="2024-11-08T00:00:00"/>
    <d v="2026-08-19T00:00:00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1848.48"/>
    <x v="753"/>
    <x v="753"/>
    <n v="745.43"/>
    <n v="4969.5399999999972"/>
    <x v="3"/>
    <s v="Failed"/>
    <x v="2"/>
    <n v="649"/>
    <s v="OK"/>
    <s v="Valid"/>
    <s v="Unique"/>
    <s v="North"/>
    <s v="Second Class"/>
    <s v="Valid"/>
    <x v="2"/>
    <n v="2024"/>
    <s v="Clean"/>
    <s v="OK"/>
    <s v="Valid"/>
    <s v="Missmatched"/>
    <s v="Missmatched"/>
  </r>
  <r>
    <s v="ORD-2025-10755"/>
    <d v="2025-04-06T00:00:00"/>
    <d v="2026-08-20T00:00:0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2207.5700000000002"/>
    <x v="754"/>
    <x v="754"/>
    <n v="466.45"/>
    <n v="1865.7999999999993"/>
    <x v="0"/>
    <s v="Paid"/>
    <x v="0"/>
    <n v="501"/>
    <s v="OK"/>
    <s v="Valid"/>
    <s v="Unique"/>
    <s v="South"/>
    <s v="Standard Class"/>
    <s v="Valid"/>
    <x v="9"/>
    <n v="2025"/>
    <s v="Clean"/>
    <s v="OK"/>
    <s v="Valid"/>
    <s v="Ok"/>
    <s v="Ok"/>
  </r>
  <r>
    <s v="ORD-2025-10756"/>
    <d v="2025-07-20T00:00:00"/>
    <d v="2026-08-21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7994.98"/>
    <x v="755"/>
    <x v="755"/>
    <n v="1931.98"/>
    <n v="9659.8999999999978"/>
    <x v="0"/>
    <s v="Paid"/>
    <x v="0"/>
    <n v="397"/>
    <s v="OK"/>
    <s v="Valid"/>
    <s v="Unique"/>
    <s v="West"/>
    <s v="Second Class"/>
    <s v="Valid"/>
    <x v="0"/>
    <n v="2025"/>
    <s v="Clean"/>
    <s v="OK"/>
    <s v="Valid"/>
    <s v="Ok"/>
    <s v="Ok"/>
  </r>
  <r>
    <s v="ORD-2024-10757"/>
    <d v="2024-10-27T00:00:00"/>
    <d v="2026-08-22T00:00:00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0457.49"/>
    <x v="756"/>
    <x v="756"/>
    <n v="1734.27"/>
    <n v="8671.3500000000022"/>
    <x v="0"/>
    <s v="Paid"/>
    <x v="2"/>
    <n v="664"/>
    <s v="OK"/>
    <s v="Valid"/>
    <s v="Unique"/>
    <s v="North"/>
    <s v="Same Day"/>
    <s v="Valid"/>
    <x v="4"/>
    <n v="2024"/>
    <s v="Clean"/>
    <s v="OK"/>
    <s v="Valid"/>
    <s v="Ok"/>
    <s v="Ok"/>
  </r>
  <r>
    <s v="ORD-2025-10758"/>
    <d v="2025-01-08T00:00:00"/>
    <d v="2026-08-23T00:00:00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6"/>
    <n v="2386.33"/>
    <x v="757"/>
    <x v="757"/>
    <n v="1899.43"/>
    <n v="7597.7000000000007"/>
    <x v="3"/>
    <s v="Failed"/>
    <x v="1"/>
    <n v="592"/>
    <s v="OK"/>
    <s v="Valid"/>
    <s v="Unique"/>
    <s v="South"/>
    <s v="Standard Class"/>
    <s v="Valid"/>
    <x v="8"/>
    <n v="2025"/>
    <s v="Clean"/>
    <s v="OK"/>
    <s v="Valid"/>
    <s v="Missmatched"/>
    <s v="Missmatched"/>
  </r>
  <r>
    <s v="ORD-2024-10759"/>
    <d v="2024-02-05T00:00:00"/>
    <d v="2026-08-24T00:00:00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3412.63"/>
    <x v="758"/>
    <x v="758"/>
    <n v="754.28"/>
    <n v="0"/>
    <x v="0"/>
    <s v="Paid"/>
    <x v="0"/>
    <n v="931"/>
    <s v="OK"/>
    <s v="Valid"/>
    <s v="Unique"/>
    <s v="South"/>
    <s v="Standard Class"/>
    <s v="Valid"/>
    <x v="5"/>
    <n v="2024"/>
    <s v="Clean"/>
    <s v="OK"/>
    <s v="Valid"/>
    <s v="Ok"/>
    <s v="Ok"/>
  </r>
  <r>
    <s v="ORD-2024-10760"/>
    <d v="2024-07-19T00:00:00"/>
    <d v="2026-08-25T00:00:00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9438.4599999999991"/>
    <x v="759"/>
    <x v="759"/>
    <n v="5509.08"/>
    <n v="22036.310000000012"/>
    <x v="0"/>
    <s v="Paid"/>
    <x v="0"/>
    <n v="767"/>
    <s v="OK"/>
    <s v="Valid"/>
    <s v="Unique"/>
    <s v="South"/>
    <s v="Second Class"/>
    <s v="Valid"/>
    <x v="0"/>
    <n v="2024"/>
    <s v="Clean"/>
    <s v="OK"/>
    <s v="Valid"/>
    <s v="Missmatched"/>
    <s v="Missmatched"/>
  </r>
  <r>
    <s v="ORD-2024-10761"/>
    <d v="2024-08-28T00:00:00"/>
    <d v="2026-08-26T00:00:00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7600.63"/>
    <x v="760"/>
    <x v="760"/>
    <n v="5861.49"/>
    <n v="0"/>
    <x v="2"/>
    <s v="Pending"/>
    <x v="2"/>
    <n v="728"/>
    <s v="OK"/>
    <s v="Valid"/>
    <s v="Unique"/>
    <s v="East"/>
    <s v="Second Class"/>
    <s v="Valid"/>
    <x v="1"/>
    <n v="2024"/>
    <s v="Clean"/>
    <s v="OK"/>
    <s v="Valid"/>
    <s v="Ok"/>
    <s v="Ok"/>
  </r>
  <r>
    <s v="ORD-2025-10762"/>
    <d v="2025-08-27T00:00:00"/>
    <d v="2026-08-27T00:00:00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5010.6099999999997"/>
    <x v="761"/>
    <x v="761"/>
    <n v="2456.75"/>
    <n v="0"/>
    <x v="0"/>
    <s v="Paid"/>
    <x v="0"/>
    <n v="365"/>
    <s v="OK"/>
    <s v="Valid"/>
    <s v="Unique"/>
    <s v="South"/>
    <s v="First Class"/>
    <s v="Valid"/>
    <x v="1"/>
    <n v="2025"/>
    <s v="Clean"/>
    <s v="OK"/>
    <s v="Valid"/>
    <s v="Ok"/>
    <s v="Ok"/>
  </r>
  <r>
    <s v="ORD-2024-10763"/>
    <d v="2024-01-01T00:00:00"/>
    <d v="2026-08-28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4775.4399999999996"/>
    <x v="762"/>
    <x v="762"/>
    <n v="1135.1500000000001"/>
    <n v="5675.7600000000048"/>
    <x v="1"/>
    <s v="Refunded"/>
    <x v="2"/>
    <n v="970"/>
    <s v="OK"/>
    <s v="Valid"/>
    <s v="Unique"/>
    <s v="West"/>
    <s v="Second Class"/>
    <s v="Valid"/>
    <x v="8"/>
    <n v="2024"/>
    <s v="Clean"/>
    <s v="OK"/>
    <s v="Valid"/>
    <s v="Missmatched"/>
    <s v="Missmatched"/>
  </r>
  <r>
    <s v="ORD-2025-10764"/>
    <d v="2025-08-23T00:00:00"/>
    <d v="2026-08-29T00:00:00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2081.54"/>
    <x v="763"/>
    <x v="763"/>
    <n v="4373.34"/>
    <n v="0"/>
    <x v="0"/>
    <s v="Paid"/>
    <x v="0"/>
    <n v="371"/>
    <s v="OK"/>
    <s v="Valid"/>
    <s v="Unique"/>
    <s v="North"/>
    <s v="Same Day"/>
    <s v="Valid"/>
    <x v="1"/>
    <n v="2025"/>
    <s v="Clean"/>
    <s v="OK"/>
    <s v="Valid"/>
    <s v="Ok"/>
    <s v="Ok"/>
  </r>
  <r>
    <s v="ORD-2025-10765"/>
    <d v="2025-04-13T00:00:00"/>
    <d v="2026-08-30T00:00:0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1606.83"/>
    <x v="764"/>
    <x v="764"/>
    <n v="3552.97"/>
    <n v="71059.399999999951"/>
    <x v="0"/>
    <s v="Paid"/>
    <x v="0"/>
    <n v="504"/>
    <s v="OK"/>
    <s v="Valid"/>
    <s v="Unique"/>
    <s v="South"/>
    <s v="First Class"/>
    <s v="Valid"/>
    <x v="9"/>
    <n v="2025"/>
    <s v="Clean"/>
    <s v="OK"/>
    <s v="Valid"/>
    <s v="Ok"/>
    <s v="Ok"/>
  </r>
  <r>
    <s v="ORD-2025-10766"/>
    <d v="2025-06-29T00:00:00"/>
    <d v="2026-08-31T00:00:00"/>
    <s v="CUST-8747"/>
    <s v="Vikram Iyer"/>
    <x v="2"/>
    <x v="1"/>
    <s v="Jharkhand"/>
    <s v="Ranchi"/>
    <x v="0"/>
    <x v="7"/>
    <s v="Max Labels 136"/>
    <x v="2"/>
    <n v="3"/>
    <n v="608.14"/>
    <n v="0"/>
    <n v="0"/>
    <n v="1824.42"/>
    <n v="1214.8699999999999"/>
    <x v="765"/>
    <x v="765"/>
    <n v="609.54999999999995"/>
    <n v="0"/>
    <x v="0"/>
    <s v="Paid"/>
    <x v="0"/>
    <n v="428"/>
    <s v="OK"/>
    <s v="Valid"/>
    <s v="Unique"/>
    <s v="East"/>
    <s v="First Class"/>
    <s v="Valid"/>
    <x v="10"/>
    <n v="2025"/>
    <s v="Clean"/>
    <s v="OK"/>
    <s v="Valid"/>
    <s v="Ok"/>
    <s v="Ok"/>
  </r>
  <r>
    <s v="ORD-2024-10767"/>
    <d v="2024-09-17T00:00:00"/>
    <d v="2026-09-01T00:00:00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9195.73"/>
    <x v="766"/>
    <x v="766"/>
    <n v="7421.58"/>
    <n v="37107.910000000011"/>
    <x v="0"/>
    <s v="Paid"/>
    <x v="1"/>
    <n v="714"/>
    <s v="OK"/>
    <s v="Valid"/>
    <s v="Unique"/>
    <s v="West"/>
    <s v="Second Class"/>
    <s v="Valid"/>
    <x v="6"/>
    <n v="2024"/>
    <s v="Clean"/>
    <s v="OK"/>
    <s v="Valid"/>
    <s v="Missmatched"/>
    <s v="Missmatched"/>
  </r>
  <r>
    <s v="ORD-2024-10768"/>
    <d v="2024-03-05T00:00:00"/>
    <d v="2026-09-02T00:00:00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"/>
    <n v="583.09"/>
    <x v="767"/>
    <x v="767"/>
    <n v="350.34"/>
    <n v="1401.3799999999997"/>
    <x v="0"/>
    <s v="Paid"/>
    <x v="0"/>
    <n v="911"/>
    <s v="OK"/>
    <s v="Valid"/>
    <s v="Unique"/>
    <s v="North"/>
    <s v="Standard Class"/>
    <s v="Valid"/>
    <x v="11"/>
    <n v="2024"/>
    <s v="Clean"/>
    <s v="OK"/>
    <s v="Valid"/>
    <s v="Missmatched"/>
    <s v="Missmatched"/>
  </r>
  <r>
    <s v="ORD-2025-10769"/>
    <d v="2025-02-04T00:00:00"/>
    <d v="2026-09-03T00:00:00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1166.84"/>
    <x v="768"/>
    <x v="768"/>
    <n v="3387.24"/>
    <n v="33872.399999999994"/>
    <x v="0"/>
    <s v="Paid"/>
    <x v="0"/>
    <n v="576"/>
    <s v="OK"/>
    <s v="Valid"/>
    <s v="Unique"/>
    <s v="East"/>
    <s v="Same Day"/>
    <s v="Valid"/>
    <x v="5"/>
    <n v="2025"/>
    <s v="Clean"/>
    <s v="OK"/>
    <s v="Valid"/>
    <s v="Ok"/>
    <s v="Ok"/>
  </r>
  <r>
    <s v="ORD-2024-10770"/>
    <d v="2024-11-05T00:00:00"/>
    <d v="2026-09-04T00:00:00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9"/>
    <n v="5071.66"/>
    <x v="769"/>
    <x v="769"/>
    <n v="3057.03"/>
    <n v="12228.11"/>
    <x v="0"/>
    <s v="Paid"/>
    <x v="0"/>
    <n v="668"/>
    <s v="OK"/>
    <s v="Valid"/>
    <s v="Unique"/>
    <s v="West"/>
    <s v="Same Day"/>
    <s v="Valid"/>
    <x v="2"/>
    <n v="2024"/>
    <s v="Clean"/>
    <s v="OK"/>
    <s v="Valid"/>
    <s v="Missmatched"/>
    <s v="Missmatched"/>
  </r>
  <r>
    <s v="ORD-2024-10771"/>
    <d v="2024-02-15T00:00:00"/>
    <d v="2026-09-05T00:00:00"/>
    <s v="CUST-8384"/>
    <s v="Neha Gupta"/>
    <x v="0"/>
    <x v="0"/>
    <s v="Uttar Pradesh"/>
    <s v="Noida"/>
    <x v="2"/>
    <x v="6"/>
    <s v="Eco Copiers 396"/>
    <x v="2"/>
    <n v="4"/>
    <n v="863"/>
    <m/>
    <n v="0"/>
    <n v="3106.8"/>
    <n v="2376.62"/>
    <x v="770"/>
    <x v="770"/>
    <n v="730.18"/>
    <n v="0"/>
    <x v="0"/>
    <s v="Paid"/>
    <x v="0"/>
    <n v="933"/>
    <s v="OK"/>
    <s v="Valid"/>
    <s v="Unique"/>
    <s v="North"/>
    <s v="First Class"/>
    <s v="Valid"/>
    <x v="5"/>
    <n v="2024"/>
    <s v="Clean"/>
    <s v="OK"/>
    <s v="Valid"/>
    <s v="Missmatched"/>
    <s v="Missmatched"/>
  </r>
  <r>
    <s v="ORD-2024-10772"/>
    <d v="2024-12-07T00:00:00"/>
    <d v="2026-09-06T00:00:00"/>
    <s v="CUST-7861"/>
    <s v="Ananya Rao"/>
    <x v="0"/>
    <x v="0"/>
    <s v="Haryana"/>
    <s v="Gurugram"/>
    <x v="2"/>
    <x v="12"/>
    <s v="Basic Machines 401"/>
    <x v="0"/>
    <n v="4"/>
    <n v="2131.41"/>
    <m/>
    <n v="0"/>
    <n v="6394.23"/>
    <n v="3520.69"/>
    <x v="771"/>
    <x v="771"/>
    <n v="2873.54"/>
    <n v="0"/>
    <x v="0"/>
    <s v="Paid"/>
    <x v="0"/>
    <n v="638"/>
    <s v="OK"/>
    <s v="Valid"/>
    <s v="Unique"/>
    <s v="North"/>
    <s v="Second Class"/>
    <s v="Valid"/>
    <x v="7"/>
    <n v="2024"/>
    <s v="Clean"/>
    <s v="OK"/>
    <s v="Valid"/>
    <s v="Missmatched"/>
    <s v="Missmatched"/>
  </r>
  <r>
    <s v="ORD-2025-10773"/>
    <d v="2025-07-15T00:00:00"/>
    <d v="2026-09-07T00:00:00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6"/>
    <n v="2760.29"/>
    <x v="772"/>
    <x v="772"/>
    <n v="947.77"/>
    <n v="18955.379999999994"/>
    <x v="2"/>
    <s v="Pending"/>
    <x v="1"/>
    <n v="419"/>
    <s v="OK"/>
    <s v="Valid"/>
    <s v="Unique"/>
    <s v="South"/>
    <s v="Same Day"/>
    <s v="Valid"/>
    <x v="0"/>
    <n v="2025"/>
    <s v="Clean"/>
    <s v="OK"/>
    <s v="Valid"/>
    <s v="Missmatched"/>
    <s v="Missmatched"/>
  </r>
  <r>
    <s v="ORD-2025-10774"/>
    <d v="2025-02-21T00:00:00"/>
    <d v="2026-09-08T00:00:0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199999999993"/>
    <n v="6178.92"/>
    <x v="773"/>
    <x v="773"/>
    <n v="3245.3"/>
    <n v="16226.52"/>
    <x v="0"/>
    <s v="Paid"/>
    <x v="0"/>
    <n v="564"/>
    <s v="OK"/>
    <s v="Valid"/>
    <s v="Unique"/>
    <s v="West"/>
    <s v="Unknown"/>
    <s v="Valid"/>
    <x v="5"/>
    <n v="2025"/>
    <s v="Clean"/>
    <s v="OK"/>
    <s v="Valid"/>
    <s v="Missmatched"/>
    <s v="Missmatched"/>
  </r>
  <r>
    <s v="ORD-2025-10775"/>
    <d v="2025-08-07T00:00:00"/>
    <d v="2026-09-09T00:00:0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4689.3"/>
    <x v="774"/>
    <x v="774"/>
    <n v="3063.3"/>
    <n v="15316.5"/>
    <x v="0"/>
    <s v="Paid"/>
    <x v="0"/>
    <n v="398"/>
    <s v="OK"/>
    <s v="Valid"/>
    <s v="Unique"/>
    <s v="West"/>
    <s v="Unknown"/>
    <s v="Valid"/>
    <x v="1"/>
    <n v="2025"/>
    <s v="Clean"/>
    <s v="OK"/>
    <s v="Valid"/>
    <s v="Ok"/>
    <s v="Ok"/>
  </r>
  <r>
    <s v="ORD-2024-10776"/>
    <d v="2024-04-14T00:00:00"/>
    <d v="2026-09-10T00:00:00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13890.9"/>
    <x v="775"/>
    <x v="775"/>
    <n v="9845.82"/>
    <n v="39383.280000000006"/>
    <x v="0"/>
    <s v="Paid"/>
    <x v="0"/>
    <n v="879"/>
    <s v="OK"/>
    <s v="Valid"/>
    <s v="Unique"/>
    <s v="North"/>
    <s v="Standard Class"/>
    <s v="Valid"/>
    <x v="9"/>
    <n v="2024"/>
    <s v="Clean"/>
    <s v="OK"/>
    <s v="Valid"/>
    <s v="Ok"/>
    <s v="Ok"/>
  </r>
  <r>
    <s v="ORD-2025-10777"/>
    <d v="2025-06-08T00:00:00"/>
    <d v="2026-09-11T00:00:00"/>
    <s v="CUST-9690"/>
    <s v="Aditi Sen"/>
    <x v="1"/>
    <x v="0"/>
    <s v="Rajasthan"/>
    <s v="Jaipur"/>
    <x v="2"/>
    <x v="6"/>
    <s v="Eco Copiers 528"/>
    <x v="0"/>
    <n v="7"/>
    <n v="3857.13"/>
    <n v="0"/>
    <n v="0"/>
    <n v="26999.91"/>
    <n v="17815.98"/>
    <x v="776"/>
    <x v="776"/>
    <n v="9183.93"/>
    <n v="0"/>
    <x v="0"/>
    <s v="Paid"/>
    <x v="0"/>
    <n v="460"/>
    <s v="OK"/>
    <s v="Valid"/>
    <s v="Unique"/>
    <s v="North"/>
    <s v="Second Class"/>
    <s v="Valid"/>
    <x v="10"/>
    <n v="2025"/>
    <s v="Clean"/>
    <s v="OK"/>
    <s v="Valid"/>
    <s v="Ok"/>
    <s v="Ok"/>
  </r>
  <r>
    <s v="ORD-2024-10778"/>
    <d v="2024-02-04T00:00:00"/>
    <d v="2026-09-12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2"/>
    <n v="3530.12"/>
    <x v="777"/>
    <x v="777"/>
    <n v="1535"/>
    <n v="10233.306666666667"/>
    <x v="3"/>
    <s v="Failed"/>
    <x v="1"/>
    <n v="951"/>
    <s v="OK"/>
    <s v="Valid"/>
    <s v="Unique"/>
    <s v="West"/>
    <s v="Second Class"/>
    <s v="Valid"/>
    <x v="5"/>
    <n v="2024"/>
    <s v="Clean"/>
    <s v="OK"/>
    <s v="Valid"/>
    <s v="Missmatched"/>
    <s v="Missmatched"/>
  </r>
  <r>
    <s v="ORD-2024-10779"/>
    <d v="2024-07-24T00:00:00"/>
    <d v="2026-09-13T00:00:00"/>
    <s v="CUST-4714"/>
    <s v="Karan Malhotra"/>
    <x v="1"/>
    <x v="0"/>
    <s v="Haryana"/>
    <s v="Gurugram"/>
    <x v="2"/>
    <x v="6"/>
    <s v="Pro Copiers 298"/>
    <x v="0"/>
    <n v="4"/>
    <n v="1676.88"/>
    <n v="0"/>
    <n v="0"/>
    <n v="6707.52"/>
    <n v="5672.57"/>
    <x v="778"/>
    <x v="778"/>
    <n v="1034.95"/>
    <n v="0"/>
    <x v="0"/>
    <s v="Paid"/>
    <x v="0"/>
    <n v="781"/>
    <s v="OK"/>
    <s v="Valid"/>
    <s v="Unique"/>
    <s v="North"/>
    <s v="Second Class"/>
    <s v="Valid"/>
    <x v="0"/>
    <n v="2024"/>
    <s v="Clean"/>
    <s v="OK"/>
    <s v="Valid"/>
    <s v="Ok"/>
    <s v="Ok"/>
  </r>
  <r>
    <s v="ORD-2024-10780"/>
    <d v="2024-01-15T00:00:00"/>
    <d v="2026-09-14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"/>
    <n v="8572.9"/>
    <x v="779"/>
    <x v="779"/>
    <n v="3410.55"/>
    <n v="68211.039999999994"/>
    <x v="0"/>
    <s v="Paid"/>
    <x v="0"/>
    <n v="973"/>
    <s v="OK"/>
    <s v="Valid"/>
    <s v="Unique"/>
    <s v="South"/>
    <s v="Standard Class"/>
    <s v="Valid"/>
    <x v="8"/>
    <n v="2024"/>
    <s v="Clean"/>
    <s v="OK"/>
    <s v="Valid"/>
    <s v="Missmatched"/>
    <s v="Missmatched"/>
  </r>
  <r>
    <s v="ORD-2024-10781"/>
    <d v="2024-04-08T00:00:00"/>
    <d v="2026-09-15T00:00:00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8"/>
    <n v="978.16"/>
    <x v="780"/>
    <x v="780"/>
    <n v="386.42"/>
    <n v="1932.0800000000002"/>
    <x v="0"/>
    <s v="Paid"/>
    <x v="0"/>
    <n v="890"/>
    <s v="OK"/>
    <s v="Valid"/>
    <s v="Unique"/>
    <s v="West"/>
    <s v="Same Day"/>
    <s v="Valid"/>
    <x v="9"/>
    <n v="2024"/>
    <s v="Clean"/>
    <s v="OK"/>
    <s v="Valid"/>
    <s v="Missmatched"/>
    <s v="Missmatched"/>
  </r>
  <r>
    <s v="ORD-2024-10782"/>
    <d v="2024-02-02T00:00:00"/>
    <d v="2026-09-16T00:00:00"/>
    <s v="CUST-8597"/>
    <s v="Karan Malhotra"/>
    <x v="3"/>
    <x v="3"/>
    <s v="Rajasthan"/>
    <s v="Udaipur"/>
    <x v="0"/>
    <x v="7"/>
    <s v="Classic Labels 204"/>
    <x v="2"/>
    <n v="3"/>
    <n v="383.4"/>
    <n v="0.25"/>
    <n v="0.25"/>
    <n v="862.65"/>
    <n v="603.73"/>
    <x v="781"/>
    <x v="781"/>
    <n v="258.92"/>
    <n v="1035.6799999999994"/>
    <x v="2"/>
    <s v="Pending"/>
    <x v="2"/>
    <n v="957"/>
    <s v="OK"/>
    <s v="Valid"/>
    <s v="Unique"/>
    <s v="West"/>
    <s v="First Class"/>
    <s v="Valid"/>
    <x v="5"/>
    <n v="2024"/>
    <s v="Clean"/>
    <s v="OK"/>
    <s v="Valid"/>
    <s v="Ok"/>
    <s v="Ok"/>
  </r>
  <r>
    <s v="ORD-2025-10783"/>
    <d v="2025-03-14T00:00:00"/>
    <d v="2026-09-17T00:00:00"/>
    <s v="CUST-9085"/>
    <s v="Mira Das"/>
    <x v="2"/>
    <x v="1"/>
    <s v="West Bengal"/>
    <s v="Kolkata"/>
    <x v="2"/>
    <x v="6"/>
    <s v="Basic Copiers 254"/>
    <x v="3"/>
    <n v="2"/>
    <n v="669.63"/>
    <n v="0.15"/>
    <n v="0.15"/>
    <n v="1138.3699999999999"/>
    <n v="797.34"/>
    <x v="782"/>
    <x v="782"/>
    <n v="341.03"/>
    <n v="2273.5399999999991"/>
    <x v="0"/>
    <s v="Paid"/>
    <x v="0"/>
    <n v="552"/>
    <s v="OK"/>
    <s v="Valid"/>
    <s v="Unique"/>
    <s v="East"/>
    <s v="Standard Class"/>
    <s v="Valid"/>
    <x v="11"/>
    <n v="2025"/>
    <s v="Clean"/>
    <s v="OK"/>
    <s v="Valid"/>
    <s v="Missmatched"/>
    <s v="Missmatched"/>
  </r>
  <r>
    <s v="ORD-2024-10784"/>
    <d v="2024-07-06T00:00:00"/>
    <d v="2026-09-18T00:00:0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1906.7"/>
    <x v="783"/>
    <x v="783"/>
    <n v="546.13"/>
    <n v="10922.669999999993"/>
    <x v="0"/>
    <s v="Paid"/>
    <x v="0"/>
    <n v="804"/>
    <s v="OK"/>
    <s v="Valid"/>
    <s v="Unique"/>
    <s v="East"/>
    <s v="Second Class"/>
    <s v="Valid"/>
    <x v="0"/>
    <n v="2024"/>
    <s v="Clean"/>
    <s v="OK"/>
    <s v="Valid"/>
    <s v="Missmatched"/>
    <s v="Missmatched"/>
  </r>
  <r>
    <s v="ORD-2025-10785"/>
    <d v="2025-04-10T00:00:00"/>
    <d v="2026-09-19T00:00:00"/>
    <s v="CUST-3119"/>
    <s v="Priya Menon"/>
    <x v="2"/>
    <x v="0"/>
    <s v="Punjab"/>
    <s v="Ludhiana"/>
    <x v="2"/>
    <x v="6"/>
    <s v="Max Copiers 551"/>
    <x v="2"/>
    <n v="4"/>
    <n v="418.18"/>
    <n v="0.05"/>
    <n v="0.05"/>
    <n v="1589.08"/>
    <n v="1084.6600000000001"/>
    <x v="784"/>
    <x v="784"/>
    <n v="504.42"/>
    <n v="10088.48"/>
    <x v="0"/>
    <s v="Paid"/>
    <x v="0"/>
    <n v="527"/>
    <s v="OK"/>
    <s v="Valid"/>
    <s v="Unique"/>
    <s v="North"/>
    <s v="First Class"/>
    <s v="Valid"/>
    <x v="9"/>
    <n v="2025"/>
    <s v="Clean"/>
    <s v="OK"/>
    <s v="Valid"/>
    <s v="Missmatched"/>
    <s v="Missmatched"/>
  </r>
  <r>
    <s v="ORD-2024-10786"/>
    <d v="2024-05-23T00:00:00"/>
    <d v="2026-09-20T00:00:00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3504.16"/>
    <x v="785"/>
    <x v="785"/>
    <n v="1275.55"/>
    <n v="4061"/>
    <x v="3"/>
    <s v="Failed"/>
    <x v="1"/>
    <n v="850"/>
    <s v="OK"/>
    <s v="Valid"/>
    <s v="Unique"/>
    <s v="North"/>
    <s v="Same Day"/>
    <s v="Valid"/>
    <x v="3"/>
    <n v="2024"/>
    <s v="Clean"/>
    <s v="OK"/>
    <s v="Valid"/>
    <s v="Ok"/>
    <s v="Missmatched"/>
  </r>
  <r>
    <s v="ORD-2025-10787"/>
    <d v="2025-06-07T00:00:00"/>
    <d v="2026-09-21T00:00:00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065.0500000000002"/>
    <x v="786"/>
    <x v="786"/>
    <n v="653.66"/>
    <n v="13073.199999999997"/>
    <x v="1"/>
    <s v="Refunded"/>
    <x v="2"/>
    <n v="471"/>
    <s v="OK"/>
    <s v="Valid"/>
    <s v="Unique"/>
    <s v="North"/>
    <s v="Unknown"/>
    <s v="Valid"/>
    <x v="10"/>
    <n v="2025"/>
    <s v="Clean"/>
    <s v="OK"/>
    <s v="Valid"/>
    <s v="Ok"/>
    <s v="Ok"/>
  </r>
  <r>
    <s v="ORD-2024-10788"/>
    <d v="2024-12-09T00:00:00"/>
    <d v="2026-09-22T00:00:00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"/>
    <n v="4915.2700000000004"/>
    <x v="787"/>
    <x v="787"/>
    <n v="2150.39"/>
    <n v="43007.859999999979"/>
    <x v="0"/>
    <s v="Paid"/>
    <x v="0"/>
    <n v="652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4-10789"/>
    <d v="2024-01-08T00:00:00"/>
    <d v="2026-09-23T00:00:00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9999999998"/>
    <n v="11546.05"/>
    <x v="788"/>
    <x v="788"/>
    <n v="6364.96"/>
    <n v="63649.579999999987"/>
    <x v="3"/>
    <s v="Failed"/>
    <x v="2"/>
    <n v="989"/>
    <s v="OK"/>
    <s v="Valid"/>
    <s v="Unique"/>
    <s v="North"/>
    <s v="Standard Class"/>
    <s v="Valid"/>
    <x v="8"/>
    <n v="2024"/>
    <s v="Clean"/>
    <s v="OK"/>
    <s v="Valid"/>
    <s v="Missmatched"/>
    <s v="Missmatched"/>
  </r>
  <r>
    <s v="ORD-2025-10790"/>
    <d v="2025-07-03T00:00:00"/>
    <d v="2026-09-24T00:00:00"/>
    <s v="CUST-1453"/>
    <s v="Priya Menon"/>
    <x v="3"/>
    <x v="4"/>
    <s v="Rajasthan"/>
    <s v="Udaipur"/>
    <x v="2"/>
    <x v="6"/>
    <s v="Smart Copiers 408"/>
    <x v="1"/>
    <n v="4"/>
    <n v="3537.48"/>
    <n v="0"/>
    <n v="0"/>
    <n v="14149.92"/>
    <n v="9466.51"/>
    <x v="789"/>
    <x v="789"/>
    <n v="4683.41"/>
    <n v="0"/>
    <x v="0"/>
    <s v="Paid"/>
    <x v="0"/>
    <n v="448"/>
    <s v="OK"/>
    <s v="Valid"/>
    <s v="Unique"/>
    <s v="Unknown"/>
    <s v="Same Day"/>
    <s v="Valid"/>
    <x v="0"/>
    <n v="2025"/>
    <s v="Clean"/>
    <s v="OK"/>
    <s v="Valid"/>
    <s v="Ok"/>
    <s v="Ok"/>
  </r>
  <r>
    <s v="ORD-2024-10791"/>
    <d v="2024-05-31T00:00:00"/>
    <d v="2026-09-25T00:00:00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3328.92"/>
    <x v="790"/>
    <x v="790"/>
    <n v="943.66"/>
    <n v="4718.28"/>
    <x v="0"/>
    <s v="Paid"/>
    <x v="0"/>
    <n v="847"/>
    <s v="OK"/>
    <s v="Valid"/>
    <s v="Unique"/>
    <s v="South"/>
    <s v="Standard Class"/>
    <s v="Valid"/>
    <x v="3"/>
    <n v="2024"/>
    <s v="Clean"/>
    <s v="OK"/>
    <s v="Valid"/>
    <s v="Missmatched"/>
    <s v="Missmatched"/>
  </r>
  <r>
    <s v="ORD-2024-10792"/>
    <d v="2024-02-10T00:00:00"/>
    <d v="2026-09-26T00:00:00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200000000008"/>
    <n v="5269.41"/>
    <x v="791"/>
    <x v="791"/>
    <n v="4083.21"/>
    <n v="16332.839999999997"/>
    <x v="0"/>
    <s v="Paid"/>
    <x v="0"/>
    <n v="959"/>
    <s v="OK"/>
    <s v="Valid"/>
    <s v="Unique"/>
    <s v="South"/>
    <s v="Same Day"/>
    <s v="Valid"/>
    <x v="5"/>
    <n v="2024"/>
    <s v="Clean"/>
    <s v="OK"/>
    <s v="Valid"/>
    <s v="Ok"/>
    <s v="Ok"/>
  </r>
  <r>
    <s v="ORD-2025-10793"/>
    <d v="2025-04-06T00:00:00"/>
    <d v="2026-09-27T00:00:00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9"/>
    <n v="1735.98"/>
    <x v="792"/>
    <x v="792"/>
    <n v="1064.92"/>
    <n v="5324.5800000000008"/>
    <x v="0"/>
    <s v="Paid"/>
    <x v="2"/>
    <n v="539"/>
    <s v="OK"/>
    <s v="Valid"/>
    <s v="Unique"/>
    <s v="East"/>
    <s v="Second Class"/>
    <s v="Valid"/>
    <x v="9"/>
    <n v="2025"/>
    <s v="Clean"/>
    <s v="OK"/>
    <s v="Valid"/>
    <s v="Missmatched"/>
    <s v="Missmatched"/>
  </r>
  <r>
    <s v="ORD-2024-10794"/>
    <d v="2024-05-28T00:00:00"/>
    <d v="2026-09-28T00:00:00"/>
    <s v="CUST-5421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15408.47"/>
    <x v="793"/>
    <x v="793"/>
    <n v="6103.13"/>
    <n v="0"/>
    <x v="0"/>
    <s v="Paid"/>
    <x v="0"/>
    <n v="853"/>
    <s v="OK"/>
    <s v="Valid"/>
    <s v="Unique"/>
    <s v="North"/>
    <s v="Second Class"/>
    <s v="Valid"/>
    <x v="3"/>
    <n v="2024"/>
    <s v="Clean"/>
    <s v="OK"/>
    <s v="Valid"/>
    <s v="Ok"/>
    <s v="Ok"/>
  </r>
  <r>
    <s v="ORD-2025-10795"/>
    <d v="2025-06-22T00:00:00"/>
    <d v="2026-09-29T00:00:00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6"/>
    <n v="4870.3900000000003"/>
    <x v="794"/>
    <x v="794"/>
    <n v="2408.9699999999998"/>
    <n v="16059.783333333326"/>
    <x v="0"/>
    <s v="Paid"/>
    <x v="0"/>
    <n v="464"/>
    <s v="OK"/>
    <s v="Valid"/>
    <s v="Unique"/>
    <s v="East"/>
    <s v="Standard Class"/>
    <s v="Valid"/>
    <x v="10"/>
    <n v="2025"/>
    <s v="Clean"/>
    <s v="OK"/>
    <s v="Valid"/>
    <s v="Missmatched"/>
    <s v="Missmatched"/>
  </r>
  <r>
    <s v="ORD-2024-10796"/>
    <d v="2024-07-30T00:00:00"/>
    <d v="2026-09-30T00:00:00"/>
    <s v="CUST-6529"/>
    <s v="Diya Patel"/>
    <x v="3"/>
    <x v="1"/>
    <s v="Odisha"/>
    <s v="Bhubaneswar"/>
    <x v="2"/>
    <x v="6"/>
    <s v="Pro Copiers 653"/>
    <x v="1"/>
    <n v="9"/>
    <n v="2894.66"/>
    <n v="0"/>
    <n v="0"/>
    <n v="26051.94"/>
    <n v="16883.59"/>
    <x v="795"/>
    <x v="795"/>
    <n v="9168.35"/>
    <n v="0"/>
    <x v="1"/>
    <s v="Refunded"/>
    <x v="1"/>
    <n v="792"/>
    <s v="OK"/>
    <s v="Valid"/>
    <s v="Unique"/>
    <s v="East"/>
    <s v="Same Day"/>
    <s v="Valid"/>
    <x v="0"/>
    <n v="2024"/>
    <s v="Clean"/>
    <s v="OK"/>
    <s v="Valid"/>
    <s v="Ok"/>
    <s v="Ok"/>
  </r>
  <r>
    <s v="ORD-2024-10797"/>
    <d v="2024-03-23T00:00:00"/>
    <d v="2026-10-01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6303.77"/>
    <x v="796"/>
    <x v="796"/>
    <n v="3357.87"/>
    <n v="22385.826666666653"/>
    <x v="0"/>
    <s v="Paid"/>
    <x v="0"/>
    <n v="922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4-10798"/>
    <d v="2024-04-18T00:00:00"/>
    <d v="2026-10-02T00:00:00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0550.47"/>
    <x v="797"/>
    <x v="797"/>
    <n v="3164.49"/>
    <n v="0"/>
    <x v="3"/>
    <s v="Failed"/>
    <x v="1"/>
    <n v="897"/>
    <s v="OK"/>
    <s v="Valid"/>
    <s v="Unique"/>
    <s v="East"/>
    <s v="First Class"/>
    <s v="Valid"/>
    <x v="9"/>
    <n v="2024"/>
    <s v="Clean"/>
    <s v="OK"/>
    <s v="Valid"/>
    <s v="Ok"/>
    <s v="Ok"/>
  </r>
  <r>
    <s v="ORD-2025-10799"/>
    <d v="2025-11-07T00:00:00"/>
    <d v="2026-10-03T00:00:00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5"/>
    <n v="9656.5"/>
    <x v="798"/>
    <x v="798"/>
    <n v="5697.95"/>
    <n v="0"/>
    <x v="0"/>
    <s v="Paid"/>
    <x v="0"/>
    <n v="330"/>
    <s v="OK"/>
    <s v="Valid"/>
    <s v="Unique"/>
    <s v="North"/>
    <s v="Standard Class"/>
    <s v="Valid"/>
    <x v="2"/>
    <n v="2025"/>
    <s v="Clean"/>
    <s v="OK"/>
    <s v="Valid"/>
    <s v="Ok"/>
    <s v="Ok"/>
  </r>
  <r>
    <s v="ORD-2024-10800"/>
    <d v="2024-10-10T00:00:00"/>
    <d v="2026-10-04T00:00:00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2"/>
    <n v="3887.41"/>
    <x v="799"/>
    <x v="799"/>
    <n v="707.79"/>
    <n v="14155.750000000007"/>
    <x v="0"/>
    <s v="Paid"/>
    <x v="2"/>
    <n v="724"/>
    <s v="OK"/>
    <s v="Valid"/>
    <s v="Unique"/>
    <s v="North"/>
    <s v="Unknown"/>
    <s v="Valid"/>
    <x v="4"/>
    <n v="2024"/>
    <s v="Clean"/>
    <s v="OK"/>
    <s v="Valid"/>
    <s v="Missmatched"/>
    <s v="Missmatched"/>
  </r>
  <r>
    <s v="ORD-2024-10801"/>
    <d v="2024-01-03T00:00:00"/>
    <d v="2026-10-05T00:00:00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"/>
    <n v="16736.09"/>
    <x v="800"/>
    <x v="800"/>
    <n v="4498.88"/>
    <n v="29992.546666666654"/>
    <x v="0"/>
    <s v="Paid"/>
    <x v="0"/>
    <n v="1006"/>
    <s v="OK"/>
    <s v="Valid"/>
    <s v="Unique"/>
    <s v="West"/>
    <s v="Second Class"/>
    <s v="Valid"/>
    <x v="8"/>
    <n v="2024"/>
    <s v="Clean"/>
    <s v="OK"/>
    <s v="Valid"/>
    <s v="Missmatched"/>
    <s v="Missmatched"/>
  </r>
  <r>
    <s v="ORD-2025-10802"/>
    <d v="2025-08-10T00:00:00"/>
    <d v="2026-10-06T00:00:00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"/>
    <n v="6052.43"/>
    <x v="801"/>
    <x v="801"/>
    <n v="2040.87"/>
    <n v="10204.370000000003"/>
    <x v="2"/>
    <s v="Pending"/>
    <x v="1"/>
    <n v="422"/>
    <s v="OK"/>
    <s v="Valid"/>
    <s v="Unique"/>
    <s v="East"/>
    <s v="Second Class"/>
    <s v="Valid"/>
    <x v="1"/>
    <n v="2025"/>
    <s v="Clean"/>
    <s v="OK"/>
    <s v="Valid"/>
    <s v="Missmatched"/>
    <s v="Missmatched"/>
  </r>
  <r>
    <s v="ORD-2025-10803"/>
    <d v="2025-02-16T00:00:00"/>
    <d v="2026-10-07T00:00:0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5254.62"/>
    <x v="802"/>
    <x v="802"/>
    <n v="3396.84"/>
    <n v="0"/>
    <x v="3"/>
    <s v="Failed"/>
    <x v="2"/>
    <n v="598"/>
    <s v="OK"/>
    <s v="Valid"/>
    <s v="Unique"/>
    <s v="East"/>
    <s v="Second Class"/>
    <s v="Valid"/>
    <x v="5"/>
    <n v="2025"/>
    <s v="Clean"/>
    <s v="OK"/>
    <s v="Valid"/>
    <s v="Ok"/>
    <s v="Ok"/>
  </r>
  <r>
    <s v="ORD-2024-10804"/>
    <d v="2024-09-12T00:00:00"/>
    <d v="2026-10-08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0"/>
    <n v="4306.6499999999996"/>
    <n v="2568.8200000000002"/>
    <x v="803"/>
    <x v="803"/>
    <n v="1737.83"/>
    <n v="0"/>
    <x v="0"/>
    <s v="Paid"/>
    <x v="0"/>
    <n v="756"/>
    <s v="OK"/>
    <s v="Valid"/>
    <s v="Unique"/>
    <s v="Unknown"/>
    <s v="First Class"/>
    <s v="Valid"/>
    <x v="6"/>
    <n v="2024"/>
    <s v="Clean"/>
    <s v="OK"/>
    <s v="Valid"/>
    <s v="Ok"/>
    <s v="Ok"/>
  </r>
  <r>
    <s v="ORD-2025-10805"/>
    <d v="2025-09-10T00:00:00"/>
    <d v="2026-10-09T00:00:00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507.08"/>
    <x v="804"/>
    <x v="804"/>
    <n v="441.01"/>
    <n v="8820.1799999999948"/>
    <x v="0"/>
    <s v="Paid"/>
    <x v="0"/>
    <n v="394"/>
    <s v="OK"/>
    <s v="Valid"/>
    <s v="Unique"/>
    <s v="South"/>
    <s v="Standard Class"/>
    <s v="Valid"/>
    <x v="6"/>
    <n v="2025"/>
    <s v="Clean"/>
    <s v="OK"/>
    <s v="Valid"/>
    <s v="Missmatched"/>
    <s v="Missmatched"/>
  </r>
  <r>
    <s v="ORD-2025-10806"/>
    <d v="2025-06-04T00:00:00"/>
    <d v="2026-10-10T00:00:00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2601.09"/>
    <x v="805"/>
    <x v="805"/>
    <n v="444"/>
    <n v="1776"/>
    <x v="0"/>
    <s v="Paid"/>
    <x v="0"/>
    <n v="493"/>
    <s v="OK"/>
    <s v="Valid"/>
    <s v="Unique"/>
    <s v="East"/>
    <s v="Second Class"/>
    <s v="Valid"/>
    <x v="10"/>
    <n v="2025"/>
    <s v="Clean"/>
    <s v="OK"/>
    <s v="Valid"/>
    <s v="Ok"/>
    <s v="Ok"/>
  </r>
  <r>
    <s v="ORD-2024-10807"/>
    <d v="2024-11-09T00:00:00"/>
    <d v="2026-10-11T00:00:00"/>
    <s v="CUST-3704"/>
    <s v="Isha Nair"/>
    <x v="3"/>
    <x v="0"/>
    <s v="Rajasthan"/>
    <s v="Jaipur"/>
    <x v="2"/>
    <x v="6"/>
    <s v="Max Copiers 560"/>
    <x v="3"/>
    <n v="1"/>
    <n v="3665.97"/>
    <n v="0.2"/>
    <n v="0.2"/>
    <n v="2932.78"/>
    <n v="1900.35"/>
    <x v="806"/>
    <x v="806"/>
    <n v="1032.43"/>
    <n v="5162.1299999999992"/>
    <x v="3"/>
    <s v="Failed"/>
    <x v="1"/>
    <n v="701"/>
    <s v="OK"/>
    <s v="Valid"/>
    <s v="Unique"/>
    <s v="North"/>
    <s v="Standard Class"/>
    <s v="Valid"/>
    <x v="2"/>
    <n v="2024"/>
    <s v="Clean"/>
    <s v="OK"/>
    <s v="Valid"/>
    <s v="Missmatched"/>
    <s v="Missmatched"/>
  </r>
  <r>
    <s v="ORD-2025-10808"/>
    <d v="2025-07-02T00:00:00"/>
    <d v="2026-10-12T00:00:00"/>
    <s v="CUST-5884"/>
    <s v="Karan Malhotra"/>
    <x v="1"/>
    <x v="2"/>
    <s v="Telangana"/>
    <s v="Hyderabad"/>
    <x v="0"/>
    <x v="7"/>
    <s v="Smart Labels 436"/>
    <x v="3"/>
    <n v="2"/>
    <n v="2432.98"/>
    <n v="0.1"/>
    <n v="0.1"/>
    <n v="4379.3599999999997"/>
    <n v="3723.93"/>
    <x v="807"/>
    <x v="807"/>
    <n v="655.43"/>
    <n v="6554.3400000000065"/>
    <x v="0"/>
    <s v="Paid"/>
    <x v="0"/>
    <n v="467"/>
    <s v="OK"/>
    <s v="Valid"/>
    <s v="Unique"/>
    <s v="South"/>
    <s v="Standard Class"/>
    <s v="Valid"/>
    <x v="0"/>
    <n v="2025"/>
    <s v="Clean"/>
    <s v="OK"/>
    <s v="Valid"/>
    <s v="Missmatched"/>
    <s v="Missmatched"/>
  </r>
  <r>
    <s v="ORD-2025-10809"/>
    <d v="2025-08-31T00:00:00"/>
    <d v="2026-10-13T00:00:00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4477.33"/>
    <x v="808"/>
    <x v="808"/>
    <n v="995.44"/>
    <n v="4977.1900000000005"/>
    <x v="0"/>
    <s v="Paid"/>
    <x v="0"/>
    <n v="408"/>
    <s v="OK"/>
    <s v="Valid"/>
    <s v="Unique"/>
    <s v="South"/>
    <s v="First Class"/>
    <s v="Valid"/>
    <x v="1"/>
    <n v="2025"/>
    <s v="Clean"/>
    <s v="OK"/>
    <s v="Valid"/>
    <s v="Missmatched"/>
    <s v="Missmatched"/>
  </r>
  <r>
    <s v="ORD-2025-10810"/>
    <d v="2025-06-25T00:00:00"/>
    <d v="2026-10-14T00:00:0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"/>
    <n v="5085.21"/>
    <x v="809"/>
    <x v="809"/>
    <n v="2291.89"/>
    <n v="22918.920000000006"/>
    <x v="0"/>
    <s v="Paid"/>
    <x v="0"/>
    <n v="476"/>
    <s v="OK"/>
    <s v="Valid"/>
    <s v="Unique"/>
    <s v="Unknown"/>
    <s v="Second Class"/>
    <s v="Valid"/>
    <x v="10"/>
    <n v="2025"/>
    <s v="Clean"/>
    <s v="OK"/>
    <s v="Valid"/>
    <s v="Missmatched"/>
    <s v="Missmatched"/>
  </r>
  <r>
    <s v="ORD-2024-10811"/>
    <d v="2024-03-04T00:00:00"/>
    <d v="2026-10-15T00:00:00"/>
    <s v="CUST-4653"/>
    <s v="Kabir Singh"/>
    <x v="3"/>
    <x v="3"/>
    <s v="Gujarat"/>
    <s v="Ahmedabad"/>
    <x v="2"/>
    <x v="6"/>
    <s v="Pro Copiers 867"/>
    <x v="2"/>
    <n v="1"/>
    <n v="3151.85"/>
    <n v="0.25"/>
    <n v="0.25"/>
    <n v="2363.89"/>
    <n v="1471.51"/>
    <x v="810"/>
    <x v="810"/>
    <n v="892.38"/>
    <n v="3569.5099999999993"/>
    <x v="0"/>
    <s v="Paid"/>
    <x v="0"/>
    <n v="955"/>
    <s v="OK"/>
    <s v="Valid"/>
    <s v="Unique"/>
    <s v="West"/>
    <s v="First Class"/>
    <s v="Valid"/>
    <x v="11"/>
    <n v="2024"/>
    <s v="Clean"/>
    <s v="OK"/>
    <s v="Valid"/>
    <s v="Missmatched"/>
    <s v="Missmatched"/>
  </r>
  <r>
    <s v="ORD-2024-10812"/>
    <d v="2024-12-12T00:00:00"/>
    <d v="2026-10-16T00:00:00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1999999999998"/>
    <n v="1475.87"/>
    <x v="811"/>
    <x v="811"/>
    <n v="1101.33"/>
    <n v="5506.6500000000015"/>
    <x v="0"/>
    <s v="Paid"/>
    <x v="0"/>
    <n v="673"/>
    <s v="OK"/>
    <s v="Valid"/>
    <s v="Unique"/>
    <s v="North"/>
    <s v="First Class"/>
    <s v="Valid"/>
    <x v="7"/>
    <n v="2024"/>
    <s v="Clean"/>
    <s v="OK"/>
    <s v="Valid"/>
    <s v="Ok"/>
    <s v="Ok"/>
  </r>
  <r>
    <s v="ORD-2024-10813"/>
    <d v="2024-06-15T00:00:00"/>
    <d v="2026-10-17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4122.13"/>
    <x v="812"/>
    <x v="812"/>
    <n v="3705.63"/>
    <n v="0"/>
    <x v="0"/>
    <s v="Paid"/>
    <x v="0"/>
    <n v="854"/>
    <s v="OK"/>
    <s v="Valid"/>
    <s v="Unique"/>
    <s v="East"/>
    <s v="First Class"/>
    <s v="Valid"/>
    <x v="10"/>
    <n v="2024"/>
    <s v="Clean"/>
    <s v="OK"/>
    <s v="Valid"/>
    <s v="Ok"/>
    <s v="Ok"/>
  </r>
  <r>
    <s v="ORD-2025-10814"/>
    <d v="2025-06-04T00:00:00"/>
    <d v="2026-10-18T00:00:00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1595.87"/>
    <x v="813"/>
    <x v="813"/>
    <n v="1079.47"/>
    <n v="0"/>
    <x v="0"/>
    <s v="Paid"/>
    <x v="0"/>
    <n v="501"/>
    <s v="OK"/>
    <s v="Valid"/>
    <s v="Unique"/>
    <s v="East"/>
    <s v="Standard Class"/>
    <s v="Valid"/>
    <x v="10"/>
    <n v="2025"/>
    <s v="Clean"/>
    <s v="OK"/>
    <s v="Valid"/>
    <s v="Ok"/>
    <s v="Ok"/>
  </r>
  <r>
    <s v="ORD-2025-10815"/>
    <d v="2025-06-08T00:00:00"/>
    <d v="2026-10-19T00:00:00"/>
    <s v="CUST-9048"/>
    <s v="Arjun Bose"/>
    <x v="0"/>
    <x v="3"/>
    <s v="Madhya Pradesh"/>
    <s v="Indore"/>
    <x v="0"/>
    <x v="7"/>
    <s v="Smart Labels 126"/>
    <x v="2"/>
    <n v="2"/>
    <n v="2375.94"/>
    <n v="0.25"/>
    <n v="0.25"/>
    <n v="3563.91"/>
    <n v="2639.7"/>
    <x v="814"/>
    <x v="814"/>
    <n v="924.21"/>
    <n v="3696.84"/>
    <x v="0"/>
    <s v="Paid"/>
    <x v="0"/>
    <n v="498"/>
    <s v="OK"/>
    <s v="Valid"/>
    <s v="Unique"/>
    <s v="West"/>
    <s v="First Class"/>
    <s v="Valid"/>
    <x v="10"/>
    <n v="2025"/>
    <s v="Clean"/>
    <s v="OK"/>
    <s v="Valid"/>
    <s v="Ok"/>
    <s v="Ok"/>
  </r>
  <r>
    <s v="ORD-2024-10816"/>
    <d v="2024-01-04T00:00:00"/>
    <d v="2026-10-20T00:00:00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3130.32"/>
    <x v="815"/>
    <x v="815"/>
    <n v="1128.75"/>
    <n v="7524.9966666666633"/>
    <x v="2"/>
    <s v="Pending"/>
    <x v="1"/>
    <n v="1020"/>
    <s v="OK"/>
    <s v="Valid"/>
    <s v="Unique"/>
    <s v="East"/>
    <s v="Standard Class"/>
    <s v="Valid"/>
    <x v="8"/>
    <n v="2024"/>
    <s v="Clean"/>
    <s v="OK"/>
    <s v="Valid"/>
    <s v="Missmatched"/>
    <s v="Missmatched"/>
  </r>
  <r>
    <s v="ORD-2024-10817"/>
    <d v="2024-11-27T00:00:00"/>
    <d v="2026-10-21T00:00:00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498.5"/>
    <x v="816"/>
    <x v="816"/>
    <n v="288.37"/>
    <n v="2883.7"/>
    <x v="0"/>
    <s v="Paid"/>
    <x v="0"/>
    <n v="693"/>
    <s v="OK"/>
    <s v="Valid"/>
    <s v="Unique"/>
    <s v="East"/>
    <s v="First Class"/>
    <s v="Valid"/>
    <x v="2"/>
    <n v="2024"/>
    <s v="Clean"/>
    <s v="OK"/>
    <s v="Valid"/>
    <s v="Ok"/>
    <s v="Ok"/>
  </r>
  <r>
    <s v="ORD-2025-10818"/>
    <d v="2025-05-04T00:00:00"/>
    <d v="2026-10-22T00:00:00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"/>
    <n v="4713.79"/>
    <x v="817"/>
    <x v="817"/>
    <n v="3519.81"/>
    <n v="14079.259999999998"/>
    <x v="0"/>
    <s v="Paid"/>
    <x v="0"/>
    <n v="536"/>
    <s v="OK"/>
    <s v="Valid"/>
    <s v="Unique"/>
    <s v="East"/>
    <s v="Standard Class"/>
    <s v="Valid"/>
    <x v="3"/>
    <n v="2025"/>
    <s v="Clean"/>
    <s v="OK"/>
    <s v="Valid"/>
    <s v="Missmatched"/>
    <s v="Missmatched"/>
  </r>
  <r>
    <s v="ORD-2024-10819"/>
    <d v="2024-09-29T00:00:00"/>
    <d v="2026-10-23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-0.14000000000000001"/>
    <n v="12678.66"/>
    <n v="10088.65"/>
    <x v="818"/>
    <x v="818"/>
    <n v="2590.0100000000002"/>
    <n v="-56988.82"/>
    <x v="0"/>
    <s v="Paid"/>
    <x v="0"/>
    <n v="754"/>
    <s v="OK"/>
    <s v="Valid"/>
    <s v="Unique"/>
    <s v="West"/>
    <s v="First Class"/>
    <s v="Invalid"/>
    <x v="6"/>
    <n v="2024"/>
    <s v="Clean"/>
    <s v="OK"/>
    <s v="Valid"/>
    <s v="Missmatched"/>
    <s v="Missmatched"/>
  </r>
  <r>
    <s v="ORD-2024-10820"/>
    <d v="2024-07-31T00:00:00"/>
    <d v="2026-10-24T00:00:0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26902.44"/>
    <x v="819"/>
    <x v="819"/>
    <n v="7065.64"/>
    <n v="0"/>
    <x v="3"/>
    <s v="Failed"/>
    <x v="1"/>
    <n v="815"/>
    <s v="OK"/>
    <s v="Valid"/>
    <s v="Unique"/>
    <s v="South"/>
    <s v="Standard Class"/>
    <s v="Valid"/>
    <x v="0"/>
    <n v="2024"/>
    <s v="Clean"/>
    <s v="OK"/>
    <s v="Valid"/>
    <s v="Ok"/>
    <s v="Ok"/>
  </r>
  <r>
    <s v="ORD-2025-10821"/>
    <d v="2025-02-06T00:00:00"/>
    <d v="2026-10-25T00:00:00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"/>
    <n v="436.43"/>
    <x v="820"/>
    <x v="820"/>
    <n v="74.88"/>
    <n v="374.41"/>
    <x v="0"/>
    <s v="Paid"/>
    <x v="0"/>
    <n v="626"/>
    <s v="OK"/>
    <s v="Valid"/>
    <s v="Unique"/>
    <s v="North"/>
    <s v="Standard Class"/>
    <s v="Valid"/>
    <x v="5"/>
    <n v="2025"/>
    <s v="Clean"/>
    <s v="OK"/>
    <s v="Valid"/>
    <s v="Missmatched"/>
    <s v="Missmatched"/>
  </r>
  <r>
    <s v="ORD-2024-10822"/>
    <d v="2024-03-07T00:00:00"/>
    <d v="2026-10-2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"/>
    <n v="9110.14"/>
    <x v="821"/>
    <x v="821"/>
    <n v="1767.8"/>
    <n v="8839.0200000000095"/>
    <x v="0"/>
    <s v="Paid"/>
    <x v="0"/>
    <n v="963"/>
    <s v="OK"/>
    <s v="Valid"/>
    <s v="Unique"/>
    <s v="South"/>
    <s v="First Class"/>
    <s v="Valid"/>
    <x v="11"/>
    <n v="2024"/>
    <s v="Clean"/>
    <s v="OK"/>
    <s v="Valid"/>
    <s v="Missmatched"/>
    <s v="Missmatched"/>
  </r>
  <r>
    <s v="ORD-2024-10823"/>
    <d v="2024-12-10T00:00:00"/>
    <d v="2026-10-27T00:00:00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8634.42"/>
    <x v="822"/>
    <x v="822"/>
    <n v="1612.11"/>
    <n v="8060.5400000000009"/>
    <x v="2"/>
    <s v="Pending"/>
    <x v="2"/>
    <n v="686"/>
    <s v="OK"/>
    <s v="Valid"/>
    <s v="Unique"/>
    <s v="East"/>
    <s v="Second Class"/>
    <s v="Valid"/>
    <x v="7"/>
    <n v="2024"/>
    <s v="Clean"/>
    <s v="OK"/>
    <s v="Valid"/>
    <s v="Missmatched"/>
    <s v="Missmatched"/>
  </r>
  <r>
    <s v="ORD-2025-10824"/>
    <d v="2025-06-01T00:00:00"/>
    <d v="2026-10-28T00:00:00"/>
    <s v="CUST-6638"/>
    <s v="Mira Das"/>
    <x v="3"/>
    <x v="3"/>
    <s v="Goa"/>
    <s v="Panaji"/>
    <x v="0"/>
    <x v="0"/>
    <s v="Basic Paper 899"/>
    <x v="1"/>
    <n v="3"/>
    <n v="668.33"/>
    <n v="0.15"/>
    <n v="0.15"/>
    <n v="1704.24"/>
    <n v="957.55"/>
    <x v="823"/>
    <x v="823"/>
    <n v="746.69"/>
    <n v="4977.9433333333345"/>
    <x v="0"/>
    <s v="Paid"/>
    <x v="0"/>
    <n v="514"/>
    <s v="OK"/>
    <s v="Valid"/>
    <s v="Unique"/>
    <s v="West"/>
    <s v="Same Day"/>
    <s v="Valid"/>
    <x v="10"/>
    <n v="2025"/>
    <s v="Clean"/>
    <s v="OK"/>
    <s v="Valid"/>
    <s v="Missmatched"/>
    <s v="Missmatched"/>
  </r>
  <r>
    <s v="ORD-2025-10825"/>
    <d v="2025-03-21T00:00:00"/>
    <d v="2026-10-29T00:00:00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"/>
    <n v="28924.43"/>
    <x v="824"/>
    <x v="824"/>
    <n v="4794.79"/>
    <n v="95895.879999999888"/>
    <x v="0"/>
    <s v="Paid"/>
    <x v="0"/>
    <n v="587"/>
    <s v="OK"/>
    <s v="Valid"/>
    <s v="Unique"/>
    <s v="West"/>
    <s v="First Class"/>
    <s v="Valid"/>
    <x v="11"/>
    <n v="2025"/>
    <s v="Clean"/>
    <s v="OK"/>
    <s v="Valid"/>
    <s v="Missmatched"/>
    <s v="Missmatched"/>
  </r>
  <r>
    <s v="ORD-2025-10826"/>
    <d v="2025-04-16T00:00:00"/>
    <d v="2026-10-30T00:00:00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1834.23"/>
    <x v="825"/>
    <x v="825"/>
    <n v="885.94"/>
    <n v="0"/>
    <x v="0"/>
    <s v="Paid"/>
    <x v="0"/>
    <n v="562"/>
    <s v="OK"/>
    <s v="Valid"/>
    <s v="Unique"/>
    <s v="North"/>
    <s v="First Class"/>
    <s v="Valid"/>
    <x v="9"/>
    <n v="2025"/>
    <s v="Clean"/>
    <s v="OK"/>
    <s v="Valid"/>
    <s v="Ok"/>
    <s v="Ok"/>
  </r>
  <r>
    <s v="ORD-2025-10827"/>
    <d v="2025-10-08T00:00:00"/>
    <d v="2026-10-31T00:00:00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"/>
    <n v="5569.3"/>
    <x v="826"/>
    <x v="826"/>
    <n v="2643.72"/>
    <n v="10574.899999999998"/>
    <x v="0"/>
    <s v="Paid"/>
    <x v="0"/>
    <n v="388"/>
    <s v="OK"/>
    <s v="Valid"/>
    <s v="Unique"/>
    <s v="West"/>
    <s v="Standard Class"/>
    <s v="Valid"/>
    <x v="4"/>
    <n v="2025"/>
    <s v="Clean"/>
    <s v="OK"/>
    <s v="Valid"/>
    <s v="Missmatched"/>
    <s v="Missmatched"/>
  </r>
  <r>
    <s v="ORD-2024-10828"/>
    <d v="2024-11-24T00:00:00"/>
    <d v="2026-11-01T00:00:00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520.47"/>
    <x v="827"/>
    <x v="827"/>
    <n v="113.2"/>
    <n v="452.78999999999996"/>
    <x v="0"/>
    <s v="Paid"/>
    <x v="1"/>
    <n v="707"/>
    <s v="OK"/>
    <s v="Valid"/>
    <s v="Unique"/>
    <s v="South"/>
    <s v="Same Day"/>
    <s v="Valid"/>
    <x v="2"/>
    <n v="2024"/>
    <s v="Clean"/>
    <s v="OK"/>
    <s v="Valid"/>
    <s v="Missmatched"/>
    <s v="Missmatched"/>
  </r>
  <r>
    <s v="ORD-2025-10829"/>
    <d v="2025-10-10T00:00:00"/>
    <d v="2026-11-02T00:00:00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"/>
    <n v="14216.94"/>
    <x v="828"/>
    <x v="828"/>
    <n v="10999.59"/>
    <n v="219991.87999999998"/>
    <x v="3"/>
    <s v="Failed"/>
    <x v="1"/>
    <n v="388"/>
    <s v="OK"/>
    <s v="Valid"/>
    <s v="Unique"/>
    <s v="East"/>
    <s v="Second Class"/>
    <s v="Valid"/>
    <x v="4"/>
    <n v="2025"/>
    <s v="Clean"/>
    <s v="OK"/>
    <s v="Valid"/>
    <s v="Missmatched"/>
    <s v="Missmatched"/>
  </r>
  <r>
    <s v="ORD-2024-10830"/>
    <d v="2024-02-26T00:00:00"/>
    <d v="2026-11-03T00:00:00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4511.1000000000004"/>
    <x v="829"/>
    <x v="829"/>
    <n v="2010.28"/>
    <n v="20102.82"/>
    <x v="0"/>
    <s v="Paid"/>
    <x v="0"/>
    <n v="981"/>
    <s v="OK"/>
    <s v="Valid"/>
    <s v="Unique"/>
    <s v="West"/>
    <s v="Second Class"/>
    <s v="Valid"/>
    <x v="5"/>
    <n v="2024"/>
    <s v="Clean"/>
    <s v="OK"/>
    <s v="Valid"/>
    <s v="Missmatched"/>
    <s v="Missmatched"/>
  </r>
  <r>
    <s v="ORD-2025-10831"/>
    <d v="2025-07-15T00:00:00"/>
    <d v="2026-11-04T00:00:00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0068.94"/>
    <x v="830"/>
    <x v="830"/>
    <n v="2798.61"/>
    <n v="27986.12000000001"/>
    <x v="0"/>
    <s v="Paid"/>
    <x v="0"/>
    <n v="477"/>
    <s v="OK"/>
    <s v="Valid"/>
    <s v="Unique"/>
    <s v="Unknown"/>
    <s v="First Class"/>
    <s v="Valid"/>
    <x v="0"/>
    <n v="2025"/>
    <s v="Clean"/>
    <s v="OK"/>
    <s v="Valid"/>
    <s v="Missmatched"/>
    <s v="Missmatched"/>
  </r>
  <r>
    <s v="ORD-2025-10832"/>
    <d v="2025-03-04T00:00:00"/>
    <d v="2026-11-05T00:00:00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"/>
    <n v="15818.46"/>
    <x v="831"/>
    <x v="831"/>
    <n v="10671.19"/>
    <n v="71141.3"/>
    <x v="3"/>
    <s v="Failed"/>
    <x v="2"/>
    <n v="611"/>
    <s v="OK"/>
    <s v="Valid"/>
    <s v="Unique"/>
    <s v="Unknown"/>
    <s v="First Class"/>
    <s v="Valid"/>
    <x v="11"/>
    <n v="2025"/>
    <s v="Clean"/>
    <s v="OK"/>
    <s v="Valid"/>
    <s v="Missmatched"/>
    <s v="Missmatched"/>
  </r>
  <r>
    <s v="ORD-2025-10833"/>
    <d v="2025-05-26T00:00:00"/>
    <d v="2026-11-06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69999999997"/>
    <n v="25902.81"/>
    <x v="832"/>
    <x v="832"/>
    <n v="10879.46"/>
    <n v="217589.22000000012"/>
    <x v="0"/>
    <s v="Paid"/>
    <x v="0"/>
    <n v="529"/>
    <s v="OK"/>
    <s v="Valid"/>
    <s v="Unique"/>
    <s v="South"/>
    <s v="Second Class"/>
    <s v="Valid"/>
    <x v="3"/>
    <n v="2025"/>
    <s v="Clean"/>
    <s v="OK"/>
    <s v="Valid"/>
    <s v="Missmatched"/>
    <s v="Missmatched"/>
  </r>
  <r>
    <s v="ORD-2024-10834"/>
    <d v="2024-04-06T00:00:00"/>
    <d v="2026-11-07T00:00:00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18109.77"/>
    <x v="833"/>
    <x v="833"/>
    <n v="5586.63"/>
    <n v="0"/>
    <x v="0"/>
    <s v="Paid"/>
    <x v="0"/>
    <n v="945"/>
    <s v="OK"/>
    <s v="Valid"/>
    <s v="Unique"/>
    <s v="East"/>
    <s v="First Class"/>
    <s v="Valid"/>
    <x v="9"/>
    <n v="2024"/>
    <s v="Clean"/>
    <s v="OK"/>
    <s v="Valid"/>
    <s v="Ok"/>
    <s v="Ok"/>
  </r>
  <r>
    <s v="ORD-2024-10835"/>
    <d v="2024-10-18T00:00:00"/>
    <d v="2026-11-08T00:00:00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3078.93"/>
    <x v="834"/>
    <x v="834"/>
    <n v="1279.79"/>
    <n v="0"/>
    <x v="0"/>
    <s v="Paid"/>
    <x v="0"/>
    <n v="751"/>
    <s v="OK"/>
    <s v="Valid"/>
    <s v="Unique"/>
    <s v="South"/>
    <s v="First Class"/>
    <s v="Valid"/>
    <x v="4"/>
    <n v="2024"/>
    <s v="Clean"/>
    <s v="OK"/>
    <s v="Valid"/>
    <s v="Ok"/>
    <s v="Missmatched"/>
  </r>
  <r>
    <s v="ORD-2025-10836"/>
    <d v="2025-09-26T00:00:00"/>
    <d v="2026-11-09T00:00:00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"/>
    <n v="5673.1"/>
    <x v="835"/>
    <x v="835"/>
    <n v="4365.67"/>
    <n v="87313.469999999972"/>
    <x v="0"/>
    <s v="Paid"/>
    <x v="0"/>
    <n v="409"/>
    <s v="OK"/>
    <s v="Valid"/>
    <s v="Unique"/>
    <s v="East"/>
    <s v="Second Class"/>
    <s v="Valid"/>
    <x v="6"/>
    <n v="2025"/>
    <s v="Clean"/>
    <s v="OK"/>
    <s v="Valid"/>
    <s v="Missmatched"/>
    <s v="Missmatched"/>
  </r>
  <r>
    <s v="ORD-2024-10837"/>
    <d v="2024-12-15T00:00:00"/>
    <d v="2026-11-10T00:00:00"/>
    <s v="CUST-9776"/>
    <s v="Isha Nair"/>
    <x v="1"/>
    <x v="0"/>
    <s v="Rajasthan"/>
    <s v="Jaipur"/>
    <x v="0"/>
    <x v="7"/>
    <s v="Smart Labels 814"/>
    <x v="0"/>
    <n v="2"/>
    <n v="537.11"/>
    <n v="0"/>
    <n v="0"/>
    <n v="1074.22"/>
    <n v="850.86"/>
    <x v="836"/>
    <x v="836"/>
    <n v="223.36"/>
    <n v="0"/>
    <x v="0"/>
    <s v="Paid"/>
    <x v="0"/>
    <n v="695"/>
    <s v="OK"/>
    <s v="Valid"/>
    <s v="Unique"/>
    <s v="North"/>
    <s v="Second Class"/>
    <s v="Valid"/>
    <x v="7"/>
    <n v="2024"/>
    <s v="Clean"/>
    <s v="OK"/>
    <s v="Valid"/>
    <s v="Ok"/>
    <s v="Ok"/>
  </r>
  <r>
    <s v="ORD-2025-10838"/>
    <d v="2025-09-27T00:00:00"/>
    <d v="2026-11-11T00:00:00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6540.37"/>
    <x v="837"/>
    <x v="837"/>
    <n v="2859.3"/>
    <n v="11437.189999999999"/>
    <x v="0"/>
    <s v="Paid"/>
    <x v="0"/>
    <n v="410"/>
    <s v="OK"/>
    <s v="Valid"/>
    <s v="Unique"/>
    <s v="West"/>
    <s v="First Class"/>
    <s v="Valid"/>
    <x v="6"/>
    <n v="2025"/>
    <s v="Clean"/>
    <s v="OK"/>
    <s v="Valid"/>
    <s v="Missmatched"/>
    <s v="Missmatched"/>
  </r>
  <r>
    <s v="ORD-2025-10839"/>
    <d v="2025-03-04T00:00:00"/>
    <d v="2026-11-12T00:00:00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834.02"/>
    <x v="838"/>
    <x v="838"/>
    <n v="636.54999999999995"/>
    <n v="0"/>
    <x v="0"/>
    <s v="Paid"/>
    <x v="2"/>
    <n v="618"/>
    <s v="OK"/>
    <s v="Valid"/>
    <s v="Unique"/>
    <s v="West"/>
    <s v="Same Day"/>
    <s v="Valid"/>
    <x v="11"/>
    <n v="2025"/>
    <s v="Clean"/>
    <s v="OK"/>
    <s v="Valid"/>
    <s v="Ok"/>
    <s v="Ok"/>
  </r>
  <r>
    <s v="ORD-2024-10840"/>
    <d v="2024-09-20T00:00:00"/>
    <d v="2026-11-13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3"/>
    <n v="2194.12"/>
    <x v="839"/>
    <x v="839"/>
    <n v="1632.18"/>
    <n v="16321.759999999998"/>
    <x v="0"/>
    <s v="Paid"/>
    <x v="0"/>
    <n v="784"/>
    <s v="OK"/>
    <s v="Valid"/>
    <s v="Unique"/>
    <s v="East"/>
    <s v="Standard Class"/>
    <s v="Valid"/>
    <x v="6"/>
    <n v="2024"/>
    <s v="Clean"/>
    <s v="OK"/>
    <s v="Valid"/>
    <s v="Missmatched"/>
    <s v="Missmatched"/>
  </r>
  <r>
    <s v="ORD-2025-10841"/>
    <d v="2025-09-19T00:00:00"/>
    <d v="2026-11-14T00:00:0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4680.68"/>
    <x v="840"/>
    <x v="840"/>
    <n v="1655.76"/>
    <n v="0"/>
    <x v="0"/>
    <s v="Paid"/>
    <x v="0"/>
    <n v="421"/>
    <s v="OK"/>
    <s v="Valid"/>
    <s v="Unique"/>
    <s v="North"/>
    <s v="Same Day"/>
    <s v="Valid"/>
    <x v="6"/>
    <n v="2025"/>
    <s v="Clean"/>
    <s v="OK"/>
    <s v="Valid"/>
    <s v="Ok"/>
    <s v="Ok"/>
  </r>
  <r>
    <s v="ORD-2025-10842"/>
    <d v="2025-06-02T00:00:00"/>
    <d v="2026-11-15T00:00:00"/>
    <s v="CUST-7558"/>
    <s v="Ananya Rao"/>
    <x v="1"/>
    <x v="1"/>
    <s v="Bihar"/>
    <s v="Patna"/>
    <x v="0"/>
    <x v="2"/>
    <s v="Max Art 339"/>
    <x v="3"/>
    <n v="9"/>
    <n v="3237.16"/>
    <n v="0.25"/>
    <n v="0.25"/>
    <n v="21850.83"/>
    <n v="16600.13"/>
    <x v="841"/>
    <x v="841"/>
    <n v="5250.7"/>
    <n v="21002.799999999988"/>
    <x v="0"/>
    <s v="Paid"/>
    <x v="0"/>
    <n v="531"/>
    <s v="OK"/>
    <s v="Valid"/>
    <s v="Unique"/>
    <s v="East"/>
    <s v="Standard Class"/>
    <s v="Valid"/>
    <x v="10"/>
    <n v="2025"/>
    <s v="Clean"/>
    <s v="OK"/>
    <s v="Valid"/>
    <s v="Ok"/>
    <s v="Ok"/>
  </r>
  <r>
    <s v="ORD-2024-10843"/>
    <d v="2024-03-31T00:00:00"/>
    <d v="2026-11-16T00:00:00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5133.78"/>
    <x v="842"/>
    <x v="842"/>
    <n v="2319.29"/>
    <n v="15461.946666666663"/>
    <x v="0"/>
    <s v="Paid"/>
    <x v="2"/>
    <n v="960"/>
    <s v="OK"/>
    <s v="Valid"/>
    <s v="Unique"/>
    <s v="North"/>
    <s v="First Class"/>
    <s v="Valid"/>
    <x v="11"/>
    <n v="2024"/>
    <s v="Clean"/>
    <s v="OK"/>
    <s v="Valid"/>
    <s v="Missmatched"/>
    <s v="Missmatched"/>
  </r>
  <r>
    <s v="ORD-2025-10844"/>
    <d v="2025-07-18T00:00:00"/>
    <d v="2026-11-17T00:00:00"/>
    <s v="CUST-7333"/>
    <s v="Priya Menon"/>
    <x v="1"/>
    <x v="0"/>
    <s v="Uttar Pradesh"/>
    <s v="Noida"/>
    <x v="2"/>
    <x v="11"/>
    <s v="Prime Phones 482"/>
    <x v="2"/>
    <n v="9"/>
    <n v="3989.52"/>
    <n v="-0.02"/>
    <n v="-0.02"/>
    <n v="35905.68"/>
    <n v="23916.1"/>
    <x v="843"/>
    <x v="843"/>
    <n v="11989.58"/>
    <n v="-635384.68000000028"/>
    <x v="0"/>
    <s v="Paid"/>
    <x v="0"/>
    <n v="487"/>
    <s v="OK"/>
    <s v="Valid"/>
    <s v="Unique"/>
    <s v="North"/>
    <s v="First Class"/>
    <s v="Invalid"/>
    <x v="0"/>
    <n v="2025"/>
    <s v="Clean"/>
    <s v="OK"/>
    <s v="Valid"/>
    <s v="Missmatched"/>
    <s v="Missmatched"/>
  </r>
  <r>
    <s v="ORD-2025-10845"/>
    <d v="2025-01-20T00:00:00"/>
    <d v="2026-11-18T00:00:00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2216.34"/>
    <x v="844"/>
    <x v="844"/>
    <n v="1298.81"/>
    <n v="0"/>
    <x v="0"/>
    <s v="Paid"/>
    <x v="0"/>
    <n v="667"/>
    <s v="OK"/>
    <s v="Valid"/>
    <s v="Unique"/>
    <s v="West"/>
    <s v="First Class"/>
    <s v="Valid"/>
    <x v="8"/>
    <n v="2025"/>
    <s v="Clean"/>
    <s v="OK"/>
    <s v="Valid"/>
    <s v="Ok"/>
    <s v="Ok"/>
  </r>
  <r>
    <s v="ORD-2024-10846"/>
    <d v="2024-02-23T00:00:00"/>
    <d v="2026-11-19T00:00:00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17157.580000000002"/>
    <x v="845"/>
    <x v="845"/>
    <n v="7251.97"/>
    <n v="29007.889999999985"/>
    <x v="2"/>
    <s v="Pending"/>
    <x v="2"/>
    <n v="1000"/>
    <s v="OK"/>
    <s v="Valid"/>
    <s v="Unique"/>
    <s v="East"/>
    <s v="First Class"/>
    <s v="Valid"/>
    <x v="5"/>
    <n v="2024"/>
    <s v="Clean"/>
    <s v="OK"/>
    <s v="Valid"/>
    <s v="Missmatched"/>
    <s v="Missmatched"/>
  </r>
  <r>
    <s v="ORD-2024-10847"/>
    <d v="2024-04-14T00:00:00"/>
    <d v="2026-11-20T00:00:00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5580.68"/>
    <x v="846"/>
    <x v="846"/>
    <n v="2374.36"/>
    <n v="0"/>
    <x v="2"/>
    <s v="Pending"/>
    <x v="2"/>
    <n v="950"/>
    <s v="OK"/>
    <s v="Valid"/>
    <s v="Unique"/>
    <s v="West"/>
    <s v="Standard Class"/>
    <s v="Valid"/>
    <x v="9"/>
    <n v="2024"/>
    <s v="Clean"/>
    <s v="OK"/>
    <s v="Valid"/>
    <s v="Ok"/>
    <s v="Ok"/>
  </r>
  <r>
    <s v="ORD-2025-10848"/>
    <d v="2025-05-20T00:00:00"/>
    <d v="2026-11-21T00:00:00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3"/>
    <n v="242.19"/>
    <x v="847"/>
    <x v="847"/>
    <n v="93.94"/>
    <n v="469.69000000000023"/>
    <x v="0"/>
    <s v="Paid"/>
    <x v="0"/>
    <n v="550"/>
    <s v="OK"/>
    <s v="Valid"/>
    <s v="Unique"/>
    <s v="East"/>
    <s v="Second Class"/>
    <s v="Valid"/>
    <x v="3"/>
    <n v="2025"/>
    <s v="Clean"/>
    <s v="OK"/>
    <s v="Valid"/>
    <s v="Missmatched"/>
    <s v="Missmatched"/>
  </r>
  <r>
    <s v="ORD-2025-10849"/>
    <d v="2025-05-27T00:00:00"/>
    <d v="2026-11-22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083.56"/>
    <x v="848"/>
    <x v="848"/>
    <n v="224.7"/>
    <n v="898.80999999999949"/>
    <x v="0"/>
    <s v="Paid"/>
    <x v="0"/>
    <n v="544"/>
    <s v="OK"/>
    <s v="Valid"/>
    <s v="Unique"/>
    <s v="South"/>
    <s v="Second Class"/>
    <s v="Valid"/>
    <x v="3"/>
    <n v="2025"/>
    <s v="Clean"/>
    <s v="OK"/>
    <s v="Valid"/>
    <s v="Missmatched"/>
    <s v="Missmatched"/>
  </r>
  <r>
    <s v="ORD-2024-10850"/>
    <d v="2024-06-03T00:00:00"/>
    <d v="2026-11-23T00:00:00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898.73"/>
    <x v="849"/>
    <x v="849"/>
    <n v="396.58"/>
    <n v="3661.9100000000003"/>
    <x v="0"/>
    <s v="Paid"/>
    <x v="0"/>
    <n v="903"/>
    <s v="OK"/>
    <s v="Valid"/>
    <s v="Duplicate"/>
    <s v="West"/>
    <s v="Standard Class"/>
    <s v="Valid"/>
    <x v="10"/>
    <n v="2024"/>
    <s v="Clean"/>
    <s v="OK"/>
    <s v="Valid"/>
    <s v="Missmatched"/>
    <s v="Missmatched"/>
  </r>
  <r>
    <s v="ORD-2024-10851"/>
    <d v="2024-06-30T00:00:00"/>
    <d v="2026-11-24T00:00:00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6"/>
    <n v="6216.89"/>
    <x v="850"/>
    <x v="850"/>
    <n v="1049.17"/>
    <n v="0"/>
    <x v="0"/>
    <s v="Paid"/>
    <x v="0"/>
    <n v="877"/>
    <s v="OK"/>
    <s v="Valid"/>
    <s v="Unique"/>
    <s v="East"/>
    <s v="First Class"/>
    <s v="Valid"/>
    <x v="10"/>
    <n v="2024"/>
    <s v="Clean"/>
    <s v="OK"/>
    <s v="Valid"/>
    <s v="Ok"/>
    <s v="Ok"/>
  </r>
  <r>
    <s v="ORD-2024-10852"/>
    <d v="2024-03-26T00:00:00"/>
    <d v="2026-11-25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1590.75"/>
    <x v="851"/>
    <x v="851"/>
    <n v="267.33"/>
    <n v="1336.6499999999996"/>
    <x v="0"/>
    <s v="Paid"/>
    <x v="0"/>
    <n v="974"/>
    <s v="OK"/>
    <s v="Valid"/>
    <s v="Unique"/>
    <s v="West"/>
    <s v="First Class"/>
    <s v="Valid"/>
    <x v="11"/>
    <n v="2024"/>
    <s v="Clean"/>
    <s v="OK"/>
    <s v="Valid"/>
    <s v="Ok"/>
    <s v="Ok"/>
  </r>
  <r>
    <s v="ORD-2024-10853"/>
    <d v="2024-04-01T00:00:00"/>
    <d v="2026-11-26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15544.44"/>
    <x v="852"/>
    <x v="852"/>
    <n v="9477.39"/>
    <n v="63182.61666666669"/>
    <x v="2"/>
    <s v="Pending"/>
    <x v="1"/>
    <n v="969"/>
    <s v="OK"/>
    <s v="Valid"/>
    <s v="Unique"/>
    <s v="East"/>
    <s v="Second Class"/>
    <s v="Valid"/>
    <x v="9"/>
    <n v="2024"/>
    <s v="Clean"/>
    <s v="OK"/>
    <s v="Valid"/>
    <s v="Missmatched"/>
    <s v="Missmatched"/>
  </r>
  <r>
    <s v="ORD-2025-10854"/>
    <d v="2025-05-16T00:00:00"/>
    <d v="2026-11-27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3115.29"/>
    <x v="853"/>
    <x v="853"/>
    <n v="595.42999999999995"/>
    <n v="2977.1499999999992"/>
    <x v="0"/>
    <s v="Paid"/>
    <x v="0"/>
    <n v="560"/>
    <s v="OK"/>
    <s v="Valid"/>
    <s v="Unique"/>
    <s v="South"/>
    <s v="Same Day"/>
    <s v="Valid"/>
    <x v="3"/>
    <n v="2025"/>
    <s v="Clean"/>
    <s v="OK"/>
    <s v="Valid"/>
    <s v="Ok"/>
    <s v="Ok"/>
  </r>
  <r>
    <s v="ORD-2025-10855"/>
    <d v="2025-03-25T00:00:00"/>
    <d v="2026-11-28T00:00:00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"/>
    <n v="5245.72"/>
    <x v="854"/>
    <x v="854"/>
    <n v="3242.11"/>
    <n v="64842.239999999962"/>
    <x v="0"/>
    <s v="Paid"/>
    <x v="0"/>
    <n v="613"/>
    <s v="OK"/>
    <s v="Valid"/>
    <s v="Unique"/>
    <s v="South"/>
    <s v="Second Class"/>
    <s v="Valid"/>
    <x v="11"/>
    <n v="2025"/>
    <s v="Clean"/>
    <s v="OK"/>
    <s v="Valid"/>
    <s v="Missmatched"/>
    <s v="Missmatched"/>
  </r>
  <r>
    <s v="ORD-2024-10856"/>
    <d v="2024-07-25T00:00:00"/>
    <d v="2026-11-29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0.25"/>
    <n v="3110.3"/>
    <n v="2101.0300000000002"/>
    <x v="855"/>
    <x v="855"/>
    <n v="1009.27"/>
    <n v="4037.0599999999995"/>
    <x v="0"/>
    <s v="Paid"/>
    <x v="0"/>
    <n v="857"/>
    <s v="OK"/>
    <s v="Valid"/>
    <s v="Unique"/>
    <s v="North"/>
    <s v="Second Class"/>
    <s v="Valid"/>
    <x v="0"/>
    <n v="2024"/>
    <s v="Clean"/>
    <s v="OK"/>
    <s v="Valid"/>
    <s v="Missmatched"/>
    <s v="Missmatched"/>
  </r>
  <r>
    <s v="ORD-2024-10857"/>
    <d v="2024-12-06T00:00:00"/>
    <d v="2026-11-30T00:00:00"/>
    <s v="CUST-5647"/>
    <s v="Rohan Mehta"/>
    <x v="3"/>
    <x v="2"/>
    <s v="Tamil Nadu"/>
    <s v="Chennai"/>
    <x v="0"/>
    <x v="8"/>
    <s v="Classic Storage 918"/>
    <x v="3"/>
    <n v="4"/>
    <n v="395.1"/>
    <n v="-0.16"/>
    <n v="-0.16"/>
    <n v="1185.3"/>
    <n v="966.55"/>
    <x v="856"/>
    <x v="856"/>
    <n v="218.75"/>
    <n v="-5416.9624999999996"/>
    <x v="3"/>
    <s v="Failed"/>
    <x v="1"/>
    <n v="724"/>
    <s v="OK"/>
    <s v="Valid"/>
    <s v="Unique"/>
    <s v="South"/>
    <s v="Standard Class"/>
    <s v="Invalid"/>
    <x v="7"/>
    <n v="2024"/>
    <s v="Clean"/>
    <s v="OK"/>
    <s v="Valid"/>
    <s v="Missmatched"/>
    <s v="Missmatched"/>
  </r>
  <r>
    <s v="ORD-2024-10858"/>
    <d v="2024-04-06T00:00:00"/>
    <d v="2026-12-01T00:00:0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"/>
    <n v="10176.99"/>
    <x v="857"/>
    <x v="857"/>
    <n v="2013.37"/>
    <n v="8053.5"/>
    <x v="0"/>
    <s v="Paid"/>
    <x v="0"/>
    <n v="969"/>
    <s v="OK"/>
    <s v="Valid"/>
    <s v="Unique"/>
    <s v="South"/>
    <s v="First Class"/>
    <s v="Valid"/>
    <x v="9"/>
    <n v="2024"/>
    <s v="Clean"/>
    <s v="OK"/>
    <s v="Valid"/>
    <s v="Missmatched"/>
    <s v="Missmatched"/>
  </r>
  <r>
    <s v="ORD-2024-10859"/>
    <d v="2024-02-05T00:00:00"/>
    <d v="2026-12-02T00:00:00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7184.32"/>
    <x v="858"/>
    <x v="858"/>
    <n v="4494.6400000000003"/>
    <n v="0"/>
    <x v="0"/>
    <s v="Paid"/>
    <x v="0"/>
    <n v="1031"/>
    <s v="OK"/>
    <s v="Valid"/>
    <s v="Unique"/>
    <s v="East"/>
    <s v="Second Class"/>
    <s v="Valid"/>
    <x v="5"/>
    <n v="2024"/>
    <s v="Clean"/>
    <s v="OK"/>
    <s v="Valid"/>
    <s v="Ok"/>
    <s v="Missmatched"/>
  </r>
  <r>
    <s v="ORD-2024-10860"/>
    <d v="2024-10-27T00:00:00"/>
    <d v="2026-12-03T00:00:00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9"/>
    <n v="16282.74"/>
    <x v="859"/>
    <x v="859"/>
    <n v="8792.7000000000007"/>
    <n v="175853.99999999988"/>
    <x v="0"/>
    <s v="Paid"/>
    <x v="0"/>
    <n v="767"/>
    <s v="OK"/>
    <s v="Valid"/>
    <s v="Unique"/>
    <s v="South"/>
    <s v="Standard Class"/>
    <s v="Valid"/>
    <x v="4"/>
    <n v="2024"/>
    <s v="Clean"/>
    <s v="OK"/>
    <s v="Valid"/>
    <s v="Ok"/>
    <s v="Ok"/>
  </r>
  <r>
    <s v="ORD-2024-10861"/>
    <d v="2024-02-02T00:00:00"/>
    <d v="2026-1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"/>
    <n v="2299.5"/>
    <x v="860"/>
    <x v="860"/>
    <n v="1877.95"/>
    <n v="37559.079999999994"/>
    <x v="0"/>
    <s v="Paid"/>
    <x v="0"/>
    <n v="1036"/>
    <s v="OK"/>
    <s v="Valid"/>
    <s v="Unique"/>
    <s v="North"/>
    <s v="Second Class"/>
    <s v="Valid"/>
    <x v="5"/>
    <n v="2024"/>
    <s v="Clean"/>
    <s v="OK"/>
    <s v="Valid"/>
    <s v="Missmatched"/>
    <s v="Missmatched"/>
  </r>
  <r>
    <s v="ORD-2025-10862"/>
    <d v="2025-08-03T00:00:00"/>
    <d v="2026-12-05T00:00:00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6231.41"/>
    <x v="861"/>
    <x v="861"/>
    <n v="4666.7700000000004"/>
    <n v="23333.829999999998"/>
    <x v="0"/>
    <s v="Paid"/>
    <x v="0"/>
    <n v="489"/>
    <s v="OK"/>
    <s v="Valid"/>
    <s v="Unique"/>
    <s v="North"/>
    <s v="Same Day"/>
    <s v="Valid"/>
    <x v="1"/>
    <n v="2025"/>
    <s v="Clean"/>
    <s v="OK"/>
    <s v="Valid"/>
    <s v="Missmatched"/>
    <s v="Missmatched"/>
  </r>
  <r>
    <s v="ORD-2025-10863"/>
    <d v="2025-03-26T00:00:00"/>
    <d v="2026-12-06T00:00:00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"/>
    <n v="4797.88"/>
    <x v="862"/>
    <x v="862"/>
    <n v="2177.8200000000002"/>
    <n v="0"/>
    <x v="0"/>
    <s v="Paid"/>
    <x v="1"/>
    <n v="620"/>
    <s v="OK"/>
    <s v="Valid"/>
    <s v="Unique"/>
    <s v="East"/>
    <s v="First Class"/>
    <s v="Valid"/>
    <x v="11"/>
    <n v="2025"/>
    <s v="Clean"/>
    <s v="OK"/>
    <s v="Valid"/>
    <s v="Ok"/>
    <s v="Ok"/>
  </r>
  <r>
    <s v="ORD-2025-10864"/>
    <d v="2025-06-09T00:00:00"/>
    <d v="2026-12-07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6765.91"/>
    <x v="863"/>
    <x v="863"/>
    <n v="2045.78"/>
    <n v="0"/>
    <x v="0"/>
    <s v="Paid"/>
    <x v="0"/>
    <n v="546"/>
    <s v="OK"/>
    <s v="Valid"/>
    <s v="Unique"/>
    <s v="West"/>
    <s v="Same Day"/>
    <s v="Valid"/>
    <x v="10"/>
    <n v="2025"/>
    <s v="Clean"/>
    <s v="OK"/>
    <s v="Valid"/>
    <s v="Ok"/>
    <s v="Ok"/>
  </r>
  <r>
    <s v="ORD-2025-10865"/>
    <d v="2025-02-09T00:00:00"/>
    <d v="2026-12-08T00:00:00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4631.36"/>
    <x v="864"/>
    <x v="864"/>
    <n v="2402.9899999999998"/>
    <n v="0"/>
    <x v="0"/>
    <s v="Paid"/>
    <x v="0"/>
    <n v="667"/>
    <s v="OK"/>
    <s v="Valid"/>
    <s v="Unique"/>
    <s v="South"/>
    <s v="First Class"/>
    <s v="Valid"/>
    <x v="5"/>
    <n v="2025"/>
    <s v="Clean"/>
    <s v="OK"/>
    <s v="Valid"/>
    <s v="Ok"/>
    <s v="Ok"/>
  </r>
  <r>
    <s v="ORD-2025-10866"/>
    <d v="2025-02-06T00:00:00"/>
    <d v="2026-12-09T00:00:00"/>
    <s v="CUST-8099"/>
    <s v="Kabir Singh"/>
    <x v="0"/>
    <x v="3"/>
    <s v="Maharashtra"/>
    <s v="Mumbai"/>
    <x v="0"/>
    <x v="7"/>
    <s v="Classic Labels 218"/>
    <x v="0"/>
    <n v="2"/>
    <n v="3992.04"/>
    <n v="0"/>
    <n v="0"/>
    <n v="7984.08"/>
    <n v="5658.05"/>
    <x v="865"/>
    <x v="865"/>
    <n v="2326.0300000000002"/>
    <n v="0"/>
    <x v="0"/>
    <s v="Paid"/>
    <x v="0"/>
    <n v="671"/>
    <s v="OK"/>
    <s v="Valid"/>
    <s v="Unique"/>
    <s v="West"/>
    <s v="Second Class"/>
    <s v="Valid"/>
    <x v="5"/>
    <n v="2025"/>
    <s v="Clean"/>
    <s v="OK"/>
    <s v="Valid"/>
    <s v="Ok"/>
    <s v="Ok"/>
  </r>
  <r>
    <s v="ORD-2025-10867"/>
    <d v="2025-02-26T00:00:00"/>
    <d v="2026-12-10T00:00:00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"/>
    <n v="16367.78"/>
    <x v="866"/>
    <x v="866"/>
    <n v="5544.48"/>
    <n v="27722.419999999991"/>
    <x v="2"/>
    <s v="Pending"/>
    <x v="1"/>
    <n v="652"/>
    <s v="OK"/>
    <s v="Valid"/>
    <s v="Unique"/>
    <s v="East"/>
    <s v="First Class"/>
    <s v="Valid"/>
    <x v="5"/>
    <n v="2025"/>
    <s v="Clean"/>
    <s v="OK"/>
    <s v="Valid"/>
    <s v="Missmatched"/>
    <s v="Missmatched"/>
  </r>
  <r>
    <s v="ORD-2024-10868"/>
    <d v="2024-11-21T00:00:00"/>
    <d v="2026-12-11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"/>
    <n v="3871.69"/>
    <x v="867"/>
    <x v="867"/>
    <n v="824.01"/>
    <n v="3296.0599999999995"/>
    <x v="3"/>
    <s v="Failed"/>
    <x v="1"/>
    <n v="750"/>
    <s v="OK"/>
    <s v="Valid"/>
    <s v="Unique"/>
    <s v="South"/>
    <s v="Same Day"/>
    <s v="Valid"/>
    <x v="2"/>
    <n v="2024"/>
    <s v="Clean"/>
    <s v="OK"/>
    <s v="Valid"/>
    <s v="Missmatched"/>
    <s v="Missmatched"/>
  </r>
  <r>
    <s v="ORD-2025-10869"/>
    <d v="2025-04-11T00:00:00"/>
    <d v="2026-12-12T00:00:00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4"/>
    <n v="1093.6600000000001"/>
    <x v="868"/>
    <x v="868"/>
    <n v="829.58"/>
    <n v="16591.539999999994"/>
    <x v="0"/>
    <s v="Paid"/>
    <x v="0"/>
    <n v="610"/>
    <s v="OK"/>
    <s v="Valid"/>
    <s v="Unique"/>
    <s v="South"/>
    <s v="Same Day"/>
    <s v="Valid"/>
    <x v="9"/>
    <n v="2025"/>
    <s v="Clean"/>
    <s v="OK"/>
    <s v="Valid"/>
    <s v="Missmatched"/>
    <s v="Missmatched"/>
  </r>
  <r>
    <s v="ORD-2025-10870"/>
    <d v="2025-06-03T00:00:00"/>
    <d v="2026-12-13T00:00:00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2374.4"/>
    <x v="869"/>
    <x v="869"/>
    <n v="1927.51"/>
    <n v="19275.099999999995"/>
    <x v="0"/>
    <s v="Paid"/>
    <x v="0"/>
    <n v="558"/>
    <s v="OK"/>
    <s v="Valid"/>
    <s v="Unique"/>
    <s v="Unknown"/>
    <s v="Same Day"/>
    <s v="Valid"/>
    <x v="10"/>
    <n v="2025"/>
    <s v="Clean"/>
    <s v="OK"/>
    <s v="Valid"/>
    <s v="Ok"/>
    <s v="Ok"/>
  </r>
  <r>
    <s v="ORD-2025-10871"/>
    <d v="2025-06-06T00:00:00"/>
    <d v="2026-12-14T00:00:00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4"/>
    <n v="17454.669999999998"/>
    <x v="870"/>
    <x v="870"/>
    <n v="4982.17"/>
    <n v="33214.453333333346"/>
    <x v="0"/>
    <s v="Paid"/>
    <x v="1"/>
    <n v="556"/>
    <s v="OK"/>
    <s v="Valid"/>
    <s v="Unique"/>
    <s v="West"/>
    <s v="Standard Class"/>
    <s v="Valid"/>
    <x v="10"/>
    <n v="2025"/>
    <s v="Clean"/>
    <s v="OK"/>
    <s v="Valid"/>
    <s v="Missmatched"/>
    <s v="Missmatched"/>
  </r>
  <r>
    <s v="ORD-2024-10872"/>
    <d v="2024-02-20T00:00:00"/>
    <d v="2026-12-15T00:00:00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2458.62"/>
    <x v="871"/>
    <x v="871"/>
    <n v="7217.45"/>
    <n v="0"/>
    <x v="1"/>
    <s v="Refunded"/>
    <x v="1"/>
    <n v="1029"/>
    <s v="OK"/>
    <s v="Valid"/>
    <s v="Unique"/>
    <s v="South"/>
    <s v="First Class"/>
    <s v="Valid"/>
    <x v="5"/>
    <n v="2024"/>
    <s v="Clean"/>
    <s v="OK"/>
    <s v="Valid"/>
    <s v="Ok"/>
    <s v="Ok"/>
  </r>
  <r>
    <s v="ORD-2024-10873"/>
    <d v="2024-01-11T00:00:00"/>
    <d v="2026-12-16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5691.56"/>
    <x v="872"/>
    <x v="872"/>
    <n v="3156.52"/>
    <n v="15782.599999999997"/>
    <x v="0"/>
    <s v="Paid"/>
    <x v="0"/>
    <n v="1070"/>
    <s v="OK"/>
    <s v="Valid"/>
    <s v="Unique"/>
    <s v="East"/>
    <s v="Standard Class"/>
    <s v="Valid"/>
    <x v="8"/>
    <n v="2024"/>
    <s v="Clean"/>
    <s v="OK"/>
    <s v="Valid"/>
    <s v="Ok"/>
    <s v="Ok"/>
  </r>
  <r>
    <s v="ORD-2025-10874"/>
    <d v="2025-01-02T00:00:00"/>
    <d v="2026-12-17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"/>
    <n v="2633.78"/>
    <x v="873"/>
    <x v="873"/>
    <n v="1854.05"/>
    <n v="18540.51999999999"/>
    <x v="0"/>
    <s v="Paid"/>
    <x v="0"/>
    <n v="714"/>
    <s v="OK"/>
    <s v="Valid"/>
    <s v="Unique"/>
    <s v="West"/>
    <s v="Second Class"/>
    <s v="Valid"/>
    <x v="8"/>
    <n v="2025"/>
    <s v="Clean"/>
    <s v="OK"/>
    <s v="Valid"/>
    <s v="Missmatched"/>
    <s v="Missmatched"/>
  </r>
  <r>
    <s v="ORD-2025-10875"/>
    <d v="2025-07-15T00:00:00"/>
    <d v="2026-12-18T00:00:00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0710.18"/>
    <x v="874"/>
    <x v="874"/>
    <n v="9118.91"/>
    <n v="182378.15999999997"/>
    <x v="0"/>
    <s v="Paid"/>
    <x v="0"/>
    <n v="521"/>
    <s v="OK"/>
    <s v="Valid"/>
    <s v="Unique"/>
    <s v="West"/>
    <s v="Standard Class"/>
    <s v="Valid"/>
    <x v="0"/>
    <n v="2025"/>
    <s v="Clean"/>
    <s v="OK"/>
    <s v="Valid"/>
    <s v="Missmatched"/>
    <s v="Missmatched"/>
  </r>
  <r>
    <s v="ORD-2024-10876"/>
    <d v="2024-10-08T00:00:00"/>
    <d v="2026-12-19T00:00:00"/>
    <s v="CUST-6928"/>
    <s v="Mira Das"/>
    <x v="2"/>
    <x v="3"/>
    <s v="Maharashtra"/>
    <s v="Mumbai"/>
    <x v="2"/>
    <x v="6"/>
    <s v="Elite Copiers 752"/>
    <x v="2"/>
    <n v="7"/>
    <n v="3852.62"/>
    <n v="0.2"/>
    <n v="0.2"/>
    <n v="21574.67"/>
    <n v="14672.83"/>
    <x v="875"/>
    <x v="875"/>
    <n v="6901.84"/>
    <n v="34509.210000000006"/>
    <x v="0"/>
    <s v="Paid"/>
    <x v="0"/>
    <n v="802"/>
    <s v="OK"/>
    <s v="Valid"/>
    <s v="Unique"/>
    <s v="West"/>
    <s v="First Class"/>
    <s v="Valid"/>
    <x v="4"/>
    <n v="2024"/>
    <s v="Clean"/>
    <s v="OK"/>
    <s v="Valid"/>
    <s v="Missmatched"/>
    <s v="Missmatched"/>
  </r>
  <r>
    <s v="ORD-2024-10877"/>
    <d v="2024-11-18T00:00:00"/>
    <d v="2026-12-20T00:00:00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16388.57"/>
    <x v="876"/>
    <x v="876"/>
    <n v="6352.75"/>
    <n v="0"/>
    <x v="0"/>
    <s v="Paid"/>
    <x v="0"/>
    <n v="762"/>
    <s v="OK"/>
    <s v="Valid"/>
    <s v="Unique"/>
    <s v="West"/>
    <s v="First Class"/>
    <s v="Valid"/>
    <x v="2"/>
    <n v="2024"/>
    <s v="Clean"/>
    <s v="OK"/>
    <s v="Valid"/>
    <s v="Ok"/>
    <s v="Ok"/>
  </r>
  <r>
    <s v="ORD-2025-10878"/>
    <d v="2025-08-26T00:00:00"/>
    <d v="2026-12-21T00:00:00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"/>
    <n v="2690.37"/>
    <x v="877"/>
    <x v="877"/>
    <n v="951.17"/>
    <n v="9511.74"/>
    <x v="0"/>
    <s v="Paid"/>
    <x v="0"/>
    <n v="482"/>
    <s v="OK"/>
    <s v="Valid"/>
    <s v="Unique"/>
    <s v="West"/>
    <s v="Second Class"/>
    <s v="Valid"/>
    <x v="1"/>
    <n v="2025"/>
    <s v="Clean"/>
    <s v="OK"/>
    <s v="Valid"/>
    <s v="Missmatched"/>
    <s v="Missmatched"/>
  </r>
  <r>
    <s v="ORD-2024-10879"/>
    <d v="2024-01-22T00:00:00"/>
    <d v="2026-12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9322.36"/>
    <x v="878"/>
    <x v="878"/>
    <n v="2512.44"/>
    <n v="50248.719999999994"/>
    <x v="0"/>
    <s v="Paid"/>
    <x v="0"/>
    <n v="1065"/>
    <s v="OK"/>
    <s v="Valid"/>
    <s v="Unique"/>
    <s v="East"/>
    <s v="First Class"/>
    <s v="Valid"/>
    <x v="8"/>
    <n v="2024"/>
    <s v="Clean"/>
    <s v="OK"/>
    <s v="Valid"/>
    <s v="Missmatched"/>
    <s v="Missmatched"/>
  </r>
  <r>
    <s v="ORD-2025-10880"/>
    <d v="2025-08-27T00:00:00"/>
    <d v="2026-12-23T00:00:00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"/>
    <n v="4433.63"/>
    <x v="879"/>
    <x v="879"/>
    <n v="1594.72"/>
    <n v="10631.486666666668"/>
    <x v="0"/>
    <s v="Paid"/>
    <x v="0"/>
    <n v="483"/>
    <s v="OK"/>
    <s v="Valid"/>
    <s v="Unique"/>
    <s v="North"/>
    <s v="Standard Class"/>
    <s v="Valid"/>
    <x v="1"/>
    <n v="2025"/>
    <s v="Clean"/>
    <s v="OK"/>
    <s v="Valid"/>
    <s v="Missmatched"/>
    <s v="Missmatched"/>
  </r>
  <r>
    <s v="ORD-2024-10881"/>
    <d v="2024-03-08T00:00:00"/>
    <d v="2026-12-24T00:00:00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3636.34"/>
    <x v="880"/>
    <x v="880"/>
    <n v="2537.5100000000002"/>
    <n v="0"/>
    <x v="0"/>
    <s v="Paid"/>
    <x v="0"/>
    <n v="1021"/>
    <s v="OK"/>
    <s v="Valid"/>
    <s v="Unique"/>
    <s v="Unknown"/>
    <s v="First Class"/>
    <s v="Valid"/>
    <x v="11"/>
    <n v="2024"/>
    <s v="Clean"/>
    <s v="OK"/>
    <s v="Valid"/>
    <s v="Ok"/>
    <s v="Ok"/>
  </r>
  <r>
    <s v="ORD-2024-10882"/>
    <d v="2024-01-12T00:00:00"/>
    <d v="2026-12-2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0.25"/>
    <n v="25155.56"/>
    <n v="17592.689999999999"/>
    <x v="881"/>
    <x v="881"/>
    <n v="7562.87"/>
    <n v="30251.490000000005"/>
    <x v="0"/>
    <s v="Paid"/>
    <x v="0"/>
    <n v="1078"/>
    <s v="OK"/>
    <s v="Valid"/>
    <s v="Unique"/>
    <s v="South"/>
    <s v="Second Class"/>
    <s v="Valid"/>
    <x v="8"/>
    <n v="2024"/>
    <s v="Clean"/>
    <s v="OK"/>
    <s v="Valid"/>
    <s v="Missmatched"/>
    <s v="Missmatched"/>
  </r>
  <r>
    <s v="ORD-2025-10883"/>
    <d v="2025-02-02T00:00:00"/>
    <d v="2026-12-26T00:00:00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4894.53"/>
    <x v="882"/>
    <x v="882"/>
    <n v="2755.27"/>
    <n v="0"/>
    <x v="2"/>
    <s v="Pending"/>
    <x v="2"/>
    <n v="692"/>
    <s v="OK"/>
    <s v="Valid"/>
    <s v="Unique"/>
    <s v="East"/>
    <s v="Standard Class"/>
    <s v="Valid"/>
    <x v="5"/>
    <n v="2025"/>
    <s v="Clean"/>
    <s v="OK"/>
    <s v="Valid"/>
    <s v="Ok"/>
    <s v="Ok"/>
  </r>
  <r>
    <s v="ORD-2025-10884"/>
    <d v="2025-04-28T00:00:00"/>
    <d v="2026-12-27T00:00:00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103.6099999999999"/>
    <x v="883"/>
    <x v="883"/>
    <n v="517.26"/>
    <n v="0"/>
    <x v="0"/>
    <s v="Paid"/>
    <x v="0"/>
    <n v="608"/>
    <s v="OK"/>
    <s v="Valid"/>
    <s v="Unique"/>
    <s v="West"/>
    <s v="Same Day"/>
    <s v="Valid"/>
    <x v="9"/>
    <n v="2025"/>
    <s v="Clean"/>
    <s v="OK"/>
    <s v="Valid"/>
    <s v="Ok"/>
    <s v="Ok"/>
  </r>
  <r>
    <s v="ORD-2025-10885"/>
    <d v="2025-01-18T00:00:00"/>
    <d v="2026-12-28T00:00:00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2"/>
    <n v="2411.8000000000002"/>
    <x v="884"/>
    <x v="884"/>
    <n v="1155.72"/>
    <n v="7704.786666666666"/>
    <x v="0"/>
    <s v="Paid"/>
    <x v="0"/>
    <n v="709"/>
    <s v="OK"/>
    <s v="Valid"/>
    <s v="Unique"/>
    <s v="South"/>
    <s v="Same Day"/>
    <s v="Valid"/>
    <x v="8"/>
    <n v="2025"/>
    <s v="Clean"/>
    <s v="OK"/>
    <s v="Valid"/>
    <s v="Missmatched"/>
    <s v="Missmatched"/>
  </r>
  <r>
    <s v="ORD-2024-10886"/>
    <d v="2024-05-01T00:00:00"/>
    <d v="2026-12-29T00:00:0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1157.8900000000001"/>
    <x v="885"/>
    <x v="885"/>
    <n v="467.42"/>
    <n v="1869.6799999999994"/>
    <x v="0"/>
    <s v="Paid"/>
    <x v="0"/>
    <n v="972"/>
    <s v="OK"/>
    <s v="Valid"/>
    <s v="Unique"/>
    <s v="North"/>
    <s v="Standard Class"/>
    <s v="Valid"/>
    <x v="3"/>
    <n v="2024"/>
    <s v="Clean"/>
    <s v="OK"/>
    <s v="Valid"/>
    <s v="Ok"/>
    <s v="Ok"/>
  </r>
  <r>
    <s v="ORD-2025-10887"/>
    <d v="2025-04-26T00:00:00"/>
    <d v="2026-12-30T00:00:00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"/>
    <n v="17716.52"/>
    <x v="886"/>
    <x v="886"/>
    <n v="6023.38"/>
    <n v="40155.899999999994"/>
    <x v="0"/>
    <s v="Paid"/>
    <x v="1"/>
    <n v="613"/>
    <s v="OK"/>
    <s v="Valid"/>
    <s v="Unique"/>
    <s v="South"/>
    <s v="First Class"/>
    <s v="Valid"/>
    <x v="9"/>
    <n v="2025"/>
    <s v="Clean"/>
    <s v="OK"/>
    <s v="Valid"/>
    <s v="Missmatched"/>
    <s v="Missmatched"/>
  </r>
  <r>
    <s v="ORD-2024-10888"/>
    <d v="2024-12-06T00:00:00"/>
    <d v="2026-12-31T00:00:00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0158.280000000001"/>
    <x v="887"/>
    <x v="887"/>
    <n v="6546.24"/>
    <n v="0"/>
    <x v="0"/>
    <s v="Paid"/>
    <x v="0"/>
    <n v="755"/>
    <s v="OK"/>
    <s v="Valid"/>
    <s v="Unique"/>
    <s v="South"/>
    <s v="Standard Class"/>
    <s v="Valid"/>
    <x v="7"/>
    <n v="2024"/>
    <s v="Clean"/>
    <s v="OK"/>
    <s v="Valid"/>
    <s v="Ok"/>
    <s v="Ok"/>
  </r>
  <r>
    <s v="ORD-2025-10889"/>
    <d v="2025-08-06T00:00:00"/>
    <d v="2027-01-01T00:00:00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"/>
    <n v="10779.56"/>
    <x v="888"/>
    <x v="888"/>
    <n v="1905.54"/>
    <n v="19055.439999999999"/>
    <x v="1"/>
    <s v="Refunded"/>
    <x v="1"/>
    <n v="513"/>
    <s v="OK"/>
    <s v="Valid"/>
    <s v="Unique"/>
    <s v="West"/>
    <s v="Standard Class"/>
    <s v="Valid"/>
    <x v="1"/>
    <n v="2025"/>
    <s v="Clean"/>
    <s v="OK"/>
    <s v="Valid"/>
    <s v="Missmatched"/>
    <s v="Missmatched"/>
  </r>
  <r>
    <s v="ORD-2025-10890"/>
    <d v="2025-10-03T00:00:00"/>
    <d v="2027-01-02T00:00:00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4647.91"/>
    <x v="889"/>
    <x v="889"/>
    <n v="1235.21"/>
    <n v="4940.84"/>
    <x v="0"/>
    <s v="Paid"/>
    <x v="2"/>
    <n v="456"/>
    <s v="OK"/>
    <s v="Valid"/>
    <s v="Unique"/>
    <s v="West"/>
    <s v="First Class"/>
    <s v="Valid"/>
    <x v="4"/>
    <n v="2025"/>
    <s v="Clean"/>
    <s v="OK"/>
    <s v="Valid"/>
    <s v="Ok"/>
    <s v="Ok"/>
  </r>
  <r>
    <s v="ORD-2024-10891"/>
    <d v="2024-05-15T00:00:00"/>
    <d v="2027-01-03T00:00:00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9"/>
    <n v="11646.12"/>
    <x v="890"/>
    <x v="890"/>
    <n v="2319.77"/>
    <n v="11598.84"/>
    <x v="0"/>
    <s v="Paid"/>
    <x v="0"/>
    <n v="963"/>
    <s v="OK"/>
    <s v="Valid"/>
    <s v="Unique"/>
    <s v="West"/>
    <s v="Standard Class"/>
    <s v="Valid"/>
    <x v="3"/>
    <n v="2024"/>
    <s v="Clean"/>
    <s v="OK"/>
    <s v="Valid"/>
    <s v="Missmatched"/>
    <s v="Missmatched"/>
  </r>
  <r>
    <s v="ORD-2024-10892"/>
    <d v="2024-08-10T00:00:00"/>
    <d v="2027-01-04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6419.92"/>
    <x v="891"/>
    <x v="891"/>
    <n v="4415.9399999999996"/>
    <n v="44159.45"/>
    <x v="3"/>
    <s v="Failed"/>
    <x v="1"/>
    <n v="877"/>
    <s v="OK"/>
    <s v="Valid"/>
    <s v="Unique"/>
    <s v="South"/>
    <s v="Same Day"/>
    <s v="Valid"/>
    <x v="1"/>
    <n v="2024"/>
    <s v="Clean"/>
    <s v="OK"/>
    <s v="Valid"/>
    <s v="Missmatched"/>
    <s v="Missmatched"/>
  </r>
  <r>
    <s v="ORD-2025-10893"/>
    <d v="2025-12-04T00:00:00"/>
    <d v="2027-01-05T00:00:00"/>
    <s v="CUST-5087"/>
    <s v="Isha Nair"/>
    <x v="1"/>
    <x v="1"/>
    <s v="Jharkhand"/>
    <s v="Ranchi"/>
    <x v="2"/>
    <x v="6"/>
    <s v="Elite Copiers 221"/>
    <x v="1"/>
    <n v="1"/>
    <n v="726.89"/>
    <n v="0.2"/>
    <n v="0.2"/>
    <n v="581.51"/>
    <n v="423.86"/>
    <x v="892"/>
    <x v="892"/>
    <n v="157.65"/>
    <n v="788.26000000000022"/>
    <x v="0"/>
    <s v="Paid"/>
    <x v="0"/>
    <n v="397"/>
    <s v="OK"/>
    <s v="Valid"/>
    <s v="Unique"/>
    <s v="East"/>
    <s v="Same Day"/>
    <s v="Valid"/>
    <x v="7"/>
    <n v="2025"/>
    <s v="Clean"/>
    <s v="OK"/>
    <s v="Valid"/>
    <s v="Missmatched"/>
    <s v="Missmatched"/>
  </r>
  <r>
    <s v="ORD-2024-10894"/>
    <d v="2024-06-06T00:00:00"/>
    <d v="2027-01-06T00:00:00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845.62"/>
    <x v="893"/>
    <x v="893"/>
    <n v="281.52999999999997"/>
    <n v="5630.5300000000007"/>
    <x v="0"/>
    <s v="Paid"/>
    <x v="2"/>
    <n v="944"/>
    <s v="OK"/>
    <s v="Valid"/>
    <s v="Unique"/>
    <s v="South"/>
    <s v="Second Class"/>
    <s v="Valid"/>
    <x v="10"/>
    <n v="2024"/>
    <s v="Clean"/>
    <s v="OK"/>
    <s v="Valid"/>
    <s v="Missmatched"/>
    <s v="Missmatched"/>
  </r>
  <r>
    <s v="ORD-2024-10895"/>
    <d v="2024-02-22T00:00:00"/>
    <d v="2027-01-07T00:00:00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"/>
    <n v="16711.93"/>
    <x v="894"/>
    <x v="894"/>
    <n v="8812.3700000000008"/>
    <n v="0"/>
    <x v="0"/>
    <s v="Paid"/>
    <x v="0"/>
    <n v="1050"/>
    <s v="OK"/>
    <s v="Valid"/>
    <s v="Unique"/>
    <s v="South"/>
    <s v="First Class"/>
    <s v="Valid"/>
    <x v="5"/>
    <n v="2024"/>
    <s v="Clean"/>
    <s v="OK"/>
    <s v="Valid"/>
    <s v="Ok"/>
    <s v="Ok"/>
  </r>
  <r>
    <s v="ORD-2024-10896"/>
    <d v="2024-05-11T00:00:00"/>
    <d v="2027-01-08T00:00:00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00000000002"/>
    <n v="1441.89"/>
    <x v="895"/>
    <x v="895"/>
    <n v="976.12"/>
    <n v="6507.4799999999977"/>
    <x v="2"/>
    <s v="Pending"/>
    <x v="2"/>
    <n v="972"/>
    <s v="OK"/>
    <s v="Valid"/>
    <s v="Unique"/>
    <s v="South"/>
    <s v="Same Day"/>
    <s v="Valid"/>
    <x v="3"/>
    <n v="2024"/>
    <s v="Clean"/>
    <s v="OK"/>
    <s v="Valid"/>
    <s v="Missmatched"/>
    <s v="Missmatched"/>
  </r>
  <r>
    <s v="ORD-2024-10897"/>
    <d v="2024-12-24T00:00:00"/>
    <d v="2027-01-09T00:00:00"/>
    <s v="CUST-4848"/>
    <s v="Ananya Rao"/>
    <x v="1"/>
    <x v="2"/>
    <s v="Tamil Nadu"/>
    <s v="Chennai"/>
    <x v="2"/>
    <x v="6"/>
    <s v="Max Copiers 121"/>
    <x v="0"/>
    <n v="1"/>
    <n v="3693.03"/>
    <n v="0.05"/>
    <n v="0.05"/>
    <n v="3508.38"/>
    <n v="2828.06"/>
    <x v="896"/>
    <x v="896"/>
    <n v="680.32"/>
    <n v="13606.369999999997"/>
    <x v="3"/>
    <s v="Failed"/>
    <x v="2"/>
    <n v="746"/>
    <s v="OK"/>
    <s v="Valid"/>
    <s v="Unique"/>
    <s v="South"/>
    <s v="Second Class"/>
    <s v="Valid"/>
    <x v="7"/>
    <n v="2024"/>
    <s v="Clean"/>
    <s v="OK"/>
    <s v="Valid"/>
    <s v="Missmatched"/>
    <s v="Missmatched"/>
  </r>
  <r>
    <s v="ORD-2025-10898"/>
    <d v="2025-04-29T00:00:00"/>
    <d v="2027-01-10T00:00:00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5626.43"/>
    <x v="897"/>
    <x v="897"/>
    <n v="1162.8399999999999"/>
    <n v="23256.800000000003"/>
    <x v="0"/>
    <s v="Paid"/>
    <x v="0"/>
    <n v="621"/>
    <s v="OK"/>
    <s v="Valid"/>
    <s v="Unique"/>
    <s v="North"/>
    <s v="First Class"/>
    <s v="Valid"/>
    <x v="9"/>
    <n v="2025"/>
    <s v="Clean"/>
    <s v="OK"/>
    <s v="Valid"/>
    <s v="Ok"/>
    <s v="Ok"/>
  </r>
  <r>
    <s v="ORD-2024-10899"/>
    <d v="2024-02-06T00:00:00"/>
    <d v="2027-01-11T00:00:00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3846.77"/>
    <x v="898"/>
    <x v="898"/>
    <n v="1070.67"/>
    <n v="5353.3500000000022"/>
    <x v="0"/>
    <s v="Paid"/>
    <x v="0"/>
    <n v="1070"/>
    <s v="OK"/>
    <s v="Valid"/>
    <s v="Unique"/>
    <s v="North"/>
    <s v="First Class"/>
    <s v="Valid"/>
    <x v="5"/>
    <n v="2024"/>
    <s v="Clean"/>
    <s v="OK"/>
    <s v="Valid"/>
    <s v="Ok"/>
    <s v="Ok"/>
  </r>
  <r>
    <s v="ORD-2025-10900"/>
    <d v="2025-05-27T00:00:00"/>
    <d v="2027-01-12T00:00:00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2279.41"/>
    <x v="899"/>
    <x v="899"/>
    <n v="1024.6400000000001"/>
    <n v="4098.5600000000013"/>
    <x v="3"/>
    <s v="Failed"/>
    <x v="1"/>
    <n v="595"/>
    <s v="OK"/>
    <s v="Valid"/>
    <s v="Unique"/>
    <s v="North"/>
    <s v="First Class"/>
    <s v="Valid"/>
    <x v="3"/>
    <n v="2025"/>
    <s v="Clean"/>
    <s v="OK"/>
    <s v="Valid"/>
    <s v="Ok"/>
    <s v="Ok"/>
  </r>
  <r>
    <s v="ORD-2024-10503"/>
    <d v="2024-01-04T00:00:00"/>
    <d v="2027-01-13T00:00:00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3377.1"/>
    <x v="502"/>
    <x v="502"/>
    <n v="1088.32"/>
    <n v="10883.220000000005"/>
    <x v="0"/>
    <s v="Paid"/>
    <x v="0"/>
    <n v="1105"/>
    <s v="OK"/>
    <s v="Valid"/>
    <s v="Duplicate"/>
    <s v="East"/>
    <s v="Second Class"/>
    <s v="Valid"/>
    <x v="8"/>
    <n v="2024"/>
    <s v="Clean"/>
    <s v="OK"/>
    <s v="Valid"/>
    <s v="Missmatched"/>
    <s v="Missmatched"/>
  </r>
  <r>
    <s v="ORD-2024-10599"/>
    <d v="2024-08-17T00:00:00"/>
    <d v="2027-01-14T00:00:00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2672.67"/>
    <x v="598"/>
    <x v="598"/>
    <n v="681.38"/>
    <n v="2725.5299999999988"/>
    <x v="0"/>
    <s v="Paid"/>
    <x v="0"/>
    <n v="880"/>
    <s v="OK"/>
    <s v="Valid"/>
    <s v="Duplicate"/>
    <s v="East"/>
    <s v="Same Day"/>
    <s v="Valid"/>
    <x v="1"/>
    <n v="2024"/>
    <s v="Clean"/>
    <s v="OK"/>
    <s v="Valid"/>
    <s v="Missmatched"/>
    <s v="Missmatched"/>
  </r>
  <r>
    <s v="ORD-2025-10695"/>
    <d v="2025-08-01T00:00:00"/>
    <d v="2027-01-15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9627.2099999999991"/>
    <x v="694"/>
    <x v="694"/>
    <n v="2001.81"/>
    <n v="13345.399999999998"/>
    <x v="0"/>
    <s v="Paid"/>
    <x v="0"/>
    <n v="532"/>
    <s v="OK"/>
    <s v="Valid"/>
    <s v="Duplicate"/>
    <s v="South"/>
    <s v="First Class"/>
    <s v="Valid"/>
    <x v="1"/>
    <n v="2025"/>
    <s v="Clean"/>
    <s v="OK"/>
    <s v="Valid"/>
    <s v="Ok"/>
    <s v="Ok"/>
  </r>
  <r>
    <s v="ORD-2024-10705"/>
    <d v="2024-03-13T00:00:00"/>
    <d v="2027-01-16T00:00:00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1820.34"/>
    <x v="704"/>
    <x v="704"/>
    <n v="581.45000000000005"/>
    <n v="3876.3033333333337"/>
    <x v="0"/>
    <s v="Paid"/>
    <x v="0"/>
    <n v="1039"/>
    <s v="OK"/>
    <s v="Valid"/>
    <s v="Duplicate"/>
    <s v="South"/>
    <s v="Unknown"/>
    <s v="Valid"/>
    <x v="11"/>
    <n v="2024"/>
    <s v="Clean"/>
    <s v="OK"/>
    <s v="Valid"/>
    <s v="Missmatched"/>
    <s v="Missmatched"/>
  </r>
  <r>
    <s v="ORD-2024-10277"/>
    <d v="2024-01-22T00:00:00"/>
    <d v="2027-01-17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8413.5300000000007"/>
    <x v="276"/>
    <x v="276"/>
    <n v="6848.36"/>
    <n v="-105603.82285714288"/>
    <x v="0"/>
    <s v="Paid"/>
    <x v="0"/>
    <n v="1091"/>
    <s v="OK"/>
    <s v="Valid"/>
    <s v="Duplicate"/>
    <s v="Unknown"/>
    <s v="Second Class"/>
    <s v="Invalid"/>
    <x v="8"/>
    <n v="2024"/>
    <s v="Clean"/>
    <s v="OK"/>
    <s v="Valid"/>
    <s v="Missmatched"/>
    <s v="Missmatched"/>
  </r>
  <r>
    <s v="ORD-2025-10633"/>
    <d v="2025-04-15T00:00:00"/>
    <d v="2027-01-18T00:00:00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1558.31"/>
    <x v="632"/>
    <x v="632"/>
    <n v="2694.34"/>
    <n v="0"/>
    <x v="0"/>
    <s v="Paid"/>
    <x v="0"/>
    <n v="643"/>
    <s v="OK"/>
    <s v="Valid"/>
    <s v="Duplicate"/>
    <s v="South"/>
    <s v="First Class"/>
    <s v="Valid"/>
    <x v="9"/>
    <n v="2025"/>
    <s v="Clean"/>
    <s v="OK"/>
    <s v="Valid"/>
    <s v="Ok"/>
    <s v="Ok"/>
  </r>
  <r>
    <s v="ORD-2025-10730"/>
    <d v="2025-05-17T00:00:00"/>
    <d v="2027-01-19T00:00:00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5516.52"/>
    <x v="729"/>
    <x v="729"/>
    <n v="3717.69"/>
    <n v="24784.619999999995"/>
    <x v="0"/>
    <s v="Paid"/>
    <x v="0"/>
    <n v="612"/>
    <s v="OK"/>
    <s v="Valid"/>
    <s v="Duplicate"/>
    <s v="South"/>
    <s v="Same Day"/>
    <s v="Valid"/>
    <x v="3"/>
    <n v="2025"/>
    <s v="Clean"/>
    <s v="OK"/>
    <s v="Valid"/>
    <s v="Missmatched"/>
    <s v="Missmatched"/>
  </r>
  <r>
    <s v="ORD-2024-10134"/>
    <d v="2024-12-13T00:00:00"/>
    <d v="2027-01-20T00:00:00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16875.55"/>
    <x v="133"/>
    <x v="133"/>
    <n v="6055.07"/>
    <n v="40367.133333333331"/>
    <x v="0"/>
    <s v="Paid"/>
    <x v="0"/>
    <n v="768"/>
    <s v="OK"/>
    <s v="Valid"/>
    <s v="Duplicate"/>
    <s v="West"/>
    <s v="Second Class"/>
    <s v="Valid"/>
    <x v="7"/>
    <n v="2024"/>
    <s v="Clean"/>
    <s v="OK"/>
    <s v="Valid"/>
    <s v="Ok"/>
    <s v="Ok"/>
  </r>
  <r>
    <s v="ORD-2025-10720"/>
    <d v="2025-08-09T00:00:00"/>
    <d v="2027-01-21T00:00:00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2264.92"/>
    <x v="719"/>
    <x v="719"/>
    <n v="1530.94"/>
    <n v="7654.6799999999985"/>
    <x v="0"/>
    <s v="Paid"/>
    <x v="0"/>
    <n v="530"/>
    <s v="OK"/>
    <s v="Valid"/>
    <s v="Duplicate"/>
    <s v="West"/>
    <s v="Same Day"/>
    <s v="Valid"/>
    <x v="1"/>
    <n v="2025"/>
    <s v="Clean"/>
    <s v="OK"/>
    <s v="Valid"/>
    <s v="Missmatched"/>
    <s v="Missmatched"/>
  </r>
  <r>
    <s v="ORD-2025-10400"/>
    <d v="2025-04-24T00:00:00"/>
    <d v="2027-01-22T00:00:00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1993.74"/>
    <x v="399"/>
    <x v="399"/>
    <n v="1275.1400000000001"/>
    <n v="5100.54"/>
    <x v="0"/>
    <s v="Paid"/>
    <x v="0"/>
    <n v="638"/>
    <s v="OK"/>
    <s v="Valid"/>
    <s v="Duplicate"/>
    <s v="South"/>
    <s v="Same Day"/>
    <s v="Valid"/>
    <x v="9"/>
    <n v="2025"/>
    <s v="Clean"/>
    <s v="OK"/>
    <s v="Valid"/>
    <s v="Missmatched"/>
    <s v="Missmatched"/>
  </r>
  <r>
    <s v="ORD-2024-10124"/>
    <d v="2024-05-24T00:00:00"/>
    <d v="2027-01-23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453.35"/>
    <x v="123"/>
    <x v="123"/>
    <n v="180.78"/>
    <n v="0"/>
    <x v="1"/>
    <s v="Refunded"/>
    <x v="1"/>
    <n v="974"/>
    <s v="OK"/>
    <s v="Valid"/>
    <s v="Duplicate"/>
    <s v="North"/>
    <s v="Same Day"/>
    <s v="Valid"/>
    <x v="3"/>
    <n v="2024"/>
    <s v="Clean"/>
    <s v="OK"/>
    <s v="Valid"/>
    <s v="Ok"/>
    <s v="Ok"/>
  </r>
  <r>
    <s v="ORD-2024-10251"/>
    <d v="2024-02-21T00:00:00"/>
    <d v="2027-01-24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1897.65"/>
    <x v="250"/>
    <x v="250"/>
    <n v="2441.25"/>
    <n v="16275.033333333329"/>
    <x v="2"/>
    <s v="Pending"/>
    <x v="2"/>
    <n v="1068"/>
    <s v="OK"/>
    <s v="Valid"/>
    <s v="Duplicate"/>
    <s v="East"/>
    <s v="Standard Class"/>
    <s v="Valid"/>
    <x v="5"/>
    <n v="2024"/>
    <s v="Clean"/>
    <s v="OK"/>
    <s v="Valid"/>
    <s v="Missmatched"/>
    <s v="Missmatched"/>
  </r>
  <r>
    <s v="ORD-2025-10378"/>
    <d v="2025-05-24T00:00:00"/>
    <d v="2027-01-25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1754.58"/>
    <x v="377"/>
    <x v="377"/>
    <n v="810.16"/>
    <n v="0"/>
    <x v="0"/>
    <s v="Paid"/>
    <x v="0"/>
    <n v="611"/>
    <s v="OK"/>
    <s v="Valid"/>
    <s v="Duplicate"/>
    <s v="East"/>
    <s v="Same Day"/>
    <s v="Valid"/>
    <x v="3"/>
    <n v="2025"/>
    <s v="Clean"/>
    <s v="OK"/>
    <s v="Valid"/>
    <s v="Ok"/>
    <s v="Ok"/>
  </r>
  <r>
    <s v="ORD-2024-10281"/>
    <d v="2024-12-23T00:00:00"/>
    <d v="2027-01-26T00:00:00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5165.38"/>
    <x v="280"/>
    <x v="280"/>
    <n v="3777.65"/>
    <n v="0"/>
    <x v="0"/>
    <s v="Paid"/>
    <x v="0"/>
    <n v="764"/>
    <s v="OK"/>
    <s v="Valid"/>
    <s v="Duplicate"/>
    <s v="South"/>
    <s v="Standard Class"/>
    <s v="Valid"/>
    <x v="7"/>
    <n v="2024"/>
    <s v="Clean"/>
    <s v="OK"/>
    <s v="Valid"/>
    <s v="Ok"/>
    <s v="Ok"/>
  </r>
  <r>
    <s v="ORD-2024-10713"/>
    <d v="2024-10-02T00:00:00"/>
    <d v="2027-01-27T00:00:00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6876.66"/>
    <x v="712"/>
    <x v="712"/>
    <n v="2803.36"/>
    <n v="0"/>
    <x v="0"/>
    <s v="Paid"/>
    <x v="0"/>
    <n v="847"/>
    <s v="OK"/>
    <s v="Valid"/>
    <s v="Duplicate"/>
    <s v="West"/>
    <s v="First Class"/>
    <s v="Valid"/>
    <x v="4"/>
    <n v="2024"/>
    <s v="Clean"/>
    <s v="OK"/>
    <s v="Valid"/>
    <s v="Ok"/>
    <s v="Ok"/>
  </r>
  <r>
    <s v="ORD-2025-10550"/>
    <d v="2025-11-10T00:00:00"/>
    <d v="2027-01-28T00:00:00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8272.24"/>
    <x v="549"/>
    <x v="549"/>
    <n v="1999.29"/>
    <n v="19992.890000000007"/>
    <x v="0"/>
    <s v="Paid"/>
    <x v="0"/>
    <n v="444"/>
    <s v="OK"/>
    <s v="Valid"/>
    <s v="Duplicate"/>
    <s v="South"/>
    <s v="Second Class"/>
    <s v="Valid"/>
    <x v="2"/>
    <n v="2025"/>
    <s v="Clean"/>
    <s v="OK"/>
    <s v="Valid"/>
    <s v="Missmatched"/>
    <s v="Missmatched"/>
  </r>
  <r>
    <s v="ORD-2024-10850"/>
    <d v="2024-06-03T00:00:00"/>
    <d v="2027-01-29T00:00:00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898.73"/>
    <x v="849"/>
    <x v="849"/>
    <n v="396.58"/>
    <n v="3661.9100000000003"/>
    <x v="0"/>
    <s v="Paid"/>
    <x v="0"/>
    <n v="970"/>
    <s v="OK"/>
    <s v="Valid"/>
    <s v="Duplicate"/>
    <s v="West"/>
    <s v="Standard Class"/>
    <s v="Valid"/>
    <x v="10"/>
    <n v="2024"/>
    <s v="Clean"/>
    <s v="OK"/>
    <s v="Valid"/>
    <s v="Missmatched"/>
    <s v="Missmatched"/>
  </r>
  <r>
    <s v="ORD-2025-10128"/>
    <d v="2025-01-30T00:00:00"/>
    <d v="2027-01-30T00:00:00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3518.36"/>
    <x v="127"/>
    <x v="127"/>
    <n v="2256.31"/>
    <n v="45126.2"/>
    <x v="0"/>
    <s v="Paid"/>
    <x v="0"/>
    <n v="730"/>
    <s v="OK"/>
    <s v="Valid"/>
    <s v="Duplicate"/>
    <s v="West"/>
    <s v="Second Class"/>
    <s v="Valid"/>
    <x v="8"/>
    <n v="2025"/>
    <s v="Clean"/>
    <s v="OK"/>
    <s v="Valid"/>
    <s v="Ok"/>
    <s v="Ok"/>
  </r>
  <r>
    <s v="ORD-2025-10677"/>
    <d v="2025-11-09T00:00:00"/>
    <d v="2027-01-31T00:00:00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14920.87"/>
    <x v="676"/>
    <x v="676"/>
    <n v="5375.83"/>
    <n v="35838.86333333332"/>
    <x v="0"/>
    <s v="Paid"/>
    <x v="0"/>
    <n v="448"/>
    <s v="OK"/>
    <s v="Valid"/>
    <s v="Duplicate"/>
    <s v="North"/>
    <s v="Same Day"/>
    <s v="Valid"/>
    <x v="2"/>
    <n v="2025"/>
    <s v="Clean"/>
    <s v="OK"/>
    <s v="Valid"/>
    <s v="Missmatched"/>
    <s v="Missmatched"/>
  </r>
  <r>
    <s v="ORD-2025-10007"/>
    <d v="2025-10-04T00:00:00"/>
    <d v="2027-02-01T00:00:00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4727.25"/>
    <x v="6"/>
    <x v="6"/>
    <n v="1120.31"/>
    <n v="7468.7199999999939"/>
    <x v="0"/>
    <s v="Paid"/>
    <x v="0"/>
    <n v="485"/>
    <s v="OK"/>
    <s v="Valid"/>
    <s v="Duplicate"/>
    <s v="East"/>
    <s v="Standard Class"/>
    <s v="Valid"/>
    <x v="4"/>
    <n v="2025"/>
    <s v="Clean"/>
    <s v="OK"/>
    <s v="Valid"/>
    <s v="Missmatched"/>
    <s v="Missmatched"/>
  </r>
  <r>
    <s v="ORD-2024-10332"/>
    <d v="2024-12-04T00:00:00"/>
    <d v="2027-02-02T00:00:00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989.89"/>
    <n v="6477.37"/>
    <x v="331"/>
    <x v="331"/>
    <n v="4265.2700000000004"/>
    <n v="0"/>
    <x v="0"/>
    <s v="Paid"/>
    <x v="0"/>
    <n v="790"/>
    <s v="OK"/>
    <s v="Valid"/>
    <s v="Duplicate"/>
    <s v="East"/>
    <s v="Second Class"/>
    <s v="Valid"/>
    <x v="7"/>
    <n v="2024"/>
    <s v="Clean"/>
    <s v="OK"/>
    <s v="Valid"/>
    <s v="Missmatched"/>
    <s v="Ok"/>
  </r>
  <r>
    <s v="ORD-2025-10091"/>
    <d v="2025-08-24T00:00:00"/>
    <d v="2027-02-03T00:00:00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549.44"/>
    <n v="5586.28"/>
    <x v="90"/>
    <x v="90"/>
    <n v="3858.82"/>
    <n v="25725.453333333335"/>
    <x v="0"/>
    <s v="Paid"/>
    <x v="2"/>
    <n v="528"/>
    <s v="OK"/>
    <s v="Valid"/>
    <s v="Duplicate"/>
    <s v="East"/>
    <s v="First Class"/>
    <s v="Valid"/>
    <x v="1"/>
    <n v="2025"/>
    <s v="Clean"/>
    <s v="OK"/>
    <s v="Valid"/>
    <s v="Missmatched"/>
    <s v="Missmatched"/>
  </r>
  <r>
    <s v="ORD-2025-10374"/>
    <d v="2025-04-13T00:00:00"/>
    <d v="2027-02-04T00:00:0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348.43"/>
    <n v="8595.3700000000008"/>
    <x v="373"/>
    <x v="373"/>
    <n v="1472.75"/>
    <n v="0"/>
    <x v="0"/>
    <s v="Paid"/>
    <x v="2"/>
    <n v="662"/>
    <s v="OK"/>
    <s v="Valid"/>
    <s v="Duplicate"/>
    <s v="North"/>
    <s v="Second Class"/>
    <s v="Valid"/>
    <x v="9"/>
    <n v="2025"/>
    <s v="Clean"/>
    <s v="OK"/>
    <s v="Valid"/>
    <s v="Missmatched"/>
    <s v="Ok"/>
  </r>
  <r>
    <s v="ORD-2025-10225"/>
    <d v="2025-02-10T00:00:00"/>
    <d v="2027-02-05T00:00:00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6682.92"/>
    <x v="224"/>
    <x v="224"/>
    <n v="5151"/>
    <n v="20604"/>
    <x v="0"/>
    <s v="Paid"/>
    <x v="2"/>
    <n v="725"/>
    <s v="OK"/>
    <s v="Valid"/>
    <s v="Duplicate"/>
    <s v="North"/>
    <s v="Standard Class"/>
    <s v="Valid"/>
    <x v="5"/>
    <n v="2025"/>
    <s v="Clean"/>
    <s v="OK"/>
    <s v="Valid"/>
    <s v="Missmatched"/>
    <s v="Ok"/>
  </r>
  <r>
    <s v="ORD-2025-10315"/>
    <d v="2025-05-18T00:00:00"/>
    <d v="2027-02-06T00:00:00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589.37"/>
    <n v="5376.17"/>
    <x v="314"/>
    <x v="314"/>
    <n v="1109.19"/>
    <n v="7394.6266666666634"/>
    <x v="3"/>
    <s v="Failed"/>
    <x v="0"/>
    <n v="629"/>
    <s v="OK"/>
    <s v="Valid"/>
    <s v="Duplicate"/>
    <s v="West"/>
    <s v="Standard Class"/>
    <s v="Valid"/>
    <x v="3"/>
    <n v="2025"/>
    <s v="Clean"/>
    <s v="OK"/>
    <s v="Valid"/>
    <s v="Missmatched"/>
    <s v="Missmatched"/>
  </r>
  <r>
    <s v="ORD-2025-10171"/>
    <d v="2025-09-07T00:00:00"/>
    <d v="2027-02-07T00:00:00"/>
    <s v="CUST-3734"/>
    <s v="Rohan Mehta"/>
    <x v="2"/>
    <x v="1"/>
    <s v="Bihar"/>
    <s v="Patna"/>
    <x v="2"/>
    <x v="6"/>
    <s v="Eco Copiers 102"/>
    <x v="3"/>
    <n v="3"/>
    <n v="1711.32"/>
    <n v="0"/>
    <n v="0"/>
    <n v="5206.53"/>
    <n v="3930"/>
    <x v="170"/>
    <x v="170"/>
    <n v="1203.96"/>
    <n v="0"/>
    <x v="0"/>
    <s v="Paid"/>
    <x v="2"/>
    <n v="518"/>
    <s v="OK"/>
    <s v="Valid"/>
    <s v="Duplicate"/>
    <s v="East"/>
    <s v="Standard Class"/>
    <s v="Valid"/>
    <x v="6"/>
    <n v="2025"/>
    <s v="Clean"/>
    <s v="OK"/>
    <s v="Valid"/>
    <s v="Missmatched"/>
    <s v="Ok"/>
  </r>
  <r>
    <s v="ORD-2024-10424"/>
    <d v="2024-02-20T00:00:00"/>
    <d v="2027-02-08T00:00:00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322.9"/>
    <n v="17940.43"/>
    <x v="423"/>
    <x v="423"/>
    <n v="9270.6"/>
    <n v="46353.010000000009"/>
    <x v="0"/>
    <s v="Paid"/>
    <x v="2"/>
    <n v="1084"/>
    <s v="OK"/>
    <s v="Valid"/>
    <s v="Duplicate"/>
    <s v="South"/>
    <s v="First Class"/>
    <s v="Valid"/>
    <x v="5"/>
    <n v="2024"/>
    <s v="Clean"/>
    <s v="OK"/>
    <s v="Valid"/>
    <s v="Missmatched"/>
    <s v="Missmatched"/>
  </r>
  <r>
    <s v="ORD-2025-10572"/>
    <d v="2025-10-02T00:00:00"/>
    <d v="2027-02-09T00:00:00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443.63"/>
    <n v="13240.21"/>
    <x v="571"/>
    <x v="571"/>
    <n v="8141.24"/>
    <n v="0"/>
    <x v="3"/>
    <s v="Failed"/>
    <x v="0"/>
    <n v="495"/>
    <s v="OK"/>
    <s v="Valid"/>
    <s v="Duplicate"/>
    <s v="North"/>
    <s v="Unknown"/>
    <s v="Valid"/>
    <x v="4"/>
    <n v="2025"/>
    <s v="Clean"/>
    <s v="OK"/>
    <s v="Valid"/>
    <s v="Missmatched"/>
    <s v="Ok"/>
  </r>
  <r>
    <s v="ORD-2024-10143"/>
    <d v="2024-03-30T00:00:00"/>
    <d v="2027-02-10T00:00:00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4099.6899999999996"/>
    <n v="2769.26"/>
    <x v="142"/>
    <x v="142"/>
    <n v="1087.78"/>
    <n v="7251.899999999996"/>
    <x v="0"/>
    <s v="Paid"/>
    <x v="2"/>
    <n v="1047"/>
    <s v="OK"/>
    <s v="Valid"/>
    <s v="Duplicate"/>
    <s v="North"/>
    <s v="Second Class"/>
    <s v="Valid"/>
    <x v="11"/>
    <n v="2024"/>
    <s v="Clean"/>
    <s v="OK"/>
    <s v="Valid"/>
    <s v="Missmatched"/>
    <s v="Missmatched"/>
  </r>
  <r>
    <s v="ORD-2024-10273"/>
    <d v="2024-08-18T00:00:00"/>
    <d v="2027-02-11T00:00:00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797.79"/>
    <n v="2191.5"/>
    <x v="272"/>
    <x v="272"/>
    <n v="1213.48"/>
    <n v="13189.230000000001"/>
    <x v="0"/>
    <s v="Paid"/>
    <x v="2"/>
    <n v="907"/>
    <s v="OK"/>
    <s v="Valid"/>
    <s v="Duplicate"/>
    <s v="South"/>
    <s v="First Class"/>
    <s v="Valid"/>
    <x v="1"/>
    <n v="2024"/>
    <s v="Clean"/>
    <s v="OK"/>
    <s v="Valid"/>
    <s v="Missmatched"/>
    <s v="Missmatched"/>
  </r>
  <r>
    <s v="ORD-2024-10124"/>
    <d v="2024-05-24T00:00:00"/>
    <d v="2027-02-12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808.67"/>
    <n v="453.35"/>
    <x v="123"/>
    <x v="123"/>
    <n v="180.78"/>
    <n v="0"/>
    <x v="1"/>
    <s v="Refunded"/>
    <x v="2"/>
    <n v="994"/>
    <s v="OK"/>
    <s v="Valid"/>
    <s v="Duplicate"/>
    <s v="North"/>
    <s v="Same Day"/>
    <s v="Valid"/>
    <x v="3"/>
    <n v="2024"/>
    <s v="Clean"/>
    <s v="OK"/>
    <s v="Valid"/>
    <s v="Missmatched"/>
    <s v="Ok"/>
  </r>
  <r>
    <s v="ORD-2025-10336"/>
    <d v="2025-06-16T00:00:00"/>
    <d v="2027-02-13T00:00:00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6829.43"/>
    <x v="335"/>
    <x v="335"/>
    <n v="4751.87"/>
    <n v="47518.69"/>
    <x v="0"/>
    <s v="Paid"/>
    <x v="2"/>
    <n v="607"/>
    <s v="OK"/>
    <s v="Valid"/>
    <s v="Duplicate"/>
    <s v="West"/>
    <s v="First Class"/>
    <s v="Valid"/>
    <x v="10"/>
    <n v="2025"/>
    <s v="Clean"/>
    <s v="OK"/>
    <s v="Valid"/>
    <s v="Missmatched"/>
    <s v="Missmatch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AB0D5-2B84-42A3-B02E-540768657581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40">
    <pivotField showAll="0"/>
    <pivotField numFmtId="166" showAll="0"/>
    <pivotField numFmtId="14"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umSubtotal="1">
      <items count="901">
        <item x="219"/>
        <item x="713"/>
        <item x="2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552"/>
        <item x="115"/>
        <item x="724"/>
        <item x="330"/>
        <item x="267"/>
        <item x="816"/>
        <item x="320"/>
        <item x="108"/>
        <item x="584"/>
        <item x="498"/>
        <item x="781"/>
        <item x="130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526"/>
        <item x="782"/>
        <item x="223"/>
        <item x="506"/>
        <item x="241"/>
        <item x="396"/>
        <item x="105"/>
        <item x="6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324"/>
        <item x="290"/>
        <item x="481"/>
        <item x="679"/>
        <item x="823"/>
        <item x="173"/>
        <item x="745"/>
        <item x="207"/>
        <item x="387"/>
        <item x="572"/>
        <item x="184"/>
        <item x="651"/>
        <item x="438"/>
        <item x="277"/>
        <item x="283"/>
        <item x="420"/>
        <item x="765"/>
        <item x="856"/>
        <item x="442"/>
        <item x="472"/>
        <item x="428"/>
        <item x="597"/>
        <item x="851"/>
        <item x="362"/>
        <item x="577"/>
        <item x="119"/>
        <item x="706"/>
        <item x="539"/>
        <item x="2"/>
        <item x="425"/>
        <item x="868"/>
        <item x="269"/>
        <item x="537"/>
        <item x="491"/>
        <item x="804"/>
        <item x="298"/>
        <item x="385"/>
        <item x="226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479"/>
        <item x="154"/>
        <item x="743"/>
        <item x="516"/>
        <item x="409"/>
        <item x="494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7"/>
        <item x="43"/>
        <item x="805"/>
        <item x="143"/>
        <item x="30"/>
        <item x="293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685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21"/>
        <item x="770"/>
        <item x="459"/>
        <item x="690"/>
        <item x="397"/>
        <item x="896"/>
        <item x="272"/>
        <item x="844"/>
        <item x="696"/>
        <item x="814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839"/>
        <item x="416"/>
        <item x="96"/>
        <item x="612"/>
        <item x="142"/>
        <item x="114"/>
        <item x="667"/>
        <item x="69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14"/>
        <item x="711"/>
        <item x="210"/>
        <item x="279"/>
        <item x="758"/>
        <item x="860"/>
        <item x="205"/>
        <item x="37"/>
        <item x="80"/>
        <item x="815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486"/>
        <item x="867"/>
        <item x="686"/>
        <item x="566"/>
        <item x="611"/>
        <item x="284"/>
        <item x="718"/>
        <item x="253"/>
        <item x="515"/>
        <item x="160"/>
        <item x="124"/>
        <item x="63"/>
        <item x="474"/>
        <item x="221"/>
        <item x="898"/>
        <item x="39"/>
        <item x="359"/>
        <item x="777"/>
        <item x="648"/>
        <item x="669"/>
        <item x="637"/>
        <item x="500"/>
        <item x="53"/>
        <item x="170"/>
        <item x="225"/>
        <item x="180"/>
        <item x="628"/>
        <item x="574"/>
        <item x="182"/>
        <item x="621"/>
        <item x="808"/>
        <item x="81"/>
        <item x="345"/>
        <item x="169"/>
        <item x="258"/>
        <item x="254"/>
        <item x="615"/>
        <item x="563"/>
        <item x="242"/>
        <item x="665"/>
        <item x="395"/>
        <item x="127"/>
        <item x="523"/>
        <item x="201"/>
        <item x="6"/>
        <item x="152"/>
        <item x="889"/>
        <item x="406"/>
        <item x="762"/>
        <item x="513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371"/>
        <item x="433"/>
        <item x="670"/>
        <item x="431"/>
        <item x="364"/>
        <item x="88"/>
        <item x="23"/>
        <item x="301"/>
        <item x="118"/>
        <item x="840"/>
        <item x="641"/>
        <item x="188"/>
        <item x="424"/>
        <item x="601"/>
        <item x="257"/>
        <item x="314"/>
        <item x="99"/>
        <item x="287"/>
        <item x="829"/>
        <item x="468"/>
        <item x="436"/>
        <item x="620"/>
        <item x="496"/>
        <item x="34"/>
        <item x="778"/>
        <item x="400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337"/>
        <item x="408"/>
        <item x="73"/>
        <item x="850"/>
        <item x="735"/>
        <item x="794"/>
        <item x="1"/>
        <item x="508"/>
        <item x="25"/>
        <item x="194"/>
        <item x="809"/>
        <item x="710"/>
        <item x="288"/>
        <item x="453"/>
        <item x="42"/>
        <item x="842"/>
        <item x="761"/>
        <item x="586"/>
        <item x="305"/>
        <item x="341"/>
        <item x="17"/>
        <item x="882"/>
        <item x="372"/>
        <item x="485"/>
        <item x="346"/>
        <item x="151"/>
        <item x="155"/>
        <item x="638"/>
        <item x="389"/>
        <item x="774"/>
        <item x="682"/>
        <item x="700"/>
        <item x="103"/>
        <item x="378"/>
        <item x="332"/>
        <item x="401"/>
        <item x="663"/>
        <item x="683"/>
        <item x="75"/>
        <item x="104"/>
        <item x="407"/>
        <item x="846"/>
        <item x="379"/>
        <item x="865"/>
        <item x="106"/>
        <item x="551"/>
        <item x="726"/>
        <item x="801"/>
        <item x="709"/>
        <item x="769"/>
        <item x="826"/>
        <item x="817"/>
        <item x="289"/>
        <item x="174"/>
        <item x="746"/>
        <item x="22"/>
        <item x="3"/>
        <item x="707"/>
        <item x="380"/>
        <item x="518"/>
        <item x="751"/>
        <item x="624"/>
        <item x="510"/>
        <item x="854"/>
        <item x="692"/>
        <item x="771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741"/>
        <item x="376"/>
        <item x="570"/>
        <item x="249"/>
        <item x="280"/>
        <item x="369"/>
        <item x="507"/>
        <item x="117"/>
        <item x="742"/>
        <item x="191"/>
        <item x="78"/>
        <item x="51"/>
        <item x="634"/>
        <item x="565"/>
        <item x="729"/>
        <item x="740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220"/>
        <item x="179"/>
        <item x="535"/>
        <item x="195"/>
        <item x="11"/>
        <item x="662"/>
        <item x="796"/>
        <item x="452"/>
        <item x="712"/>
        <item x="291"/>
        <item x="542"/>
        <item x="245"/>
        <item x="199"/>
        <item x="755"/>
        <item x="16"/>
        <item x="499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382"/>
        <item x="622"/>
        <item x="95"/>
        <item x="503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656"/>
        <item x="335"/>
        <item x="858"/>
        <item x="460"/>
        <item x="694"/>
        <item x="271"/>
        <item x="752"/>
        <item x="693"/>
        <item x="224"/>
        <item x="878"/>
        <item x="477"/>
        <item x="517"/>
        <item x="350"/>
        <item x="347"/>
        <item x="594"/>
        <item x="779"/>
        <item x="32"/>
        <item x="672"/>
        <item x="156"/>
        <item x="744"/>
        <item x="857"/>
        <item x="756"/>
        <item x="342"/>
        <item x="107"/>
        <item x="313"/>
        <item x="521"/>
        <item x="52"/>
        <item x="238"/>
        <item x="618"/>
        <item x="888"/>
        <item x="255"/>
        <item x="830"/>
        <item x="183"/>
        <item x="200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262"/>
        <item x="760"/>
        <item x="24"/>
        <item x="72"/>
        <item x="723"/>
        <item x="721"/>
        <item x="365"/>
        <item x="797"/>
        <item x="527"/>
        <item x="673"/>
        <item x="213"/>
        <item x="19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493"/>
        <item x="413"/>
        <item x="798"/>
        <item x="450"/>
        <item x="329"/>
        <item x="688"/>
        <item x="325"/>
        <item x="163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81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603"/>
        <item x="449"/>
        <item x="871"/>
        <item x="558"/>
        <item x="536"/>
        <item x="68"/>
        <item x="715"/>
        <item x="457"/>
        <item x="658"/>
        <item x="386"/>
        <item x="475"/>
        <item x="676"/>
        <item x="444"/>
        <item x="614"/>
        <item x="590"/>
        <item x="4"/>
        <item x="240"/>
        <item x="339"/>
        <item x="514"/>
        <item x="312"/>
        <item x="237"/>
        <item x="89"/>
        <item x="678"/>
        <item x="800"/>
        <item x="93"/>
        <item x="354"/>
        <item x="571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276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894"/>
        <item x="146"/>
        <item x="478"/>
        <item x="222"/>
        <item x="795"/>
        <item x="602"/>
        <item x="643"/>
        <item x="13"/>
        <item x="338"/>
        <item x="427"/>
        <item x="94"/>
        <item x="831"/>
        <item x="653"/>
        <item x="750"/>
        <item x="44"/>
        <item x="776"/>
        <item x="211"/>
        <item x="426"/>
        <item x="423"/>
        <item x="394"/>
        <item x="585"/>
        <item x="593"/>
        <item x="698"/>
        <item x="31"/>
        <item x="727"/>
        <item x="48"/>
        <item x="307"/>
        <item x="315"/>
        <item x="528"/>
        <item x="874"/>
        <item x="45"/>
        <item x="189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361"/>
        <item x="162"/>
        <item x="92"/>
        <item x="392"/>
        <item x="843"/>
        <item x="285"/>
        <item x="832"/>
        <item t="sum"/>
      </items>
    </pivotField>
    <pivotField dataField="1" showAll="0" sumSubtotal="1">
      <items count="901">
        <item x="500"/>
        <item x="117"/>
        <item x="191"/>
        <item x="238"/>
        <item x="605"/>
        <item x="481"/>
        <item x="293"/>
        <item x="707"/>
        <item x="305"/>
        <item x="685"/>
        <item x="679"/>
        <item x="552"/>
        <item x="320"/>
        <item x="2"/>
        <item x="219"/>
        <item x="533"/>
        <item x="666"/>
        <item x="820"/>
        <item x="246"/>
        <item x="212"/>
        <item x="713"/>
        <item x="531"/>
        <item x="847"/>
        <item x="448"/>
        <item x="29"/>
        <item x="489"/>
        <item x="543"/>
        <item x="232"/>
        <item x="827"/>
        <item x="319"/>
        <item x="214"/>
        <item x="432"/>
        <item x="122"/>
        <item x="206"/>
        <item x="391"/>
        <item x="203"/>
        <item x="404"/>
        <item x="580"/>
        <item x="892"/>
        <item x="60"/>
        <item x="703"/>
        <item x="123"/>
        <item x="57"/>
        <item x="687"/>
        <item x="659"/>
        <item x="61"/>
        <item x="265"/>
        <item x="130"/>
        <item x="12"/>
        <item x="562"/>
        <item x="548"/>
        <item x="836"/>
        <item x="848"/>
        <item x="105"/>
        <item x="267"/>
        <item x="589"/>
        <item x="498"/>
        <item x="573"/>
        <item x="584"/>
        <item x="396"/>
        <item x="781"/>
        <item x="724"/>
        <item x="85"/>
        <item x="483"/>
        <item x="851"/>
        <item x="185"/>
        <item x="115"/>
        <item x="83"/>
        <item x="330"/>
        <item x="560"/>
        <item x="893"/>
        <item x="625"/>
        <item x="816"/>
        <item x="362"/>
        <item x="324"/>
        <item x="108"/>
        <item x="275"/>
        <item x="782"/>
        <item x="298"/>
        <item x="150"/>
        <item x="640"/>
        <item x="173"/>
        <item x="767"/>
        <item x="356"/>
        <item x="506"/>
        <item x="473"/>
        <item x="208"/>
        <item x="119"/>
        <item x="375"/>
        <item x="780"/>
        <item x="654"/>
        <item x="674"/>
        <item x="695"/>
        <item x="749"/>
        <item x="204"/>
        <item x="435"/>
        <item x="132"/>
        <item x="387"/>
        <item x="730"/>
        <item x="476"/>
        <item x="804"/>
        <item x="805"/>
        <item x="198"/>
        <item x="438"/>
        <item x="497"/>
        <item x="419"/>
        <item x="754"/>
        <item x="537"/>
        <item x="885"/>
        <item x="639"/>
        <item x="70"/>
        <item x="664"/>
        <item x="743"/>
        <item x="619"/>
        <item x="303"/>
        <item x="646"/>
        <item x="784"/>
        <item x="564"/>
        <item x="561"/>
        <item x="33"/>
        <item x="190"/>
        <item x="883"/>
        <item x="241"/>
        <item x="223"/>
        <item x="134"/>
        <item x="668"/>
        <item x="116"/>
        <item x="469"/>
        <item x="168"/>
        <item x="218"/>
        <item x="425"/>
        <item x="111"/>
        <item x="783"/>
        <item x="706"/>
        <item x="526"/>
        <item x="411"/>
        <item x="120"/>
        <item x="368"/>
        <item x="412"/>
        <item x="633"/>
        <item x="227"/>
        <item x="567"/>
        <item x="704"/>
        <item x="539"/>
        <item x="597"/>
        <item x="579"/>
        <item x="853"/>
        <item x="166"/>
        <item x="269"/>
        <item x="55"/>
        <item x="765"/>
        <item x="7"/>
        <item x="838"/>
        <item x="439"/>
        <item x="74"/>
        <item x="462"/>
        <item x="516"/>
        <item x="131"/>
        <item x="84"/>
        <item x="357"/>
        <item x="786"/>
        <item x="807"/>
        <item x="261"/>
        <item x="587"/>
        <item x="690"/>
        <item x="398"/>
        <item x="409"/>
        <item x="745"/>
        <item x="896"/>
        <item x="598"/>
        <item x="154"/>
        <item x="290"/>
        <item x="661"/>
        <item x="420"/>
        <item x="494"/>
        <item x="799"/>
        <item x="393"/>
        <item x="463"/>
        <item x="520"/>
        <item x="667"/>
        <item x="252"/>
        <item x="311"/>
        <item x="849"/>
        <item x="491"/>
        <item x="161"/>
        <item x="657"/>
        <item x="577"/>
        <item x="753"/>
        <item x="823"/>
        <item x="472"/>
        <item x="160"/>
        <item x="428"/>
        <item x="758"/>
        <item x="196"/>
        <item x="207"/>
        <item x="184"/>
        <item x="114"/>
        <item x="64"/>
        <item x="572"/>
        <item x="109"/>
        <item x="308"/>
        <item x="283"/>
        <item x="421"/>
        <item x="28"/>
        <item x="651"/>
        <item x="490"/>
        <item x="575"/>
        <item x="611"/>
        <item x="377"/>
        <item x="113"/>
        <item x="277"/>
        <item x="728"/>
        <item x="164"/>
        <item x="748"/>
        <item x="442"/>
        <item x="867"/>
        <item x="868"/>
        <item x="239"/>
        <item x="385"/>
        <item x="566"/>
        <item x="599"/>
        <item x="205"/>
        <item x="856"/>
        <item x="627"/>
        <item x="157"/>
        <item x="702"/>
        <item x="226"/>
        <item x="445"/>
        <item x="492"/>
        <item x="583"/>
        <item x="50"/>
        <item x="825"/>
        <item x="568"/>
        <item x="91"/>
        <item x="738"/>
        <item x="810"/>
        <item x="86"/>
        <item x="88"/>
        <item x="814"/>
        <item x="37"/>
        <item x="321"/>
        <item x="790"/>
        <item x="416"/>
        <item x="772"/>
        <item x="877"/>
        <item x="430"/>
        <item x="270"/>
        <item x="737"/>
        <item x="443"/>
        <item x="834"/>
        <item x="77"/>
        <item x="225"/>
        <item x="628"/>
        <item x="895"/>
        <item x="5"/>
        <item x="808"/>
        <item x="736"/>
        <item x="855"/>
        <item x="333"/>
        <item x="610"/>
        <item x="785"/>
        <item x="49"/>
        <item x="128"/>
        <item x="899"/>
        <item x="806"/>
        <item x="778"/>
        <item x="147"/>
        <item x="482"/>
        <item x="465"/>
        <item x="850"/>
        <item x="26"/>
        <item x="716"/>
        <item x="718"/>
        <item x="792"/>
        <item x="898"/>
        <item x="770"/>
        <item x="563"/>
        <item x="345"/>
        <item x="30"/>
        <item x="675"/>
        <item x="813"/>
        <item x="142"/>
        <item x="502"/>
        <item x="811"/>
        <item x="314"/>
        <item x="351"/>
        <item x="6"/>
        <item x="735"/>
        <item x="815"/>
        <item x="762"/>
        <item x="141"/>
        <item x="248"/>
        <item x="582"/>
        <item x="523"/>
        <item x="103"/>
        <item x="143"/>
        <item x="884"/>
        <item x="468"/>
        <item x="316"/>
        <item x="897"/>
        <item x="228"/>
        <item x="479"/>
        <item x="210"/>
        <item x="268"/>
        <item x="607"/>
        <item x="434"/>
        <item x="384"/>
        <item x="217"/>
        <item x="170"/>
        <item x="433"/>
        <item x="889"/>
        <item x="554"/>
        <item x="289"/>
        <item x="251"/>
        <item x="258"/>
        <item x="399"/>
        <item x="586"/>
        <item x="402"/>
        <item x="341"/>
        <item x="437"/>
        <item x="844"/>
        <item x="43"/>
        <item x="272"/>
        <item x="397"/>
        <item x="615"/>
        <item x="96"/>
        <item x="221"/>
        <item x="574"/>
        <item x="383"/>
        <item x="18"/>
        <item x="495"/>
        <item x="124"/>
        <item x="459"/>
        <item x="604"/>
        <item x="282"/>
        <item x="257"/>
        <item x="455"/>
        <item x="279"/>
        <item x="556"/>
        <item x="542"/>
        <item x="21"/>
        <item x="327"/>
        <item x="337"/>
        <item x="422"/>
        <item x="376"/>
        <item x="54"/>
        <item x="696"/>
        <item x="65"/>
        <item x="14"/>
        <item x="689"/>
        <item x="242"/>
        <item x="710"/>
        <item x="373"/>
        <item x="135"/>
        <item x="188"/>
        <item x="152"/>
        <item x="486"/>
        <item x="751"/>
        <item x="3"/>
        <item x="719"/>
        <item x="777"/>
        <item x="243"/>
        <item x="192"/>
        <item x="648"/>
        <item x="39"/>
        <item x="461"/>
        <item x="358"/>
        <item x="511"/>
        <item x="11"/>
        <item x="284"/>
        <item x="510"/>
        <item x="879"/>
        <item x="22"/>
        <item x="158"/>
        <item x="822"/>
        <item x="395"/>
        <item x="302"/>
        <item x="839"/>
        <item x="278"/>
        <item x="612"/>
        <item x="699"/>
        <item x="840"/>
        <item x="431"/>
        <item x="363"/>
        <item x="620"/>
        <item x="95"/>
        <item x="709"/>
        <item x="234"/>
        <item x="630"/>
        <item x="711"/>
        <item x="182"/>
        <item x="51"/>
        <item x="756"/>
        <item x="126"/>
        <item x="803"/>
        <item x="80"/>
        <item x="821"/>
        <item x="313"/>
        <item x="63"/>
        <item x="332"/>
        <item x="99"/>
        <item x="722"/>
        <item x="471"/>
        <item x="480"/>
        <item x="681"/>
        <item x="347"/>
        <item x="155"/>
        <item x="513"/>
        <item x="873"/>
        <item x="487"/>
        <item x="669"/>
        <item x="860"/>
        <item x="400"/>
        <item x="518"/>
        <item x="701"/>
        <item x="110"/>
        <item x="744"/>
        <item x="757"/>
        <item x="194"/>
        <item x="888"/>
        <item x="451"/>
        <item x="118"/>
        <item x="253"/>
        <item x="869"/>
        <item x="286"/>
        <item x="755"/>
        <item x="202"/>
        <item x="23"/>
        <item x="291"/>
        <item x="297"/>
        <item x="637"/>
        <item x="600"/>
        <item x="52"/>
        <item x="549"/>
        <item x="694"/>
        <item x="287"/>
        <item x="829"/>
        <item x="857"/>
        <item x="359"/>
        <item x="746"/>
        <item x="169"/>
        <item x="195"/>
        <item x="801"/>
        <item x="686"/>
        <item x="863"/>
        <item x="271"/>
        <item x="665"/>
        <item x="40"/>
        <item x="27"/>
        <item x="382"/>
        <item x="485"/>
        <item x="244"/>
        <item x="618"/>
        <item x="264"/>
        <item x="553"/>
        <item x="697"/>
        <item x="140"/>
        <item x="350"/>
        <item x="621"/>
        <item x="787"/>
        <item x="507"/>
        <item x="424"/>
        <item x="862"/>
        <item x="474"/>
        <item x="369"/>
        <item x="535"/>
        <item x="565"/>
        <item x="364"/>
        <item x="436"/>
        <item x="407"/>
        <item x="594"/>
        <item x="82"/>
        <item x="230"/>
        <item x="127"/>
        <item x="406"/>
        <item x="78"/>
        <item x="180"/>
        <item x="809"/>
        <item x="53"/>
        <item x="106"/>
        <item x="104"/>
        <item x="662"/>
        <item x="401"/>
        <item x="34"/>
        <item x="389"/>
        <item x="842"/>
        <item x="890"/>
        <item x="865"/>
        <item x="9"/>
        <item x="555"/>
        <item x="151"/>
        <item x="209"/>
        <item x="25"/>
        <item x="415"/>
        <item x="846"/>
        <item x="683"/>
        <item x="178"/>
        <item x="864"/>
        <item x="1"/>
        <item x="794"/>
        <item x="66"/>
        <item x="81"/>
        <item x="250"/>
        <item x="761"/>
        <item x="247"/>
        <item x="453"/>
        <item x="254"/>
        <item x="372"/>
        <item x="102"/>
        <item x="477"/>
        <item x="187"/>
        <item x="408"/>
        <item x="288"/>
        <item x="878"/>
        <item x="388"/>
        <item x="606"/>
        <item x="75"/>
        <item x="551"/>
        <item x="570"/>
        <item x="880"/>
        <item x="24"/>
        <item x="626"/>
        <item x="534"/>
        <item x="213"/>
        <item x="148"/>
        <item x="301"/>
        <item x="76"/>
        <item x="410"/>
        <item x="41"/>
        <item x="692"/>
        <item x="470"/>
        <item x="670"/>
        <item x="826"/>
        <item x="517"/>
        <item x="512"/>
        <item x="734"/>
        <item x="515"/>
        <item x="726"/>
        <item x="632"/>
        <item x="390"/>
        <item x="488"/>
        <item x="484"/>
        <item x="36"/>
        <item x="569"/>
        <item x="73"/>
        <item x="740"/>
        <item x="318"/>
        <item x="680"/>
        <item x="882"/>
        <item x="328"/>
        <item x="720"/>
        <item x="636"/>
        <item x="830"/>
        <item x="712"/>
        <item x="623"/>
        <item x="378"/>
        <item x="641"/>
        <item x="266"/>
        <item x="201"/>
        <item x="601"/>
        <item x="837"/>
        <item x="504"/>
        <item x="541"/>
        <item x="56"/>
        <item x="688"/>
        <item x="677"/>
        <item x="17"/>
        <item x="649"/>
        <item x="42"/>
        <item x="304"/>
        <item x="322"/>
        <item x="366"/>
        <item x="496"/>
        <item x="624"/>
        <item x="769"/>
        <item x="774"/>
        <item x="129"/>
        <item x="700"/>
        <item x="4"/>
        <item x="638"/>
        <item x="229"/>
        <item x="742"/>
        <item x="508"/>
        <item x="872"/>
        <item x="379"/>
        <item x="797"/>
        <item x="371"/>
        <item x="464"/>
        <item x="163"/>
        <item x="0"/>
        <item x="458"/>
        <item x="69"/>
        <item x="854"/>
        <item x="773"/>
        <item x="741"/>
        <item x="642"/>
        <item x="249"/>
        <item x="521"/>
        <item x="708"/>
        <item x="197"/>
        <item x="644"/>
        <item x="752"/>
        <item x="107"/>
        <item x="457"/>
        <item x="796"/>
        <item x="721"/>
        <item x="193"/>
        <item x="595"/>
        <item x="768"/>
        <item x="216"/>
        <item x="802"/>
        <item x="544"/>
        <item x="779"/>
        <item x="38"/>
        <item x="503"/>
        <item x="550"/>
        <item x="346"/>
        <item x="342"/>
        <item x="255"/>
        <item x="655"/>
        <item x="220"/>
        <item x="174"/>
        <item x="817"/>
        <item x="365"/>
        <item x="59"/>
        <item x="764"/>
        <item x="295"/>
        <item x="647"/>
        <item x="72"/>
        <item x="334"/>
        <item x="336"/>
        <item x="380"/>
        <item x="682"/>
        <item x="691"/>
        <item x="137"/>
        <item x="325"/>
        <item x="812"/>
        <item x="323"/>
        <item x="200"/>
        <item x="729"/>
        <item x="527"/>
        <item x="614"/>
        <item x="139"/>
        <item x="35"/>
        <item x="545"/>
        <item x="299"/>
        <item x="280"/>
        <item x="693"/>
        <item x="165"/>
        <item x="622"/>
        <item x="429"/>
        <item x="186"/>
        <item x="467"/>
        <item x="656"/>
        <item x="90"/>
        <item x="739"/>
        <item x="326"/>
        <item x="98"/>
        <item x="414"/>
        <item x="499"/>
        <item x="546"/>
        <item x="360"/>
        <item x="750"/>
        <item x="100"/>
        <item x="576"/>
        <item x="698"/>
        <item x="146"/>
        <item x="10"/>
        <item x="452"/>
        <item x="179"/>
        <item x="723"/>
        <item x="13"/>
        <item x="235"/>
        <item x="791"/>
        <item x="634"/>
        <item x="211"/>
        <item x="672"/>
        <item x="493"/>
        <item x="501"/>
        <item x="181"/>
        <item x="460"/>
        <item x="529"/>
        <item x="352"/>
        <item x="505"/>
        <item x="331"/>
        <item x="149"/>
        <item x="525"/>
        <item x="231"/>
        <item x="370"/>
        <item x="16"/>
        <item x="260"/>
        <item x="617"/>
        <item x="349"/>
        <item x="245"/>
        <item x="466"/>
        <item x="112"/>
        <item x="835"/>
        <item x="144"/>
        <item x="763"/>
        <item x="199"/>
        <item x="475"/>
        <item x="715"/>
        <item x="891"/>
        <item x="101"/>
        <item x="858"/>
        <item x="747"/>
        <item x="456"/>
        <item x="540"/>
        <item x="32"/>
        <item x="353"/>
        <item x="800"/>
        <item x="71"/>
        <item x="441"/>
        <item x="183"/>
        <item x="338"/>
        <item x="591"/>
        <item x="306"/>
        <item x="413"/>
        <item x="171"/>
        <item x="705"/>
        <item x="861"/>
        <item x="58"/>
        <item x="789"/>
        <item x="590"/>
        <item x="714"/>
        <item x="663"/>
        <item x="335"/>
        <item x="629"/>
        <item x="824"/>
        <item x="262"/>
        <item x="233"/>
        <item x="348"/>
        <item x="175"/>
        <item x="367"/>
        <item x="125"/>
        <item x="870"/>
        <item x="547"/>
        <item x="771"/>
        <item x="454"/>
        <item x="94"/>
        <item x="519"/>
        <item x="224"/>
        <item x="47"/>
        <item x="281"/>
        <item x="145"/>
        <item x="558"/>
        <item x="538"/>
        <item x="841"/>
        <item x="559"/>
        <item x="596"/>
        <item x="167"/>
        <item x="67"/>
        <item x="609"/>
        <item x="449"/>
        <item x="578"/>
        <item x="676"/>
        <item x="673"/>
        <item x="156"/>
        <item x="602"/>
        <item x="46"/>
        <item x="450"/>
        <item x="645"/>
        <item x="759"/>
        <item x="731"/>
        <item x="866"/>
        <item x="833"/>
        <item x="97"/>
        <item x="585"/>
        <item x="121"/>
        <item x="798"/>
        <item x="386"/>
        <item x="440"/>
        <item x="309"/>
        <item x="650"/>
        <item x="381"/>
        <item x="236"/>
        <item x="760"/>
        <item x="285"/>
        <item x="653"/>
        <item x="635"/>
        <item x="509"/>
        <item x="886"/>
        <item x="133"/>
        <item x="793"/>
        <item x="274"/>
        <item x="732"/>
        <item x="405"/>
        <item x="374"/>
        <item x="530"/>
        <item x="19"/>
        <item x="876"/>
        <item x="581"/>
        <item x="788"/>
        <item x="403"/>
        <item x="394"/>
        <item x="725"/>
        <item x="294"/>
        <item x="355"/>
        <item x="887"/>
        <item x="418"/>
        <item x="329"/>
        <item x="660"/>
        <item x="20"/>
        <item x="310"/>
        <item x="717"/>
        <item x="340"/>
        <item x="875"/>
        <item x="240"/>
        <item x="92"/>
        <item x="296"/>
        <item x="616"/>
        <item x="819"/>
        <item x="871"/>
        <item x="652"/>
        <item x="153"/>
        <item x="845"/>
        <item x="557"/>
        <item x="658"/>
        <item x="256"/>
        <item x="273"/>
        <item x="417"/>
        <item x="766"/>
        <item x="684"/>
        <item x="237"/>
        <item x="592"/>
        <item x="48"/>
        <item x="881"/>
        <item x="536"/>
        <item x="608"/>
        <item x="8"/>
        <item x="259"/>
        <item x="172"/>
        <item x="87"/>
        <item x="444"/>
        <item x="532"/>
        <item x="818"/>
        <item x="613"/>
        <item x="447"/>
        <item x="15"/>
        <item x="222"/>
        <item x="571"/>
        <item x="159"/>
        <item x="528"/>
        <item x="215"/>
        <item x="317"/>
        <item x="62"/>
        <item x="354"/>
        <item x="339"/>
        <item x="603"/>
        <item x="522"/>
        <item x="426"/>
        <item x="79"/>
        <item x="859"/>
        <item x="894"/>
        <item x="93"/>
        <item x="427"/>
        <item x="631"/>
        <item x="68"/>
        <item x="89"/>
        <item x="727"/>
        <item x="292"/>
        <item x="874"/>
        <item x="795"/>
        <item x="776"/>
        <item x="514"/>
        <item x="423"/>
        <item x="162"/>
        <item x="300"/>
        <item x="678"/>
        <item x="852"/>
        <item x="44"/>
        <item x="136"/>
        <item x="733"/>
        <item x="775"/>
        <item x="138"/>
        <item x="643"/>
        <item x="31"/>
        <item x="177"/>
        <item x="446"/>
        <item x="263"/>
        <item x="176"/>
        <item x="307"/>
        <item x="831"/>
        <item x="312"/>
        <item x="832"/>
        <item x="344"/>
        <item x="828"/>
        <item x="588"/>
        <item x="478"/>
        <item x="315"/>
        <item x="392"/>
        <item x="593"/>
        <item x="524"/>
        <item x="45"/>
        <item x="843"/>
        <item x="189"/>
        <item x="343"/>
        <item x="671"/>
        <item x="276"/>
        <item x="361"/>
        <item t="sum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19" baseField="0" baseItem="0"/>
    <dataField name="Sum of calculated_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FC39E-ACB6-4F7F-B38B-3296C0A06C19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 rowPageCount="1" colPageCount="1"/>
  <pivotFields count="40">
    <pivotField showAll="0"/>
    <pivotField numFmtId="166" showAll="0"/>
    <pivotField numFmtId="14" showAll="0"/>
    <pivotField showAll="0"/>
    <pivotField showAll="0"/>
    <pivotField showAll="0"/>
    <pivotField axis="axisPage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calculated_sales" fld="19" baseField="0" baseItem="0"/>
    <dataField name="Sum of calculated_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24113-C1A5-4AF1-BC58-413C7B00EA18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0">
    <pivotField dataField="1" showAll="0"/>
    <pivotField numFmtId="166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10636-E500-4FFA-BE07-63C0302C1E31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0">
    <pivotField showAll="0"/>
    <pivotField numFmtId="166"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2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E136C-15A0-455E-9AD4-9E5107EA42A6}" name="PivotTable1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 rowPageCount="1" colPageCount="1"/>
  <pivotFields count="40">
    <pivotField dataField="1" showAll="0"/>
    <pivotField numFmtId="166" showAll="0"/>
    <pivotField numFmtId="14"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pageFields count="1">
    <pageField fld="23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AB50B-163D-4022-A206-D6D015BBBF1D}" name="PivotTable2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40">
    <pivotField showAll="0"/>
    <pivotField numFmtId="166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5"/>
        <item x="11"/>
        <item x="9"/>
        <item x="3"/>
        <item x="10"/>
        <item x="0"/>
        <item x="1"/>
        <item x="6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F9C68-B042-41CA-891D-00BC356B7515}" name="Table1" displayName="Table1" ref="A1:AN933" totalsRowShown="0" headerRowDxfId="20">
  <autoFilter ref="A1:AN933" xr:uid="{C86F9C68-B042-41CA-891D-00BC356B7515}"/>
  <tableColumns count="40">
    <tableColumn id="1" xr3:uid="{DD3D521A-539B-4FBD-B52E-CF4BDCF419EB}" name="order_id"/>
    <tableColumn id="2" xr3:uid="{79FF6888-1BC5-4475-BD33-BB19726550B2}" name="order_date" dataDxfId="18"/>
    <tableColumn id="3" xr3:uid="{C97AD196-80EA-4967-B75F-CA0352DE53D0}" name="ship_date"/>
    <tableColumn id="4" xr3:uid="{D86821AB-82CE-40D0-A832-FDA3E5BC65A0}" name="customer_id"/>
    <tableColumn id="5" xr3:uid="{6078FE68-D743-4338-80AD-3381E39F4317}" name="customer_name"/>
    <tableColumn id="6" xr3:uid="{83B3DEC6-C430-461D-B228-62066A3B4A19}" name="segment"/>
    <tableColumn id="7" xr3:uid="{00092A3B-70F4-43A7-937D-1EE6D0EE988C}" name="region"/>
    <tableColumn id="8" xr3:uid="{5BF0DEDF-D0DB-4134-8C62-034462B213DB}" name="state"/>
    <tableColumn id="9" xr3:uid="{891AB7BD-ADBD-40BF-8A59-706084C76CB3}" name="city"/>
    <tableColumn id="10" xr3:uid="{79E4C5AC-2499-47AC-B123-AB0330C55119}" name="category"/>
    <tableColumn id="11" xr3:uid="{DA3487B5-F0D0-497B-AB6D-407DF715A527}" name="sub_category"/>
    <tableColumn id="12" xr3:uid="{EB3F5175-D881-42A9-B70A-E25436D247AD}" name="product_name"/>
    <tableColumn id="13" xr3:uid="{C5006FBE-BC2D-416F-BE59-46EEBA6C870A}" name="ship_mode"/>
    <tableColumn id="14" xr3:uid="{255014C6-92EF-45BC-9AE7-11F94801B2FE}" name="quantity"/>
    <tableColumn id="15" xr3:uid="{240402AF-4A23-4D00-8626-8E730692DE38}" name="unit_price"/>
    <tableColumn id="16" xr3:uid="{9190D079-B1A7-4228-A1C4-4A8E402AFCCE}" name="discount"/>
    <tableColumn id="41" xr3:uid="{32EFD2F7-A94B-4308-A9C9-61F1FBF26225}" name="cleaned_discount" dataDxfId="0">
      <calculatedColumnFormula>IF(P2="", 0, P2)</calculatedColumnFormula>
    </tableColumn>
    <tableColumn id="17" xr3:uid="{C325920F-B163-43AE-A986-2778392CD4DA}" name="sales"/>
    <tableColumn id="18" xr3:uid="{4B9A261E-5250-4717-8CBF-EDD9D0C54075}" name="cost"/>
    <tableColumn id="43" xr3:uid="{DA173F56-CF2C-4F59-86CC-C97178DF0856}" name="calculated_sales" dataDxfId="10">
      <calculatedColumnFormula>N2*O2*(1-Q2)</calculatedColumnFormula>
    </tableColumn>
    <tableColumn id="44" xr3:uid="{9091704E-CBDC-4DEA-AA7C-FDC9BDDD9FEA}" name="calculated_profit" dataDxfId="9">
      <calculatedColumnFormula>T2-S2</calculatedColumnFormula>
    </tableColumn>
    <tableColumn id="19" xr3:uid="{50B761DE-FA7A-4DE1-92F4-5B471928E495}" name="profit"/>
    <tableColumn id="46" xr3:uid="{6D19CDA5-042B-4EC0-A2DB-5BAF58804802}" name="profit_margin" dataDxfId="1">
      <calculatedColumnFormula>IF(T2=0,0,U2/T2)</calculatedColumnFormula>
    </tableColumn>
    <tableColumn id="20" xr3:uid="{7E0B29BC-A2C9-4A35-AD76-E428CF7C04DA}" name="payment_status"/>
    <tableColumn id="30" xr3:uid="{42A9233A-7853-48CF-BCD6-71287A88648C}" name="Column7" dataDxfId="19">
      <calculatedColumnFormula>PROPER(TRIM(X2))</calculatedColumnFormula>
    </tableColumn>
    <tableColumn id="21" xr3:uid="{BFC09D11-8CE5-4BB7-8AFC-BE3343621A07}" name="order_status"/>
    <tableColumn id="34" xr3:uid="{5EEB1503-BF7D-4399-9FF3-899001C5F12E}" name="shipping_days_delay" dataDxfId="17">
      <calculatedColumnFormula>C2-B2</calculatedColumnFormula>
    </tableColumn>
    <tableColumn id="35" xr3:uid="{149B97F3-86D3-4FE2-A391-49501FFAF394}" name="date_check" dataDxfId="16">
      <calculatedColumnFormula>IF(B2="","Missing Order Date",
IF(C2="","Missing Ship Date","OK"))</calculatedColumnFormula>
    </tableColumn>
    <tableColumn id="36" xr3:uid="{4CF5F72E-CC5C-4C39-8721-141A08F82F6A}" name="ship_date_validation" dataDxfId="15">
      <calculatedColumnFormula>IF(C2&lt;B2, "Invalid", "Valid")</calculatedColumnFormula>
    </tableColumn>
    <tableColumn id="38" xr3:uid="{8833A60D-021E-4C54-82C3-D15CFA6F2C66}" name="duplicate_order_identification" dataDxfId="14">
      <calculatedColumnFormula>IF(COUNTIF($A:$A, A2)&gt;1, "Duplicate", "Unique")</calculatedColumnFormula>
    </tableColumn>
    <tableColumn id="39" xr3:uid="{930DE906-5DB9-4F2F-9316-34930EF5749A}" name="missing_region" dataDxfId="13">
      <calculatedColumnFormula>IF(G2="","Unknown",G2)</calculatedColumnFormula>
    </tableColumn>
    <tableColumn id="40" xr3:uid="{5B31091B-543D-4BC3-A7BE-C7085C561D98}" name="missing_Ship_mode" dataDxfId="12">
      <calculatedColumnFormula>IF(M2="","Unknown",M2)</calculatedColumnFormula>
    </tableColumn>
    <tableColumn id="42" xr3:uid="{C20AC8E2-CB07-4C63-9C19-A9B2A3DFB7AA}" name="Column1" dataDxfId="11">
      <calculatedColumnFormula>IF(P2&lt;0,"Invalid",
IF(P2&gt;1,"Invalid","Valid"))</calculatedColumnFormula>
    </tableColumn>
    <tableColumn id="47" xr3:uid="{D5FF152D-08E0-41A0-BB3F-640783C2099D}" name="order_month" dataDxfId="8">
      <calculatedColumnFormula>TEXT(B2,"mmmm")</calculatedColumnFormula>
    </tableColumn>
    <tableColumn id="48" xr3:uid="{088B74C1-C2B0-423A-AC9A-79AF066FF89E}" name="order_year" dataDxfId="7">
      <calculatedColumnFormula>YEAR(B2)</calculatedColumnFormula>
    </tableColumn>
    <tableColumn id="49" xr3:uid="{9223339E-6E17-4FCE-8A67-A8DB150D1B31}" name="data_quality_flag" dataDxfId="6">
      <calculatedColumnFormula>IF(OR(R2&lt;0,C2&lt;B2),"Invalid",
IF(OR(G2="Unknown",M2="Unknown"),"Warning","Clean"))</calculatedColumnFormula>
    </tableColumn>
    <tableColumn id="52" xr3:uid="{BCFB6667-89A1-47FA-92FC-97F43A4BC61E}" name="date_issues" dataDxfId="5">
      <calculatedColumnFormula>IF(C2&lt;B2,"Ship Before Order","OK")</calculatedColumnFormula>
    </tableColumn>
    <tableColumn id="53" xr3:uid="{8C149283-1090-441B-9307-D1804B40921A}" name="invalid_dates" dataDxfId="4">
      <calculatedColumnFormula>IF(ISNUMBER(B2),"Valid","Invalid")</calculatedColumnFormula>
    </tableColumn>
    <tableColumn id="54" xr3:uid="{5F60DFEA-E7BE-4BCE-992E-97530FB103F1}" name="sales_missmatch" dataDxfId="3">
      <calculatedColumnFormula>IF(R2&lt;&gt;T2, "Missmatched", "Ok")</calculatedColumnFormula>
    </tableColumn>
    <tableColumn id="55" xr3:uid="{061F616F-5CE9-4D7D-AAF5-8044ED301601}" name="profit_missmatched" dataDxfId="2">
      <calculatedColumnFormula>IF(V2&lt;&gt;U2, "Missmatched", 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2E35-5267-47EC-AA1D-BF7BB71F70D2}">
  <dimension ref="A3:C9"/>
  <sheetViews>
    <sheetView workbookViewId="0">
      <selection activeCell="A3" sqref="A3:C9"/>
    </sheetView>
  </sheetViews>
  <sheetFormatPr defaultRowHeight="13.8"/>
  <cols>
    <col min="1" max="1" width="13.09765625" bestFit="1" customWidth="1"/>
    <col min="2" max="3" width="22.3984375" bestFit="1" customWidth="1"/>
    <col min="4" max="4" width="9.5" bestFit="1" customWidth="1"/>
    <col min="5" max="5" width="10.8984375" bestFit="1" customWidth="1"/>
    <col min="6" max="6" width="10.5" bestFit="1" customWidth="1"/>
    <col min="7" max="10" width="9.5" bestFit="1" customWidth="1"/>
    <col min="11" max="11" width="10.5" bestFit="1" customWidth="1"/>
    <col min="12" max="12" width="9.5" bestFit="1" customWidth="1"/>
    <col min="13" max="14" width="8.5" bestFit="1" customWidth="1"/>
    <col min="15" max="15" width="8.8984375" bestFit="1" customWidth="1"/>
    <col min="16" max="16" width="8.5" bestFit="1" customWidth="1"/>
    <col min="17" max="17" width="7.8984375" bestFit="1" customWidth="1"/>
    <col min="18" max="18" width="8.8984375" bestFit="1" customWidth="1"/>
    <col min="19" max="19" width="7.8984375" bestFit="1" customWidth="1"/>
    <col min="20" max="20" width="8.8984375" bestFit="1" customWidth="1"/>
    <col min="21" max="21" width="6.8984375" bestFit="1" customWidth="1"/>
    <col min="22" max="22" width="8.8984375" bestFit="1" customWidth="1"/>
    <col min="23" max="25" width="7.8984375" bestFit="1" customWidth="1"/>
    <col min="26" max="26" width="8.8984375" bestFit="1" customWidth="1"/>
    <col min="27" max="27" width="7.8984375" bestFit="1" customWidth="1"/>
    <col min="28" max="28" width="8.8984375" bestFit="1" customWidth="1"/>
    <col min="29" max="29" width="6.8984375" bestFit="1" customWidth="1"/>
    <col min="30" max="30" width="8.8984375" bestFit="1" customWidth="1"/>
    <col min="31" max="31" width="6.8984375" bestFit="1" customWidth="1"/>
    <col min="32" max="33" width="7.8984375" bestFit="1" customWidth="1"/>
    <col min="34" max="36" width="6.8984375" bestFit="1" customWidth="1"/>
    <col min="37" max="41" width="7.8984375" bestFit="1" customWidth="1"/>
    <col min="42" max="42" width="8.8984375" bestFit="1" customWidth="1"/>
    <col min="43" max="44" width="7.8984375" bestFit="1" customWidth="1"/>
    <col min="45" max="45" width="6.8984375" bestFit="1" customWidth="1"/>
    <col min="46" max="46" width="7.8984375" bestFit="1" customWidth="1"/>
    <col min="47" max="47" width="6.8984375" bestFit="1" customWidth="1"/>
    <col min="48" max="48" width="8.8984375" bestFit="1" customWidth="1"/>
    <col min="49" max="49" width="6.8984375" bestFit="1" customWidth="1"/>
    <col min="50" max="53" width="7.8984375" bestFit="1" customWidth="1"/>
    <col min="54" max="54" width="9.8984375" bestFit="1" customWidth="1"/>
    <col min="55" max="55" width="5.8984375" bestFit="1" customWidth="1"/>
    <col min="56" max="56" width="6.8984375" bestFit="1" customWidth="1"/>
    <col min="57" max="58" width="7.8984375" bestFit="1" customWidth="1"/>
    <col min="59" max="59" width="6.8984375" bestFit="1" customWidth="1"/>
    <col min="60" max="61" width="8.8984375" bestFit="1" customWidth="1"/>
    <col min="62" max="64" width="6.8984375" bestFit="1" customWidth="1"/>
    <col min="65" max="66" width="7.8984375" bestFit="1" customWidth="1"/>
    <col min="67" max="67" width="8.8984375" bestFit="1" customWidth="1"/>
    <col min="68" max="69" width="7.8984375" bestFit="1" customWidth="1"/>
    <col min="70" max="70" width="6.8984375" bestFit="1" customWidth="1"/>
    <col min="71" max="71" width="7.8984375" bestFit="1" customWidth="1"/>
    <col min="72" max="72" width="9.8984375" bestFit="1" customWidth="1"/>
    <col min="73" max="73" width="8.8984375" bestFit="1" customWidth="1"/>
    <col min="74" max="74" width="6.8984375" bestFit="1" customWidth="1"/>
    <col min="75" max="76" width="8.8984375" bestFit="1" customWidth="1"/>
    <col min="77" max="78" width="6.8984375" bestFit="1" customWidth="1"/>
    <col min="79" max="82" width="8.8984375" bestFit="1" customWidth="1"/>
    <col min="83" max="83" width="9.8984375" bestFit="1" customWidth="1"/>
    <col min="84" max="84" width="7.8984375" bestFit="1" customWidth="1"/>
    <col min="85" max="85" width="6.8984375" bestFit="1" customWidth="1"/>
    <col min="86" max="86" width="7.8984375" bestFit="1" customWidth="1"/>
    <col min="87" max="89" width="6.8984375" bestFit="1" customWidth="1"/>
    <col min="90" max="90" width="9.8984375" bestFit="1" customWidth="1"/>
    <col min="91" max="92" width="8.8984375" bestFit="1" customWidth="1"/>
    <col min="93" max="94" width="7.8984375" bestFit="1" customWidth="1"/>
    <col min="95" max="96" width="8.8984375" bestFit="1" customWidth="1"/>
    <col min="97" max="97" width="9.8984375" bestFit="1" customWidth="1"/>
    <col min="98" max="98" width="7.8984375" bestFit="1" customWidth="1"/>
    <col min="99" max="99" width="6.8984375" bestFit="1" customWidth="1"/>
    <col min="100" max="102" width="8.8984375" bestFit="1" customWidth="1"/>
    <col min="103" max="103" width="7.8984375" bestFit="1" customWidth="1"/>
    <col min="104" max="107" width="8.8984375" bestFit="1" customWidth="1"/>
    <col min="108" max="108" width="7.8984375" bestFit="1" customWidth="1"/>
    <col min="109" max="109" width="9.8984375" bestFit="1" customWidth="1"/>
    <col min="110" max="110" width="7.8984375" bestFit="1" customWidth="1"/>
    <col min="111" max="113" width="8.8984375" bestFit="1" customWidth="1"/>
    <col min="114" max="114" width="6.8984375" bestFit="1" customWidth="1"/>
    <col min="115" max="119" width="8.8984375" bestFit="1" customWidth="1"/>
    <col min="120" max="120" width="7.8984375" bestFit="1" customWidth="1"/>
    <col min="121" max="121" width="9.8984375" bestFit="1" customWidth="1"/>
    <col min="122" max="122" width="8.8984375" bestFit="1" customWidth="1"/>
    <col min="123" max="123" width="7.8984375" bestFit="1" customWidth="1"/>
    <col min="124" max="124" width="6.8984375" bestFit="1" customWidth="1"/>
    <col min="125" max="125" width="7.8984375" bestFit="1" customWidth="1"/>
    <col min="126" max="126" width="8.8984375" bestFit="1" customWidth="1"/>
    <col min="127" max="127" width="7.8984375" bestFit="1" customWidth="1"/>
    <col min="128" max="128" width="9.8984375" bestFit="1" customWidth="1"/>
    <col min="129" max="129" width="8.8984375" bestFit="1" customWidth="1"/>
    <col min="130" max="130" width="7.8984375" bestFit="1" customWidth="1"/>
    <col min="131" max="131" width="6.8984375" bestFit="1" customWidth="1"/>
    <col min="132" max="133" width="8.8984375" bestFit="1" customWidth="1"/>
    <col min="134" max="134" width="9.8984375" bestFit="1" customWidth="1"/>
    <col min="135" max="135" width="8.8984375" bestFit="1" customWidth="1"/>
    <col min="136" max="136" width="7.8984375" bestFit="1" customWidth="1"/>
    <col min="137" max="138" width="8.8984375" bestFit="1" customWidth="1"/>
    <col min="139" max="140" width="9.8984375" bestFit="1" customWidth="1"/>
    <col min="141" max="141" width="8.8984375" bestFit="1" customWidth="1"/>
    <col min="142" max="142" width="9.8984375" bestFit="1" customWidth="1"/>
    <col min="143" max="145" width="8.8984375" bestFit="1" customWidth="1"/>
    <col min="146" max="156" width="7.8984375" bestFit="1" customWidth="1"/>
    <col min="157" max="157" width="8.8984375" bestFit="1" customWidth="1"/>
    <col min="158" max="158" width="7.8984375" bestFit="1" customWidth="1"/>
    <col min="159" max="160" width="8.8984375" bestFit="1" customWidth="1"/>
    <col min="161" max="162" width="7.8984375" bestFit="1" customWidth="1"/>
    <col min="163" max="165" width="8.8984375" bestFit="1" customWidth="1"/>
    <col min="166" max="167" width="7.8984375" bestFit="1" customWidth="1"/>
    <col min="168" max="169" width="8.8984375" bestFit="1" customWidth="1"/>
    <col min="170" max="170" width="9.8984375" bestFit="1" customWidth="1"/>
    <col min="171" max="173" width="8.8984375" bestFit="1" customWidth="1"/>
    <col min="174" max="174" width="6.8984375" bestFit="1" customWidth="1"/>
    <col min="175" max="175" width="8.8984375" bestFit="1" customWidth="1"/>
    <col min="176" max="177" width="9.8984375" bestFit="1" customWidth="1"/>
    <col min="178" max="178" width="8.8984375" bestFit="1" customWidth="1"/>
    <col min="179" max="179" width="6.8984375" bestFit="1" customWidth="1"/>
    <col min="180" max="180" width="9.8984375" bestFit="1" customWidth="1"/>
    <col min="181" max="181" width="7.8984375" bestFit="1" customWidth="1"/>
    <col min="182" max="182" width="8.8984375" bestFit="1" customWidth="1"/>
    <col min="183" max="183" width="7.8984375" bestFit="1" customWidth="1"/>
    <col min="184" max="185" width="8.8984375" bestFit="1" customWidth="1"/>
    <col min="186" max="186" width="7.8984375" bestFit="1" customWidth="1"/>
    <col min="187" max="187" width="6.8984375" bestFit="1" customWidth="1"/>
    <col min="188" max="188" width="7.8984375" bestFit="1" customWidth="1"/>
    <col min="189" max="189" width="8.8984375" bestFit="1" customWidth="1"/>
    <col min="190" max="190" width="9.8984375" bestFit="1" customWidth="1"/>
    <col min="191" max="191" width="7.8984375" bestFit="1" customWidth="1"/>
    <col min="192" max="193" width="8.8984375" bestFit="1" customWidth="1"/>
    <col min="194" max="194" width="7.8984375" bestFit="1" customWidth="1"/>
    <col min="195" max="195" width="8.8984375" bestFit="1" customWidth="1"/>
    <col min="196" max="199" width="7.8984375" bestFit="1" customWidth="1"/>
    <col min="200" max="202" width="8.8984375" bestFit="1" customWidth="1"/>
    <col min="203" max="206" width="7.8984375" bestFit="1" customWidth="1"/>
    <col min="207" max="209" width="8.8984375" bestFit="1" customWidth="1"/>
    <col min="210" max="210" width="7.8984375" bestFit="1" customWidth="1"/>
    <col min="211" max="212" width="9.8984375" bestFit="1" customWidth="1"/>
    <col min="213" max="214" width="8.8984375" bestFit="1" customWidth="1"/>
    <col min="215" max="216" width="7.8984375" bestFit="1" customWidth="1"/>
    <col min="217" max="229" width="8.8984375" bestFit="1" customWidth="1"/>
    <col min="230" max="230" width="7.8984375" bestFit="1" customWidth="1"/>
    <col min="231" max="231" width="8.8984375" bestFit="1" customWidth="1"/>
    <col min="232" max="233" width="7.8984375" bestFit="1" customWidth="1"/>
    <col min="234" max="234" width="8.8984375" bestFit="1" customWidth="1"/>
    <col min="235" max="236" width="7.8984375" bestFit="1" customWidth="1"/>
    <col min="237" max="237" width="9.8984375" bestFit="1" customWidth="1"/>
    <col min="238" max="239" width="8.8984375" bestFit="1" customWidth="1"/>
    <col min="240" max="240" width="7.8984375" bestFit="1" customWidth="1"/>
    <col min="241" max="241" width="8.8984375" bestFit="1" customWidth="1"/>
    <col min="242" max="242" width="7.8984375" bestFit="1" customWidth="1"/>
    <col min="243" max="243" width="8.8984375" bestFit="1" customWidth="1"/>
    <col min="244" max="244" width="6.8984375" bestFit="1" customWidth="1"/>
    <col min="245" max="247" width="8.8984375" bestFit="1" customWidth="1"/>
    <col min="248" max="249" width="7.8984375" bestFit="1" customWidth="1"/>
    <col min="250" max="250" width="8.8984375" bestFit="1" customWidth="1"/>
    <col min="251" max="252" width="7.8984375" bestFit="1" customWidth="1"/>
    <col min="253" max="253" width="8.8984375" bestFit="1" customWidth="1"/>
    <col min="254" max="254" width="9.8984375" bestFit="1" customWidth="1"/>
    <col min="255" max="259" width="8.8984375" bestFit="1" customWidth="1"/>
    <col min="260" max="260" width="6.8984375" bestFit="1" customWidth="1"/>
    <col min="261" max="261" width="8.8984375" bestFit="1" customWidth="1"/>
    <col min="262" max="262" width="7.8984375" bestFit="1" customWidth="1"/>
    <col min="263" max="264" width="9.8984375" bestFit="1" customWidth="1"/>
    <col min="265" max="265" width="7.8984375" bestFit="1" customWidth="1"/>
    <col min="266" max="266" width="8.8984375" bestFit="1" customWidth="1"/>
    <col min="267" max="268" width="7.8984375" bestFit="1" customWidth="1"/>
    <col min="269" max="269" width="8.8984375" bestFit="1" customWidth="1"/>
    <col min="270" max="271" width="7.8984375" bestFit="1" customWidth="1"/>
    <col min="272" max="275" width="8.8984375" bestFit="1" customWidth="1"/>
    <col min="276" max="277" width="7.8984375" bestFit="1" customWidth="1"/>
    <col min="278" max="278" width="8.8984375" bestFit="1" customWidth="1"/>
    <col min="279" max="279" width="7.8984375" bestFit="1" customWidth="1"/>
    <col min="280" max="280" width="8.8984375" bestFit="1" customWidth="1"/>
    <col min="281" max="282" width="7.8984375" bestFit="1" customWidth="1"/>
    <col min="283" max="284" width="8.8984375" bestFit="1" customWidth="1"/>
    <col min="285" max="285" width="7.8984375" bestFit="1" customWidth="1"/>
    <col min="286" max="286" width="9.8984375" bestFit="1" customWidth="1"/>
    <col min="287" max="287" width="7.8984375" bestFit="1" customWidth="1"/>
    <col min="288" max="288" width="9.8984375" bestFit="1" customWidth="1"/>
    <col min="289" max="289" width="8.8984375" bestFit="1" customWidth="1"/>
    <col min="290" max="290" width="9.8984375" bestFit="1" customWidth="1"/>
    <col min="291" max="292" width="8.8984375" bestFit="1" customWidth="1"/>
    <col min="293" max="293" width="9.8984375" bestFit="1" customWidth="1"/>
    <col min="294" max="295" width="7.8984375" bestFit="1" customWidth="1"/>
    <col min="296" max="296" width="8.8984375" bestFit="1" customWidth="1"/>
    <col min="297" max="297" width="7.8984375" bestFit="1" customWidth="1"/>
    <col min="298" max="298" width="8.8984375" bestFit="1" customWidth="1"/>
    <col min="299" max="299" width="7.8984375" bestFit="1" customWidth="1"/>
    <col min="300" max="300" width="8.8984375" bestFit="1" customWidth="1"/>
    <col min="301" max="301" width="7.8984375" bestFit="1" customWidth="1"/>
    <col min="302" max="302" width="9.8984375" bestFit="1" customWidth="1"/>
    <col min="303" max="305" width="7.8984375" bestFit="1" customWidth="1"/>
    <col min="306" max="306" width="9.8984375" bestFit="1" customWidth="1"/>
    <col min="307" max="309" width="7.8984375" bestFit="1" customWidth="1"/>
    <col min="310" max="310" width="8.8984375" bestFit="1" customWidth="1"/>
    <col min="311" max="312" width="7.8984375" bestFit="1" customWidth="1"/>
    <col min="313" max="314" width="8.8984375" bestFit="1" customWidth="1"/>
    <col min="315" max="315" width="7.8984375" bestFit="1" customWidth="1"/>
    <col min="316" max="317" width="8.8984375" bestFit="1" customWidth="1"/>
    <col min="318" max="319" width="7.8984375" bestFit="1" customWidth="1"/>
    <col min="320" max="321" width="8.8984375" bestFit="1" customWidth="1"/>
    <col min="322" max="323" width="7.8984375" bestFit="1" customWidth="1"/>
    <col min="324" max="324" width="8.8984375" bestFit="1" customWidth="1"/>
    <col min="325" max="325" width="7.8984375" bestFit="1" customWidth="1"/>
    <col min="326" max="328" width="8.8984375" bestFit="1" customWidth="1"/>
    <col min="329" max="331" width="7.8984375" bestFit="1" customWidth="1"/>
    <col min="332" max="333" width="8.8984375" bestFit="1" customWidth="1"/>
    <col min="334" max="338" width="7.8984375" bestFit="1" customWidth="1"/>
    <col min="339" max="339" width="8.8984375" bestFit="1" customWidth="1"/>
    <col min="340" max="340" width="7.8984375" bestFit="1" customWidth="1"/>
    <col min="341" max="341" width="8.8984375" bestFit="1" customWidth="1"/>
    <col min="342" max="342" width="9.8984375" bestFit="1" customWidth="1"/>
    <col min="343" max="344" width="7.8984375" bestFit="1" customWidth="1"/>
    <col min="345" max="345" width="9.8984375" bestFit="1" customWidth="1"/>
    <col min="346" max="347" width="8.8984375" bestFit="1" customWidth="1"/>
    <col min="348" max="348" width="7.8984375" bestFit="1" customWidth="1"/>
    <col min="349" max="349" width="9.8984375" bestFit="1" customWidth="1"/>
    <col min="350" max="352" width="8.8984375" bestFit="1" customWidth="1"/>
    <col min="353" max="353" width="7.8984375" bestFit="1" customWidth="1"/>
    <col min="354" max="354" width="8.8984375" bestFit="1" customWidth="1"/>
    <col min="355" max="355" width="7.8984375" bestFit="1" customWidth="1"/>
    <col min="356" max="358" width="8.8984375" bestFit="1" customWidth="1"/>
    <col min="359" max="359" width="9.8984375" bestFit="1" customWidth="1"/>
    <col min="360" max="363" width="8.8984375" bestFit="1" customWidth="1"/>
    <col min="364" max="364" width="7.8984375" bestFit="1" customWidth="1"/>
    <col min="365" max="366" width="8.8984375" bestFit="1" customWidth="1"/>
    <col min="367" max="367" width="9.8984375" bestFit="1" customWidth="1"/>
    <col min="368" max="368" width="7.8984375" bestFit="1" customWidth="1"/>
    <col min="369" max="369" width="9.8984375" bestFit="1" customWidth="1"/>
    <col min="370" max="372" width="7.8984375" bestFit="1" customWidth="1"/>
    <col min="373" max="375" width="8.8984375" bestFit="1" customWidth="1"/>
    <col min="376" max="377" width="9.8984375" bestFit="1" customWidth="1"/>
    <col min="378" max="378" width="7.8984375" bestFit="1" customWidth="1"/>
    <col min="379" max="380" width="8.8984375" bestFit="1" customWidth="1"/>
    <col min="381" max="381" width="7.8984375" bestFit="1" customWidth="1"/>
    <col min="382" max="382" width="9.8984375" bestFit="1" customWidth="1"/>
    <col min="383" max="383" width="7.8984375" bestFit="1" customWidth="1"/>
    <col min="384" max="384" width="8.8984375" bestFit="1" customWidth="1"/>
    <col min="385" max="385" width="9.8984375" bestFit="1" customWidth="1"/>
    <col min="386" max="386" width="7.8984375" bestFit="1" customWidth="1"/>
    <col min="387" max="388" width="8.8984375" bestFit="1" customWidth="1"/>
    <col min="389" max="389" width="9.8984375" bestFit="1" customWidth="1"/>
    <col min="390" max="390" width="8.8984375" bestFit="1" customWidth="1"/>
    <col min="391" max="391" width="9.8984375" bestFit="1" customWidth="1"/>
    <col min="392" max="393" width="7.8984375" bestFit="1" customWidth="1"/>
    <col min="394" max="395" width="8.8984375" bestFit="1" customWidth="1"/>
    <col min="396" max="396" width="7.8984375" bestFit="1" customWidth="1"/>
    <col min="397" max="397" width="8.8984375" bestFit="1" customWidth="1"/>
    <col min="398" max="398" width="9.8984375" bestFit="1" customWidth="1"/>
    <col min="399" max="400" width="8.8984375" bestFit="1" customWidth="1"/>
    <col min="401" max="403" width="7.8984375" bestFit="1" customWidth="1"/>
    <col min="404" max="404" width="8.8984375" bestFit="1" customWidth="1"/>
    <col min="405" max="406" width="7.8984375" bestFit="1" customWidth="1"/>
    <col min="407" max="410" width="8.8984375" bestFit="1" customWidth="1"/>
    <col min="411" max="412" width="7.8984375" bestFit="1" customWidth="1"/>
    <col min="413" max="414" width="8.8984375" bestFit="1" customWidth="1"/>
    <col min="415" max="415" width="9.8984375" bestFit="1" customWidth="1"/>
    <col min="416" max="417" width="7.8984375" bestFit="1" customWidth="1"/>
    <col min="418" max="418" width="9.8984375" bestFit="1" customWidth="1"/>
    <col min="419" max="419" width="8.8984375" bestFit="1" customWidth="1"/>
    <col min="420" max="422" width="9.8984375" bestFit="1" customWidth="1"/>
    <col min="423" max="423" width="7.8984375" bestFit="1" customWidth="1"/>
    <col min="424" max="424" width="8.8984375" bestFit="1" customWidth="1"/>
    <col min="425" max="427" width="7.8984375" bestFit="1" customWidth="1"/>
    <col min="428" max="428" width="9.8984375" bestFit="1" customWidth="1"/>
    <col min="429" max="429" width="8.8984375" bestFit="1" customWidth="1"/>
    <col min="430" max="430" width="7.8984375" bestFit="1" customWidth="1"/>
    <col min="431" max="434" width="8.8984375" bestFit="1" customWidth="1"/>
    <col min="435" max="435" width="9.8984375" bestFit="1" customWidth="1"/>
    <col min="436" max="438" width="8.8984375" bestFit="1" customWidth="1"/>
    <col min="439" max="439" width="9.8984375" bestFit="1" customWidth="1"/>
    <col min="440" max="441" width="8.8984375" bestFit="1" customWidth="1"/>
    <col min="442" max="443" width="7.8984375" bestFit="1" customWidth="1"/>
    <col min="444" max="444" width="8.8984375" bestFit="1" customWidth="1"/>
    <col min="445" max="446" width="7.8984375" bestFit="1" customWidth="1"/>
    <col min="447" max="448" width="8.8984375" bestFit="1" customWidth="1"/>
    <col min="449" max="450" width="9.8984375" bestFit="1" customWidth="1"/>
    <col min="451" max="451" width="8.8984375" bestFit="1" customWidth="1"/>
    <col min="452" max="453" width="7.8984375" bestFit="1" customWidth="1"/>
    <col min="454" max="454" width="10.8984375" bestFit="1" customWidth="1"/>
    <col min="455" max="455" width="7.8984375" bestFit="1" customWidth="1"/>
    <col min="456" max="456" width="9.8984375" bestFit="1" customWidth="1"/>
    <col min="457" max="458" width="7.8984375" bestFit="1" customWidth="1"/>
    <col min="459" max="459" width="9.8984375" bestFit="1" customWidth="1"/>
    <col min="460" max="460" width="7.8984375" bestFit="1" customWidth="1"/>
    <col min="461" max="461" width="8.8984375" bestFit="1" customWidth="1"/>
    <col min="462" max="465" width="7.8984375" bestFit="1" customWidth="1"/>
    <col min="466" max="466" width="9.8984375" bestFit="1" customWidth="1"/>
    <col min="467" max="468" width="8.8984375" bestFit="1" customWidth="1"/>
    <col min="469" max="469" width="7.8984375" bestFit="1" customWidth="1"/>
    <col min="470" max="470" width="8.8984375" bestFit="1" customWidth="1"/>
    <col min="471" max="471" width="7.8984375" bestFit="1" customWidth="1"/>
    <col min="472" max="472" width="8.8984375" bestFit="1" customWidth="1"/>
    <col min="473" max="473" width="7.8984375" bestFit="1" customWidth="1"/>
    <col min="474" max="474" width="9.8984375" bestFit="1" customWidth="1"/>
    <col min="475" max="475" width="8.8984375" bestFit="1" customWidth="1"/>
    <col min="476" max="476" width="7.8984375" bestFit="1" customWidth="1"/>
    <col min="477" max="477" width="9.8984375" bestFit="1" customWidth="1"/>
    <col min="478" max="479" width="8.8984375" bestFit="1" customWidth="1"/>
    <col min="480" max="480" width="9.8984375" bestFit="1" customWidth="1"/>
    <col min="481" max="481" width="7.8984375" bestFit="1" customWidth="1"/>
    <col min="482" max="482" width="8.8984375" bestFit="1" customWidth="1"/>
    <col min="483" max="484" width="7.8984375" bestFit="1" customWidth="1"/>
    <col min="485" max="485" width="8.8984375" bestFit="1" customWidth="1"/>
    <col min="486" max="486" width="7.8984375" bestFit="1" customWidth="1"/>
    <col min="487" max="487" width="8.8984375" bestFit="1" customWidth="1"/>
    <col min="488" max="488" width="9.8984375" bestFit="1" customWidth="1"/>
    <col min="489" max="489" width="7.8984375" bestFit="1" customWidth="1"/>
    <col min="490" max="490" width="8.8984375" bestFit="1" customWidth="1"/>
    <col min="491" max="492" width="7.8984375" bestFit="1" customWidth="1"/>
    <col min="493" max="493" width="8.8984375" bestFit="1" customWidth="1"/>
    <col min="494" max="494" width="7.8984375" bestFit="1" customWidth="1"/>
    <col min="495" max="495" width="9.8984375" bestFit="1" customWidth="1"/>
    <col min="496" max="497" width="7.8984375" bestFit="1" customWidth="1"/>
    <col min="498" max="499" width="8.8984375" bestFit="1" customWidth="1"/>
    <col min="500" max="500" width="7.8984375" bestFit="1" customWidth="1"/>
    <col min="501" max="501" width="9.8984375" bestFit="1" customWidth="1"/>
    <col min="502" max="502" width="8.8984375" bestFit="1" customWidth="1"/>
    <col min="503" max="503" width="7.8984375" bestFit="1" customWidth="1"/>
    <col min="504" max="504" width="8.8984375" bestFit="1" customWidth="1"/>
    <col min="505" max="509" width="7.8984375" bestFit="1" customWidth="1"/>
    <col min="510" max="510" width="8.8984375" bestFit="1" customWidth="1"/>
    <col min="511" max="511" width="9.8984375" bestFit="1" customWidth="1"/>
    <col min="512" max="514" width="7.8984375" bestFit="1" customWidth="1"/>
    <col min="515" max="515" width="9.8984375" bestFit="1" customWidth="1"/>
    <col min="516" max="516" width="7.8984375" bestFit="1" customWidth="1"/>
    <col min="517" max="517" width="9.8984375" bestFit="1" customWidth="1"/>
    <col min="518" max="518" width="8.8984375" bestFit="1" customWidth="1"/>
    <col min="519" max="519" width="9.8984375" bestFit="1" customWidth="1"/>
    <col min="520" max="520" width="7.8984375" bestFit="1" customWidth="1"/>
    <col min="521" max="523" width="8.8984375" bestFit="1" customWidth="1"/>
    <col min="524" max="525" width="9.8984375" bestFit="1" customWidth="1"/>
    <col min="526" max="529" width="8.8984375" bestFit="1" customWidth="1"/>
    <col min="530" max="530" width="7.8984375" bestFit="1" customWidth="1"/>
    <col min="531" max="534" width="8.8984375" bestFit="1" customWidth="1"/>
    <col min="535" max="535" width="9.8984375" bestFit="1" customWidth="1"/>
    <col min="536" max="537" width="8.8984375" bestFit="1" customWidth="1"/>
    <col min="538" max="538" width="9.8984375" bestFit="1" customWidth="1"/>
    <col min="539" max="540" width="7.8984375" bestFit="1" customWidth="1"/>
    <col min="541" max="541" width="8.8984375" bestFit="1" customWidth="1"/>
    <col min="542" max="542" width="7.8984375" bestFit="1" customWidth="1"/>
    <col min="543" max="543" width="8.8984375" bestFit="1" customWidth="1"/>
    <col min="544" max="544" width="7.8984375" bestFit="1" customWidth="1"/>
    <col min="545" max="545" width="9.8984375" bestFit="1" customWidth="1"/>
    <col min="546" max="546" width="7.8984375" bestFit="1" customWidth="1"/>
    <col min="547" max="547" width="6.8984375" bestFit="1" customWidth="1"/>
    <col min="548" max="548" width="9.8984375" bestFit="1" customWidth="1"/>
    <col min="549" max="549" width="8.8984375" bestFit="1" customWidth="1"/>
    <col min="550" max="550" width="7.8984375" bestFit="1" customWidth="1"/>
    <col min="551" max="551" width="8.8984375" bestFit="1" customWidth="1"/>
    <col min="552" max="554" width="9.8984375" bestFit="1" customWidth="1"/>
    <col min="555" max="555" width="8.8984375" bestFit="1" customWidth="1"/>
    <col min="556" max="556" width="9.8984375" bestFit="1" customWidth="1"/>
    <col min="557" max="558" width="7.8984375" bestFit="1" customWidth="1"/>
    <col min="559" max="559" width="8.8984375" bestFit="1" customWidth="1"/>
    <col min="560" max="560" width="9.8984375" bestFit="1" customWidth="1"/>
    <col min="561" max="561" width="7.8984375" bestFit="1" customWidth="1"/>
    <col min="562" max="562" width="9.8984375" bestFit="1" customWidth="1"/>
    <col min="563" max="563" width="8.8984375" bestFit="1" customWidth="1"/>
    <col min="564" max="565" width="7.8984375" bestFit="1" customWidth="1"/>
    <col min="566" max="566" width="9.8984375" bestFit="1" customWidth="1"/>
    <col min="567" max="567" width="8.8984375" bestFit="1" customWidth="1"/>
    <col min="568" max="569" width="7.8984375" bestFit="1" customWidth="1"/>
    <col min="570" max="572" width="8.8984375" bestFit="1" customWidth="1"/>
    <col min="573" max="573" width="7.8984375" bestFit="1" customWidth="1"/>
    <col min="574" max="575" width="8.8984375" bestFit="1" customWidth="1"/>
    <col min="576" max="576" width="9.8984375" bestFit="1" customWidth="1"/>
    <col min="577" max="577" width="6.8984375" bestFit="1" customWidth="1"/>
    <col min="578" max="578" width="10.8984375" bestFit="1" customWidth="1"/>
    <col min="579" max="581" width="8.8984375" bestFit="1" customWidth="1"/>
    <col min="582" max="586" width="7.8984375" bestFit="1" customWidth="1"/>
    <col min="587" max="587" width="8.8984375" bestFit="1" customWidth="1"/>
    <col min="588" max="588" width="7.8984375" bestFit="1" customWidth="1"/>
    <col min="589" max="590" width="9.8984375" bestFit="1" customWidth="1"/>
    <col min="591" max="592" width="8.8984375" bestFit="1" customWidth="1"/>
    <col min="593" max="593" width="9.8984375" bestFit="1" customWidth="1"/>
    <col min="594" max="595" width="8.8984375" bestFit="1" customWidth="1"/>
    <col min="596" max="596" width="7.8984375" bestFit="1" customWidth="1"/>
    <col min="597" max="597" width="9.8984375" bestFit="1" customWidth="1"/>
    <col min="598" max="598" width="8.8984375" bestFit="1" customWidth="1"/>
    <col min="599" max="600" width="9.8984375" bestFit="1" customWidth="1"/>
    <col min="601" max="601" width="8.8984375" bestFit="1" customWidth="1"/>
    <col min="602" max="603" width="9.8984375" bestFit="1" customWidth="1"/>
    <col min="604" max="604" width="10.8984375" bestFit="1" customWidth="1"/>
    <col min="605" max="608" width="8.8984375" bestFit="1" customWidth="1"/>
    <col min="609" max="609" width="9.8984375" bestFit="1" customWidth="1"/>
    <col min="610" max="611" width="8.8984375" bestFit="1" customWidth="1"/>
    <col min="612" max="612" width="7.8984375" bestFit="1" customWidth="1"/>
    <col min="613" max="613" width="8.8984375" bestFit="1" customWidth="1"/>
    <col min="614" max="615" width="9.8984375" bestFit="1" customWidth="1"/>
    <col min="616" max="616" width="8.8984375" bestFit="1" customWidth="1"/>
    <col min="617" max="617" width="9.8984375" bestFit="1" customWidth="1"/>
    <col min="618" max="619" width="8.8984375" bestFit="1" customWidth="1"/>
    <col min="620" max="621" width="7.8984375" bestFit="1" customWidth="1"/>
    <col min="622" max="624" width="8.8984375" bestFit="1" customWidth="1"/>
    <col min="625" max="627" width="7.8984375" bestFit="1" customWidth="1"/>
    <col min="628" max="628" width="8.8984375" bestFit="1" customWidth="1"/>
    <col min="629" max="629" width="9.8984375" bestFit="1" customWidth="1"/>
    <col min="630" max="631" width="10.8984375" bestFit="1" customWidth="1"/>
    <col min="632" max="632" width="8.8984375" bestFit="1" customWidth="1"/>
    <col min="633" max="633" width="9.8984375" bestFit="1" customWidth="1"/>
    <col min="634" max="635" width="7.8984375" bestFit="1" customWidth="1"/>
    <col min="636" max="636" width="9.8984375" bestFit="1" customWidth="1"/>
    <col min="637" max="637" width="7.8984375" bestFit="1" customWidth="1"/>
    <col min="638" max="638" width="8.8984375" bestFit="1" customWidth="1"/>
    <col min="639" max="639" width="9.8984375" bestFit="1" customWidth="1"/>
    <col min="640" max="640" width="8.8984375" bestFit="1" customWidth="1"/>
    <col min="641" max="641" width="9.8984375" bestFit="1" customWidth="1"/>
    <col min="642" max="644" width="8.8984375" bestFit="1" customWidth="1"/>
    <col min="645" max="647" width="9.8984375" bestFit="1" customWidth="1"/>
    <col min="648" max="648" width="8.8984375" bestFit="1" customWidth="1"/>
    <col min="649" max="649" width="10.8984375" bestFit="1" customWidth="1"/>
    <col min="650" max="650" width="8.8984375" bestFit="1" customWidth="1"/>
    <col min="651" max="651" width="9.8984375" bestFit="1" customWidth="1"/>
    <col min="652" max="652" width="7.8984375" bestFit="1" customWidth="1"/>
    <col min="653" max="653" width="10.8984375" bestFit="1" customWidth="1"/>
    <col min="654" max="654" width="9.8984375" bestFit="1" customWidth="1"/>
    <col min="655" max="655" width="8.8984375" bestFit="1" customWidth="1"/>
    <col min="656" max="657" width="9.8984375" bestFit="1" customWidth="1"/>
    <col min="658" max="658" width="10.8984375" bestFit="1" customWidth="1"/>
    <col min="659" max="659" width="9.8984375" bestFit="1" customWidth="1"/>
    <col min="660" max="660" width="8.8984375" bestFit="1" customWidth="1"/>
    <col min="661" max="661" width="7.8984375" bestFit="1" customWidth="1"/>
    <col min="662" max="662" width="10.8984375" bestFit="1" customWidth="1"/>
    <col min="663" max="663" width="7.8984375" bestFit="1" customWidth="1"/>
    <col min="664" max="664" width="9.8984375" bestFit="1" customWidth="1"/>
    <col min="665" max="665" width="7.8984375" bestFit="1" customWidth="1"/>
    <col min="666" max="666" width="8.8984375" bestFit="1" customWidth="1"/>
    <col min="667" max="668" width="9.8984375" bestFit="1" customWidth="1"/>
    <col min="669" max="669" width="10.8984375" bestFit="1" customWidth="1"/>
    <col min="670" max="670" width="8.8984375" bestFit="1" customWidth="1"/>
    <col min="671" max="671" width="7.8984375" bestFit="1" customWidth="1"/>
    <col min="672" max="674" width="9.8984375" bestFit="1" customWidth="1"/>
    <col min="675" max="676" width="7.8984375" bestFit="1" customWidth="1"/>
    <col min="677" max="677" width="8.8984375" bestFit="1" customWidth="1"/>
    <col min="678" max="678" width="10.8984375" bestFit="1" customWidth="1"/>
    <col min="679" max="680" width="9.8984375" bestFit="1" customWidth="1"/>
    <col min="681" max="681" width="7.8984375" bestFit="1" customWidth="1"/>
    <col min="682" max="682" width="9.8984375" bestFit="1" customWidth="1"/>
    <col min="683" max="684" width="8.8984375" bestFit="1" customWidth="1"/>
    <col min="685" max="685" width="9.8984375" bestFit="1" customWidth="1"/>
    <col min="686" max="686" width="8.8984375" bestFit="1" customWidth="1"/>
    <col min="687" max="687" width="10.8984375" bestFit="1" customWidth="1"/>
    <col min="688" max="688" width="7.8984375" bestFit="1" customWidth="1"/>
    <col min="689" max="690" width="9.8984375" bestFit="1" customWidth="1"/>
    <col min="691" max="691" width="7.8984375" bestFit="1" customWidth="1"/>
    <col min="692" max="693" width="8.8984375" bestFit="1" customWidth="1"/>
    <col min="694" max="694" width="10.8984375" bestFit="1" customWidth="1"/>
    <col min="695" max="695" width="7.8984375" bestFit="1" customWidth="1"/>
    <col min="696" max="697" width="9.8984375" bestFit="1" customWidth="1"/>
    <col min="698" max="699" width="10.8984375" bestFit="1" customWidth="1"/>
    <col min="700" max="700" width="8.8984375" bestFit="1" customWidth="1"/>
    <col min="701" max="701" width="7.8984375" bestFit="1" customWidth="1"/>
    <col min="702" max="703" width="8.8984375" bestFit="1" customWidth="1"/>
    <col min="704" max="704" width="9.8984375" bestFit="1" customWidth="1"/>
    <col min="705" max="706" width="8.8984375" bestFit="1" customWidth="1"/>
    <col min="707" max="707" width="9.8984375" bestFit="1" customWidth="1"/>
    <col min="708" max="708" width="10.8984375" bestFit="1" customWidth="1"/>
    <col min="709" max="709" width="9.8984375" bestFit="1" customWidth="1"/>
    <col min="710" max="710" width="8.8984375" bestFit="1" customWidth="1"/>
    <col min="711" max="713" width="9.8984375" bestFit="1" customWidth="1"/>
    <col min="714" max="714" width="8.8984375" bestFit="1" customWidth="1"/>
    <col min="715" max="715" width="9.8984375" bestFit="1" customWidth="1"/>
    <col min="716" max="719" width="8.8984375" bestFit="1" customWidth="1"/>
    <col min="720" max="721" width="10.8984375" bestFit="1" customWidth="1"/>
    <col min="722" max="723" width="9.8984375" bestFit="1" customWidth="1"/>
    <col min="724" max="724" width="8.8984375" bestFit="1" customWidth="1"/>
    <col min="725" max="725" width="7.8984375" bestFit="1" customWidth="1"/>
    <col min="726" max="726" width="8.8984375" bestFit="1" customWidth="1"/>
    <col min="727" max="730" width="9.8984375" bestFit="1" customWidth="1"/>
    <col min="731" max="732" width="8.8984375" bestFit="1" customWidth="1"/>
    <col min="733" max="738" width="9.8984375" bestFit="1" customWidth="1"/>
    <col min="739" max="740" width="7.8984375" bestFit="1" customWidth="1"/>
    <col min="741" max="741" width="8.8984375" bestFit="1" customWidth="1"/>
    <col min="742" max="742" width="9.8984375" bestFit="1" customWidth="1"/>
    <col min="743" max="743" width="8.8984375" bestFit="1" customWidth="1"/>
    <col min="744" max="745" width="9.8984375" bestFit="1" customWidth="1"/>
    <col min="746" max="750" width="8.8984375" bestFit="1" customWidth="1"/>
    <col min="751" max="751" width="9.8984375" bestFit="1" customWidth="1"/>
    <col min="752" max="752" width="10.8984375" bestFit="1" customWidth="1"/>
    <col min="753" max="753" width="9.8984375" bestFit="1" customWidth="1"/>
    <col min="754" max="755" width="8.8984375" bestFit="1" customWidth="1"/>
    <col min="756" max="757" width="9.8984375" bestFit="1" customWidth="1"/>
    <col min="758" max="758" width="8.8984375" bestFit="1" customWidth="1"/>
    <col min="759" max="759" width="10.8984375" bestFit="1" customWidth="1"/>
    <col min="760" max="760" width="9.8984375" bestFit="1" customWidth="1"/>
    <col min="761" max="762" width="10.8984375" bestFit="1" customWidth="1"/>
    <col min="763" max="763" width="9.8984375" bestFit="1" customWidth="1"/>
    <col min="764" max="764" width="10.8984375" bestFit="1" customWidth="1"/>
    <col min="765" max="766" width="9.8984375" bestFit="1" customWidth="1"/>
    <col min="767" max="767" width="7.8984375" bestFit="1" customWidth="1"/>
    <col min="768" max="769" width="8.8984375" bestFit="1" customWidth="1"/>
    <col min="770" max="770" width="7.8984375" bestFit="1" customWidth="1"/>
    <col min="771" max="771" width="8.8984375" bestFit="1" customWidth="1"/>
    <col min="772" max="775" width="9.8984375" bestFit="1" customWidth="1"/>
    <col min="776" max="779" width="8.8984375" bestFit="1" customWidth="1"/>
    <col min="780" max="781" width="10.8984375" bestFit="1" customWidth="1"/>
    <col min="782" max="783" width="9.8984375" bestFit="1" customWidth="1"/>
    <col min="784" max="784" width="8.8984375" bestFit="1" customWidth="1"/>
    <col min="785" max="785" width="7.8984375" bestFit="1" customWidth="1"/>
    <col min="786" max="786" width="9.8984375" bestFit="1" customWidth="1"/>
    <col min="787" max="787" width="8.8984375" bestFit="1" customWidth="1"/>
    <col min="788" max="788" width="9.8984375" bestFit="1" customWidth="1"/>
    <col min="789" max="789" width="7.8984375" bestFit="1" customWidth="1"/>
    <col min="790" max="791" width="10.8984375" bestFit="1" customWidth="1"/>
    <col min="792" max="792" width="8.8984375" bestFit="1" customWidth="1"/>
    <col min="793" max="793" width="7.8984375" bestFit="1" customWidth="1"/>
    <col min="794" max="794" width="9.8984375" bestFit="1" customWidth="1"/>
    <col min="795" max="795" width="10.8984375" bestFit="1" customWidth="1"/>
    <col min="796" max="797" width="8.8984375" bestFit="1" customWidth="1"/>
    <col min="798" max="798" width="9.8984375" bestFit="1" customWidth="1"/>
    <col min="799" max="799" width="7.8984375" bestFit="1" customWidth="1"/>
    <col min="800" max="800" width="8.8984375" bestFit="1" customWidth="1"/>
    <col min="801" max="801" width="7.8984375" bestFit="1" customWidth="1"/>
    <col min="802" max="804" width="9.8984375" bestFit="1" customWidth="1"/>
    <col min="805" max="805" width="7.8984375" bestFit="1" customWidth="1"/>
    <col min="806" max="806" width="9.8984375" bestFit="1" customWidth="1"/>
    <col min="807" max="807" width="8.8984375" bestFit="1" customWidth="1"/>
    <col min="808" max="808" width="9.8984375" bestFit="1" customWidth="1"/>
    <col min="809" max="809" width="7.8984375" bestFit="1" customWidth="1"/>
    <col min="810" max="811" width="9.8984375" bestFit="1" customWidth="1"/>
    <col min="812" max="814" width="8.8984375" bestFit="1" customWidth="1"/>
    <col min="815" max="815" width="10.8984375" bestFit="1" customWidth="1"/>
    <col min="816" max="816" width="8.8984375" bestFit="1" customWidth="1"/>
    <col min="817" max="817" width="10.8984375" bestFit="1" customWidth="1"/>
    <col min="818" max="818" width="9.8984375" bestFit="1" customWidth="1"/>
    <col min="819" max="819" width="8.8984375" bestFit="1" customWidth="1"/>
    <col min="820" max="820" width="10.8984375" bestFit="1" customWidth="1"/>
    <col min="821" max="821" width="8.8984375" bestFit="1" customWidth="1"/>
    <col min="822" max="822" width="7.8984375" bestFit="1" customWidth="1"/>
    <col min="823" max="823" width="9.8984375" bestFit="1" customWidth="1"/>
    <col min="824" max="824" width="8.8984375" bestFit="1" customWidth="1"/>
    <col min="825" max="825" width="7.8984375" bestFit="1" customWidth="1"/>
    <col min="826" max="826" width="9.8984375" bestFit="1" customWidth="1"/>
    <col min="827" max="827" width="8.8984375" bestFit="1" customWidth="1"/>
    <col min="828" max="828" width="10.8984375" bestFit="1" customWidth="1"/>
    <col min="829" max="829" width="9.8984375" bestFit="1" customWidth="1"/>
    <col min="830" max="830" width="8.8984375" bestFit="1" customWidth="1"/>
    <col min="831" max="831" width="7.8984375" bestFit="1" customWidth="1"/>
    <col min="832" max="833" width="9.8984375" bestFit="1" customWidth="1"/>
    <col min="834" max="834" width="8.8984375" bestFit="1" customWidth="1"/>
    <col min="835" max="836" width="9.8984375" bestFit="1" customWidth="1"/>
    <col min="837" max="837" width="10.8984375" bestFit="1" customWidth="1"/>
    <col min="838" max="838" width="9.8984375" bestFit="1" customWidth="1"/>
    <col min="839" max="841" width="8.8984375" bestFit="1" customWidth="1"/>
    <col min="842" max="842" width="7.8984375" bestFit="1" customWidth="1"/>
    <col min="843" max="843" width="9.8984375" bestFit="1" customWidth="1"/>
    <col min="844" max="844" width="10.8984375" bestFit="1" customWidth="1"/>
    <col min="845" max="845" width="7.8984375" bestFit="1" customWidth="1"/>
    <col min="846" max="846" width="10.8984375" bestFit="1" customWidth="1"/>
    <col min="847" max="847" width="9.8984375" bestFit="1" customWidth="1"/>
    <col min="848" max="848" width="10.8984375" bestFit="1" customWidth="1"/>
    <col min="849" max="850" width="9.8984375" bestFit="1" customWidth="1"/>
    <col min="851" max="851" width="8.8984375" bestFit="1" customWidth="1"/>
    <col min="852" max="853" width="9.8984375" bestFit="1" customWidth="1"/>
    <col min="854" max="854" width="8.8984375" bestFit="1" customWidth="1"/>
    <col min="855" max="855" width="7.8984375" bestFit="1" customWidth="1"/>
    <col min="856" max="856" width="10.8984375" bestFit="1" customWidth="1"/>
    <col min="857" max="857" width="8.8984375" bestFit="1" customWidth="1"/>
    <col min="858" max="858" width="9.8984375" bestFit="1" customWidth="1"/>
    <col min="859" max="859" width="8.8984375" bestFit="1" customWidth="1"/>
    <col min="860" max="861" width="9.8984375" bestFit="1" customWidth="1"/>
    <col min="862" max="862" width="8.8984375" bestFit="1" customWidth="1"/>
    <col min="863" max="863" width="9.8984375" bestFit="1" customWidth="1"/>
    <col min="864" max="865" width="8.8984375" bestFit="1" customWidth="1"/>
    <col min="866" max="867" width="9.8984375" bestFit="1" customWidth="1"/>
    <col min="868" max="868" width="8.8984375" bestFit="1" customWidth="1"/>
    <col min="869" max="869" width="9.8984375" bestFit="1" customWidth="1"/>
    <col min="870" max="871" width="10.8984375" bestFit="1" customWidth="1"/>
    <col min="872" max="873" width="9.8984375" bestFit="1" customWidth="1"/>
    <col min="874" max="875" width="8.8984375" bestFit="1" customWidth="1"/>
    <col min="876" max="876" width="7.8984375" bestFit="1" customWidth="1"/>
    <col min="877" max="877" width="9.8984375" bestFit="1" customWidth="1"/>
    <col min="878" max="880" width="8.8984375" bestFit="1" customWidth="1"/>
    <col min="881" max="884" width="9.8984375" bestFit="1" customWidth="1"/>
    <col min="885" max="885" width="8.8984375" bestFit="1" customWidth="1"/>
    <col min="886" max="886" width="9.8984375" bestFit="1" customWidth="1"/>
    <col min="887" max="887" width="8.8984375" bestFit="1" customWidth="1"/>
    <col min="888" max="890" width="9.8984375" bestFit="1" customWidth="1"/>
    <col min="891" max="892" width="8.8984375" bestFit="1" customWidth="1"/>
    <col min="893" max="893" width="10.8984375" bestFit="1" customWidth="1"/>
    <col min="894" max="895" width="9.8984375" bestFit="1" customWidth="1"/>
    <col min="896" max="896" width="10.8984375" bestFit="1" customWidth="1"/>
    <col min="897" max="898" width="8.8984375" bestFit="1" customWidth="1"/>
    <col min="899" max="900" width="10.8984375" bestFit="1" customWidth="1"/>
    <col min="901" max="901" width="9.8984375" bestFit="1" customWidth="1"/>
    <col min="902" max="902" width="11.8984375" bestFit="1" customWidth="1"/>
    <col min="903" max="903" width="10.8984375" bestFit="1" customWidth="1"/>
    <col min="904" max="904" width="8.59765625" bestFit="1" customWidth="1"/>
    <col min="905" max="905" width="10.8984375" bestFit="1" customWidth="1"/>
    <col min="906" max="906" width="9.59765625" bestFit="1" customWidth="1"/>
    <col min="907" max="907" width="11.8984375" bestFit="1" customWidth="1"/>
    <col min="908" max="908" width="10.59765625" bestFit="1" customWidth="1"/>
    <col min="909" max="909" width="13" bestFit="1" customWidth="1"/>
    <col min="910" max="910" width="9.59765625" bestFit="1" customWidth="1"/>
    <col min="911" max="911" width="11.8984375" bestFit="1" customWidth="1"/>
    <col min="912" max="912" width="10.59765625" bestFit="1" customWidth="1"/>
    <col min="913" max="913" width="13" bestFit="1" customWidth="1"/>
    <col min="914" max="914" width="10.59765625" bestFit="1" customWidth="1"/>
    <col min="915" max="915" width="13" bestFit="1" customWidth="1"/>
    <col min="916" max="916" width="9.59765625" bestFit="1" customWidth="1"/>
    <col min="917" max="917" width="11.8984375" bestFit="1" customWidth="1"/>
    <col min="918" max="918" width="8.59765625" bestFit="1" customWidth="1"/>
    <col min="919" max="919" width="10.8984375" bestFit="1" customWidth="1"/>
    <col min="920" max="920" width="9.59765625" bestFit="1" customWidth="1"/>
    <col min="921" max="921" width="11.8984375" bestFit="1" customWidth="1"/>
    <col min="922" max="922" width="10.59765625" bestFit="1" customWidth="1"/>
    <col min="923" max="923" width="13" bestFit="1" customWidth="1"/>
    <col min="924" max="924" width="10.59765625" bestFit="1" customWidth="1"/>
    <col min="925" max="925" width="13" bestFit="1" customWidth="1"/>
    <col min="926" max="926" width="9.59765625" bestFit="1" customWidth="1"/>
    <col min="927" max="927" width="11.8984375" bestFit="1" customWidth="1"/>
    <col min="928" max="928" width="9.59765625" bestFit="1" customWidth="1"/>
    <col min="929" max="929" width="11.8984375" bestFit="1" customWidth="1"/>
    <col min="930" max="930" width="9.59765625" bestFit="1" customWidth="1"/>
    <col min="931" max="931" width="11.8984375" bestFit="1" customWidth="1"/>
    <col min="932" max="932" width="11.59765625" bestFit="1" customWidth="1"/>
    <col min="933" max="933" width="14" bestFit="1" customWidth="1"/>
    <col min="934" max="934" width="9.59765625" bestFit="1" customWidth="1"/>
    <col min="935" max="935" width="11.8984375" bestFit="1" customWidth="1"/>
    <col min="936" max="936" width="10.59765625" bestFit="1" customWidth="1"/>
    <col min="937" max="937" width="13" bestFit="1" customWidth="1"/>
    <col min="938" max="938" width="10.59765625" bestFit="1" customWidth="1"/>
    <col min="939" max="939" width="13" bestFit="1" customWidth="1"/>
    <col min="940" max="940" width="9.59765625" bestFit="1" customWidth="1"/>
    <col min="941" max="941" width="11.8984375" bestFit="1" customWidth="1"/>
    <col min="942" max="942" width="9.59765625" bestFit="1" customWidth="1"/>
    <col min="943" max="943" width="11.8984375" bestFit="1" customWidth="1"/>
    <col min="944" max="944" width="9.59765625" bestFit="1" customWidth="1"/>
    <col min="945" max="945" width="11.8984375" bestFit="1" customWidth="1"/>
    <col min="946" max="946" width="9.59765625" bestFit="1" customWidth="1"/>
    <col min="947" max="947" width="11.8984375" bestFit="1" customWidth="1"/>
    <col min="948" max="948" width="9.59765625" bestFit="1" customWidth="1"/>
    <col min="949" max="949" width="11.8984375" bestFit="1" customWidth="1"/>
    <col min="950" max="950" width="11.59765625" bestFit="1" customWidth="1"/>
    <col min="951" max="951" width="14" bestFit="1" customWidth="1"/>
    <col min="952" max="952" width="7.8984375" bestFit="1" customWidth="1"/>
    <col min="953" max="953" width="9.3984375" bestFit="1" customWidth="1"/>
    <col min="954" max="954" width="10.59765625" bestFit="1" customWidth="1"/>
    <col min="955" max="955" width="13" bestFit="1" customWidth="1"/>
    <col min="956" max="956" width="10.59765625" bestFit="1" customWidth="1"/>
    <col min="957" max="957" width="13" bestFit="1" customWidth="1"/>
    <col min="958" max="958" width="11.59765625" bestFit="1" customWidth="1"/>
    <col min="959" max="959" width="14" bestFit="1" customWidth="1"/>
    <col min="960" max="960" width="10.59765625" bestFit="1" customWidth="1"/>
    <col min="961" max="961" width="13" bestFit="1" customWidth="1"/>
    <col min="962" max="962" width="10.59765625" bestFit="1" customWidth="1"/>
    <col min="963" max="963" width="13" bestFit="1" customWidth="1"/>
    <col min="964" max="964" width="10.59765625" bestFit="1" customWidth="1"/>
    <col min="965" max="965" width="13" bestFit="1" customWidth="1"/>
    <col min="966" max="966" width="10.59765625" bestFit="1" customWidth="1"/>
    <col min="967" max="967" width="13" bestFit="1" customWidth="1"/>
    <col min="968" max="968" width="10.59765625" bestFit="1" customWidth="1"/>
    <col min="969" max="969" width="13" bestFit="1" customWidth="1"/>
    <col min="970" max="970" width="10.59765625" bestFit="1" customWidth="1"/>
    <col min="971" max="971" width="13" bestFit="1" customWidth="1"/>
    <col min="972" max="972" width="10.59765625" bestFit="1" customWidth="1"/>
    <col min="973" max="973" width="13" bestFit="1" customWidth="1"/>
    <col min="974" max="974" width="10.59765625" bestFit="1" customWidth="1"/>
    <col min="975" max="975" width="13" bestFit="1" customWidth="1"/>
    <col min="976" max="976" width="11.59765625" bestFit="1" customWidth="1"/>
    <col min="977" max="977" width="14" bestFit="1" customWidth="1"/>
    <col min="978" max="978" width="11.59765625" bestFit="1" customWidth="1"/>
    <col min="979" max="979" width="14" bestFit="1" customWidth="1"/>
    <col min="980" max="980" width="11.59765625" bestFit="1" customWidth="1"/>
    <col min="981" max="981" width="14" bestFit="1" customWidth="1"/>
    <col min="982" max="982" width="10.59765625" bestFit="1" customWidth="1"/>
    <col min="983" max="983" width="13" bestFit="1" customWidth="1"/>
    <col min="984" max="984" width="9.59765625" bestFit="1" customWidth="1"/>
    <col min="985" max="985" width="11.8984375" bestFit="1" customWidth="1"/>
    <col min="986" max="986" width="10.59765625" bestFit="1" customWidth="1"/>
    <col min="987" max="987" width="13" bestFit="1" customWidth="1"/>
    <col min="988" max="988" width="10.59765625" bestFit="1" customWidth="1"/>
    <col min="989" max="989" width="13" bestFit="1" customWidth="1"/>
    <col min="990" max="990" width="9.59765625" bestFit="1" customWidth="1"/>
    <col min="991" max="991" width="11.8984375" bestFit="1" customWidth="1"/>
    <col min="992" max="992" width="9.59765625" bestFit="1" customWidth="1"/>
    <col min="993" max="993" width="11.8984375" bestFit="1" customWidth="1"/>
    <col min="994" max="994" width="10.59765625" bestFit="1" customWidth="1"/>
    <col min="995" max="995" width="13" bestFit="1" customWidth="1"/>
    <col min="996" max="996" width="9.59765625" bestFit="1" customWidth="1"/>
    <col min="997" max="997" width="11.8984375" bestFit="1" customWidth="1"/>
    <col min="998" max="998" width="11.59765625" bestFit="1" customWidth="1"/>
    <col min="999" max="999" width="14" bestFit="1" customWidth="1"/>
    <col min="1000" max="1000" width="11.59765625" bestFit="1" customWidth="1"/>
    <col min="1001" max="1001" width="14" bestFit="1" customWidth="1"/>
    <col min="1002" max="1002" width="9.59765625" bestFit="1" customWidth="1"/>
    <col min="1003" max="1003" width="11.8984375" bestFit="1" customWidth="1"/>
    <col min="1004" max="1004" width="9.59765625" bestFit="1" customWidth="1"/>
    <col min="1005" max="1005" width="11.8984375" bestFit="1" customWidth="1"/>
    <col min="1006" max="1006" width="9.59765625" bestFit="1" customWidth="1"/>
    <col min="1007" max="1007" width="11.8984375" bestFit="1" customWidth="1"/>
    <col min="1008" max="1008" width="9.59765625" bestFit="1" customWidth="1"/>
    <col min="1009" max="1009" width="11.8984375" bestFit="1" customWidth="1"/>
    <col min="1010" max="1010" width="9.59765625" bestFit="1" customWidth="1"/>
    <col min="1011" max="1011" width="11.8984375" bestFit="1" customWidth="1"/>
    <col min="1012" max="1012" width="11.59765625" bestFit="1" customWidth="1"/>
    <col min="1013" max="1013" width="14" bestFit="1" customWidth="1"/>
    <col min="1014" max="1014" width="9.59765625" bestFit="1" customWidth="1"/>
    <col min="1015" max="1015" width="11.8984375" bestFit="1" customWidth="1"/>
    <col min="1016" max="1016" width="11.59765625" bestFit="1" customWidth="1"/>
    <col min="1017" max="1017" width="14" bestFit="1" customWidth="1"/>
    <col min="1018" max="1018" width="9.59765625" bestFit="1" customWidth="1"/>
    <col min="1019" max="1019" width="11.8984375" bestFit="1" customWidth="1"/>
    <col min="1020" max="1020" width="9.59765625" bestFit="1" customWidth="1"/>
    <col min="1021" max="1021" width="11.8984375" bestFit="1" customWidth="1"/>
    <col min="1022" max="1022" width="9.59765625" bestFit="1" customWidth="1"/>
    <col min="1023" max="1023" width="11.8984375" bestFit="1" customWidth="1"/>
    <col min="1024" max="1024" width="9.59765625" bestFit="1" customWidth="1"/>
    <col min="1025" max="1025" width="11.8984375" bestFit="1" customWidth="1"/>
    <col min="1026" max="1026" width="10.59765625" bestFit="1" customWidth="1"/>
    <col min="1027" max="1027" width="13" bestFit="1" customWidth="1"/>
    <col min="1028" max="1028" width="9.59765625" bestFit="1" customWidth="1"/>
    <col min="1029" max="1029" width="11.8984375" bestFit="1" customWidth="1"/>
    <col min="1030" max="1030" width="9.59765625" bestFit="1" customWidth="1"/>
    <col min="1031" max="1031" width="11.8984375" bestFit="1" customWidth="1"/>
    <col min="1032" max="1032" width="10.59765625" bestFit="1" customWidth="1"/>
    <col min="1033" max="1033" width="13" bestFit="1" customWidth="1"/>
    <col min="1034" max="1034" width="9.59765625" bestFit="1" customWidth="1"/>
    <col min="1035" max="1035" width="11.8984375" bestFit="1" customWidth="1"/>
    <col min="1036" max="1036" width="10.59765625" bestFit="1" customWidth="1"/>
    <col min="1037" max="1037" width="13" bestFit="1" customWidth="1"/>
    <col min="1038" max="1038" width="9.59765625" bestFit="1" customWidth="1"/>
    <col min="1039" max="1039" width="11.8984375" bestFit="1" customWidth="1"/>
    <col min="1040" max="1040" width="11.59765625" bestFit="1" customWidth="1"/>
    <col min="1041" max="1041" width="14" bestFit="1" customWidth="1"/>
    <col min="1042" max="1042" width="9.59765625" bestFit="1" customWidth="1"/>
    <col min="1043" max="1043" width="11.8984375" bestFit="1" customWidth="1"/>
    <col min="1044" max="1044" width="10.59765625" bestFit="1" customWidth="1"/>
    <col min="1045" max="1045" width="13" bestFit="1" customWidth="1"/>
    <col min="1046" max="1046" width="8.59765625" bestFit="1" customWidth="1"/>
    <col min="1047" max="1047" width="10.8984375" bestFit="1" customWidth="1"/>
    <col min="1048" max="1048" width="9.59765625" bestFit="1" customWidth="1"/>
    <col min="1049" max="1049" width="11.8984375" bestFit="1" customWidth="1"/>
    <col min="1050" max="1050" width="11.59765625" bestFit="1" customWidth="1"/>
    <col min="1051" max="1051" width="14" bestFit="1" customWidth="1"/>
    <col min="1052" max="1052" width="9.59765625" bestFit="1" customWidth="1"/>
    <col min="1053" max="1053" width="11.8984375" bestFit="1" customWidth="1"/>
    <col min="1054" max="1054" width="9.59765625" bestFit="1" customWidth="1"/>
    <col min="1055" max="1055" width="11.8984375" bestFit="1" customWidth="1"/>
    <col min="1056" max="1056" width="10.59765625" bestFit="1" customWidth="1"/>
    <col min="1057" max="1057" width="13" bestFit="1" customWidth="1"/>
    <col min="1058" max="1058" width="10.59765625" bestFit="1" customWidth="1"/>
    <col min="1059" max="1059" width="13" bestFit="1" customWidth="1"/>
    <col min="1060" max="1060" width="8.59765625" bestFit="1" customWidth="1"/>
    <col min="1061" max="1061" width="10.8984375" bestFit="1" customWidth="1"/>
    <col min="1062" max="1062" width="9.59765625" bestFit="1" customWidth="1"/>
    <col min="1063" max="1063" width="11.8984375" bestFit="1" customWidth="1"/>
    <col min="1064" max="1064" width="10.59765625" bestFit="1" customWidth="1"/>
    <col min="1065" max="1065" width="13" bestFit="1" customWidth="1"/>
    <col min="1066" max="1066" width="9.59765625" bestFit="1" customWidth="1"/>
    <col min="1067" max="1067" width="11.8984375" bestFit="1" customWidth="1"/>
    <col min="1068" max="1068" width="10.59765625" bestFit="1" customWidth="1"/>
    <col min="1069" max="1069" width="13" bestFit="1" customWidth="1"/>
    <col min="1070" max="1070" width="9.59765625" bestFit="1" customWidth="1"/>
    <col min="1071" max="1071" width="11.8984375" bestFit="1" customWidth="1"/>
    <col min="1072" max="1072" width="10.59765625" bestFit="1" customWidth="1"/>
    <col min="1073" max="1073" width="13" bestFit="1" customWidth="1"/>
    <col min="1074" max="1074" width="11.59765625" bestFit="1" customWidth="1"/>
    <col min="1075" max="1075" width="14" bestFit="1" customWidth="1"/>
    <col min="1076" max="1076" width="10.59765625" bestFit="1" customWidth="1"/>
    <col min="1077" max="1077" width="13" bestFit="1" customWidth="1"/>
    <col min="1078" max="1078" width="10.59765625" bestFit="1" customWidth="1"/>
    <col min="1079" max="1079" width="13" bestFit="1" customWidth="1"/>
    <col min="1080" max="1080" width="10.59765625" bestFit="1" customWidth="1"/>
    <col min="1081" max="1081" width="13" bestFit="1" customWidth="1"/>
    <col min="1082" max="1082" width="11.59765625" bestFit="1" customWidth="1"/>
    <col min="1083" max="1083" width="14" bestFit="1" customWidth="1"/>
    <col min="1084" max="1084" width="9.59765625" bestFit="1" customWidth="1"/>
    <col min="1085" max="1085" width="11.8984375" bestFit="1" customWidth="1"/>
    <col min="1086" max="1086" width="9.59765625" bestFit="1" customWidth="1"/>
    <col min="1087" max="1087" width="11.8984375" bestFit="1" customWidth="1"/>
    <col min="1088" max="1088" width="10.59765625" bestFit="1" customWidth="1"/>
    <col min="1089" max="1089" width="13" bestFit="1" customWidth="1"/>
    <col min="1090" max="1090" width="8.59765625" bestFit="1" customWidth="1"/>
    <col min="1091" max="1091" width="10.8984375" bestFit="1" customWidth="1"/>
    <col min="1092" max="1092" width="10.59765625" bestFit="1" customWidth="1"/>
    <col min="1093" max="1093" width="13" bestFit="1" customWidth="1"/>
    <col min="1094" max="1094" width="9.59765625" bestFit="1" customWidth="1"/>
    <col min="1095" max="1095" width="11.8984375" bestFit="1" customWidth="1"/>
    <col min="1096" max="1096" width="9.59765625" bestFit="1" customWidth="1"/>
    <col min="1097" max="1097" width="11.8984375" bestFit="1" customWidth="1"/>
    <col min="1098" max="1098" width="9.59765625" bestFit="1" customWidth="1"/>
    <col min="1099" max="1099" width="11.8984375" bestFit="1" customWidth="1"/>
    <col min="1100" max="1100" width="10.59765625" bestFit="1" customWidth="1"/>
    <col min="1101" max="1101" width="13" bestFit="1" customWidth="1"/>
    <col min="1102" max="1102" width="10.59765625" bestFit="1" customWidth="1"/>
    <col min="1103" max="1103" width="13" bestFit="1" customWidth="1"/>
    <col min="1104" max="1104" width="9.59765625" bestFit="1" customWidth="1"/>
    <col min="1105" max="1105" width="11.8984375" bestFit="1" customWidth="1"/>
    <col min="1106" max="1106" width="9.59765625" bestFit="1" customWidth="1"/>
    <col min="1107" max="1107" width="11.8984375" bestFit="1" customWidth="1"/>
    <col min="1108" max="1108" width="10.59765625" bestFit="1" customWidth="1"/>
    <col min="1109" max="1109" width="13" bestFit="1" customWidth="1"/>
    <col min="1110" max="1110" width="9.59765625" bestFit="1" customWidth="1"/>
    <col min="1111" max="1111" width="11.8984375" bestFit="1" customWidth="1"/>
    <col min="1112" max="1112" width="9.59765625" bestFit="1" customWidth="1"/>
    <col min="1113" max="1113" width="11.8984375" bestFit="1" customWidth="1"/>
    <col min="1114" max="1114" width="9.59765625" bestFit="1" customWidth="1"/>
    <col min="1115" max="1115" width="11.8984375" bestFit="1" customWidth="1"/>
    <col min="1116" max="1116" width="9.59765625" bestFit="1" customWidth="1"/>
    <col min="1117" max="1117" width="11.8984375" bestFit="1" customWidth="1"/>
    <col min="1118" max="1118" width="9.59765625" bestFit="1" customWidth="1"/>
    <col min="1119" max="1119" width="11.8984375" bestFit="1" customWidth="1"/>
    <col min="1120" max="1120" width="11.59765625" bestFit="1" customWidth="1"/>
    <col min="1121" max="1121" width="14" bestFit="1" customWidth="1"/>
    <col min="1122" max="1122" width="12.59765625" bestFit="1" customWidth="1"/>
    <col min="1123" max="1123" width="15" bestFit="1" customWidth="1"/>
    <col min="1124" max="1124" width="10.59765625" bestFit="1" customWidth="1"/>
    <col min="1125" max="1125" width="13" bestFit="1" customWidth="1"/>
    <col min="1126" max="1126" width="12.59765625" bestFit="1" customWidth="1"/>
    <col min="1127" max="1127" width="15" bestFit="1" customWidth="1"/>
    <col min="1128" max="1128" width="10.59765625" bestFit="1" customWidth="1"/>
    <col min="1129" max="1129" width="13" bestFit="1" customWidth="1"/>
    <col min="1130" max="1130" width="11.59765625" bestFit="1" customWidth="1"/>
    <col min="1131" max="1131" width="14" bestFit="1" customWidth="1"/>
    <col min="1132" max="1132" width="9.59765625" bestFit="1" customWidth="1"/>
    <col min="1133" max="1133" width="11.8984375" bestFit="1" customWidth="1"/>
    <col min="1134" max="1134" width="11.59765625" bestFit="1" customWidth="1"/>
    <col min="1135" max="1135" width="14" bestFit="1" customWidth="1"/>
    <col min="1136" max="1136" width="10.59765625" bestFit="1" customWidth="1"/>
    <col min="1137" max="1137" width="13" bestFit="1" customWidth="1"/>
    <col min="1138" max="1138" width="11.59765625" bestFit="1" customWidth="1"/>
    <col min="1139" max="1139" width="14" bestFit="1" customWidth="1"/>
    <col min="1140" max="1140" width="10.59765625" bestFit="1" customWidth="1"/>
    <col min="1141" max="1141" width="13" bestFit="1" customWidth="1"/>
    <col min="1142" max="1142" width="11.59765625" bestFit="1" customWidth="1"/>
    <col min="1143" max="1143" width="14" bestFit="1" customWidth="1"/>
    <col min="1144" max="1144" width="11.59765625" bestFit="1" customWidth="1"/>
    <col min="1145" max="1145" width="14" bestFit="1" customWidth="1"/>
    <col min="1146" max="1146" width="10.59765625" bestFit="1" customWidth="1"/>
    <col min="1147" max="1147" width="13" bestFit="1" customWidth="1"/>
    <col min="1148" max="1148" width="11.59765625" bestFit="1" customWidth="1"/>
    <col min="1149" max="1149" width="14" bestFit="1" customWidth="1"/>
    <col min="1150" max="1150" width="11.59765625" bestFit="1" customWidth="1"/>
    <col min="1151" max="1151" width="14" bestFit="1" customWidth="1"/>
    <col min="1152" max="1152" width="11.59765625" bestFit="1" customWidth="1"/>
    <col min="1153" max="1153" width="14" bestFit="1" customWidth="1"/>
    <col min="1154" max="1154" width="10.59765625" bestFit="1" customWidth="1"/>
    <col min="1155" max="1155" width="13" bestFit="1" customWidth="1"/>
    <col min="1156" max="1156" width="11.59765625" bestFit="1" customWidth="1"/>
    <col min="1157" max="1157" width="14" bestFit="1" customWidth="1"/>
    <col min="1158" max="1158" width="10.59765625" bestFit="1" customWidth="1"/>
    <col min="1159" max="1159" width="13" bestFit="1" customWidth="1"/>
    <col min="1160" max="1160" width="10.59765625" bestFit="1" customWidth="1"/>
    <col min="1161" max="1161" width="13" bestFit="1" customWidth="1"/>
    <col min="1162" max="1162" width="10.59765625" bestFit="1" customWidth="1"/>
    <col min="1163" max="1163" width="13" bestFit="1" customWidth="1"/>
    <col min="1164" max="1164" width="11.59765625" bestFit="1" customWidth="1"/>
    <col min="1165" max="1165" width="14" bestFit="1" customWidth="1"/>
    <col min="1166" max="1166" width="10.59765625" bestFit="1" customWidth="1"/>
    <col min="1167" max="1167" width="13" bestFit="1" customWidth="1"/>
    <col min="1168" max="1168" width="10.59765625" bestFit="1" customWidth="1"/>
    <col min="1169" max="1169" width="13" bestFit="1" customWidth="1"/>
    <col min="1170" max="1170" width="11.59765625" bestFit="1" customWidth="1"/>
    <col min="1171" max="1171" width="14" bestFit="1" customWidth="1"/>
    <col min="1172" max="1172" width="11.59765625" bestFit="1" customWidth="1"/>
    <col min="1173" max="1173" width="14" bestFit="1" customWidth="1"/>
    <col min="1174" max="1174" width="11.59765625" bestFit="1" customWidth="1"/>
    <col min="1175" max="1175" width="14" bestFit="1" customWidth="1"/>
    <col min="1176" max="1176" width="11.59765625" bestFit="1" customWidth="1"/>
    <col min="1177" max="1177" width="14" bestFit="1" customWidth="1"/>
    <col min="1178" max="1178" width="12.59765625" bestFit="1" customWidth="1"/>
    <col min="1179" max="1179" width="15" bestFit="1" customWidth="1"/>
    <col min="1180" max="1180" width="11.59765625" bestFit="1" customWidth="1"/>
    <col min="1181" max="1181" width="14" bestFit="1" customWidth="1"/>
    <col min="1182" max="1182" width="11.59765625" bestFit="1" customWidth="1"/>
    <col min="1183" max="1183" width="14" bestFit="1" customWidth="1"/>
    <col min="1184" max="1184" width="11.59765625" bestFit="1" customWidth="1"/>
    <col min="1185" max="1185" width="14" bestFit="1" customWidth="1"/>
    <col min="1186" max="1186" width="10.59765625" bestFit="1" customWidth="1"/>
    <col min="1187" max="1187" width="13" bestFit="1" customWidth="1"/>
    <col min="1188" max="1188" width="10.59765625" bestFit="1" customWidth="1"/>
    <col min="1189" max="1189" width="13" bestFit="1" customWidth="1"/>
    <col min="1190" max="1190" width="10.59765625" bestFit="1" customWidth="1"/>
    <col min="1191" max="1191" width="13" bestFit="1" customWidth="1"/>
    <col min="1192" max="1192" width="12.59765625" bestFit="1" customWidth="1"/>
    <col min="1193" max="1193" width="15" bestFit="1" customWidth="1"/>
    <col min="1194" max="1194" width="11.59765625" bestFit="1" customWidth="1"/>
    <col min="1195" max="1195" width="14" bestFit="1" customWidth="1"/>
    <col min="1196" max="1196" width="11.59765625" bestFit="1" customWidth="1"/>
    <col min="1197" max="1197" width="14" bestFit="1" customWidth="1"/>
    <col min="1198" max="1198" width="11.59765625" bestFit="1" customWidth="1"/>
    <col min="1199" max="1199" width="14" bestFit="1" customWidth="1"/>
    <col min="1200" max="1200" width="12.59765625" bestFit="1" customWidth="1"/>
    <col min="1201" max="1201" width="15" bestFit="1" customWidth="1"/>
    <col min="1202" max="1202" width="9.59765625" bestFit="1" customWidth="1"/>
    <col min="1203" max="1203" width="11.8984375" bestFit="1" customWidth="1"/>
    <col min="1204" max="1204" width="11.59765625" bestFit="1" customWidth="1"/>
    <col min="1205" max="1205" width="14" bestFit="1" customWidth="1"/>
    <col min="1206" max="1206" width="11.59765625" bestFit="1" customWidth="1"/>
    <col min="1207" max="1207" width="14" bestFit="1" customWidth="1"/>
    <col min="1208" max="1208" width="11.59765625" bestFit="1" customWidth="1"/>
    <col min="1209" max="1209" width="14" bestFit="1" customWidth="1"/>
    <col min="1210" max="1210" width="10.59765625" bestFit="1" customWidth="1"/>
    <col min="1211" max="1211" width="13" bestFit="1" customWidth="1"/>
    <col min="1212" max="1212" width="10.59765625" bestFit="1" customWidth="1"/>
    <col min="1213" max="1213" width="13" bestFit="1" customWidth="1"/>
    <col min="1214" max="1214" width="10.59765625" bestFit="1" customWidth="1"/>
    <col min="1215" max="1215" width="13" bestFit="1" customWidth="1"/>
    <col min="1216" max="1216" width="11.59765625" bestFit="1" customWidth="1"/>
    <col min="1217" max="1217" width="14" bestFit="1" customWidth="1"/>
    <col min="1218" max="1218" width="10.59765625" bestFit="1" customWidth="1"/>
    <col min="1219" max="1219" width="13" bestFit="1" customWidth="1"/>
    <col min="1220" max="1220" width="11.59765625" bestFit="1" customWidth="1"/>
    <col min="1221" max="1221" width="14" bestFit="1" customWidth="1"/>
    <col min="1222" max="1222" width="10.59765625" bestFit="1" customWidth="1"/>
    <col min="1223" max="1223" width="13" bestFit="1" customWidth="1"/>
    <col min="1224" max="1224" width="10.59765625" bestFit="1" customWidth="1"/>
    <col min="1225" max="1225" width="13" bestFit="1" customWidth="1"/>
    <col min="1226" max="1226" width="11.59765625" bestFit="1" customWidth="1"/>
    <col min="1227" max="1227" width="14" bestFit="1" customWidth="1"/>
    <col min="1228" max="1228" width="12.59765625" bestFit="1" customWidth="1"/>
    <col min="1229" max="1229" width="15" bestFit="1" customWidth="1"/>
    <col min="1230" max="1230" width="10.59765625" bestFit="1" customWidth="1"/>
    <col min="1231" max="1231" width="13" bestFit="1" customWidth="1"/>
    <col min="1232" max="1232" width="11.59765625" bestFit="1" customWidth="1"/>
    <col min="1233" max="1233" width="14" bestFit="1" customWidth="1"/>
    <col min="1234" max="1234" width="11.59765625" bestFit="1" customWidth="1"/>
    <col min="1235" max="1235" width="14" bestFit="1" customWidth="1"/>
    <col min="1236" max="1236" width="11.59765625" bestFit="1" customWidth="1"/>
    <col min="1237" max="1237" width="14" bestFit="1" customWidth="1"/>
    <col min="1238" max="1238" width="11.59765625" bestFit="1" customWidth="1"/>
    <col min="1239" max="1239" width="14" bestFit="1" customWidth="1"/>
    <col min="1240" max="1240" width="10.59765625" bestFit="1" customWidth="1"/>
    <col min="1241" max="1241" width="13" bestFit="1" customWidth="1"/>
    <col min="1242" max="1242" width="10.59765625" bestFit="1" customWidth="1"/>
    <col min="1243" max="1243" width="13" bestFit="1" customWidth="1"/>
    <col min="1244" max="1244" width="11.59765625" bestFit="1" customWidth="1"/>
    <col min="1245" max="1245" width="14" bestFit="1" customWidth="1"/>
    <col min="1246" max="1246" width="10.59765625" bestFit="1" customWidth="1"/>
    <col min="1247" max="1247" width="13" bestFit="1" customWidth="1"/>
    <col min="1248" max="1248" width="12.59765625" bestFit="1" customWidth="1"/>
    <col min="1249" max="1249" width="15" bestFit="1" customWidth="1"/>
    <col min="1250" max="1250" width="12.59765625" bestFit="1" customWidth="1"/>
    <col min="1251" max="1251" width="15" bestFit="1" customWidth="1"/>
    <col min="1252" max="1252" width="11.59765625" bestFit="1" customWidth="1"/>
    <col min="1253" max="1253" width="14" bestFit="1" customWidth="1"/>
    <col min="1254" max="1254" width="11.59765625" bestFit="1" customWidth="1"/>
    <col min="1255" max="1255" width="14" bestFit="1" customWidth="1"/>
    <col min="1256" max="1256" width="10.59765625" bestFit="1" customWidth="1"/>
    <col min="1257" max="1257" width="13" bestFit="1" customWidth="1"/>
    <col min="1258" max="1258" width="10.59765625" bestFit="1" customWidth="1"/>
    <col min="1259" max="1259" width="13" bestFit="1" customWidth="1"/>
    <col min="1260" max="1260" width="12.59765625" bestFit="1" customWidth="1"/>
    <col min="1261" max="1261" width="15" bestFit="1" customWidth="1"/>
    <col min="1262" max="1262" width="10.59765625" bestFit="1" customWidth="1"/>
    <col min="1263" max="1263" width="13" bestFit="1" customWidth="1"/>
    <col min="1264" max="1264" width="11.59765625" bestFit="1" customWidth="1"/>
    <col min="1265" max="1265" width="14" bestFit="1" customWidth="1"/>
    <col min="1266" max="1266" width="10.59765625" bestFit="1" customWidth="1"/>
    <col min="1267" max="1267" width="13" bestFit="1" customWidth="1"/>
    <col min="1268" max="1268" width="12.59765625" bestFit="1" customWidth="1"/>
    <col min="1269" max="1269" width="15" bestFit="1" customWidth="1"/>
    <col min="1270" max="1270" width="12.59765625" bestFit="1" customWidth="1"/>
    <col min="1271" max="1271" width="15" bestFit="1" customWidth="1"/>
    <col min="1272" max="1272" width="11.59765625" bestFit="1" customWidth="1"/>
    <col min="1273" max="1273" width="14" bestFit="1" customWidth="1"/>
    <col min="1274" max="1274" width="7.8984375" bestFit="1" customWidth="1"/>
    <col min="1275" max="1275" width="10.3984375" bestFit="1" customWidth="1"/>
    <col min="1276" max="1276" width="11.59765625" bestFit="1" customWidth="1"/>
    <col min="1277" max="1277" width="14" bestFit="1" customWidth="1"/>
    <col min="1278" max="1278" width="11.59765625" bestFit="1" customWidth="1"/>
    <col min="1279" max="1279" width="14" bestFit="1" customWidth="1"/>
    <col min="1280" max="1280" width="10.59765625" bestFit="1" customWidth="1"/>
    <col min="1281" max="1281" width="13" bestFit="1" customWidth="1"/>
    <col min="1282" max="1282" width="12.59765625" bestFit="1" customWidth="1"/>
    <col min="1283" max="1283" width="15" bestFit="1" customWidth="1"/>
    <col min="1284" max="1284" width="10.59765625" bestFit="1" customWidth="1"/>
    <col min="1285" max="1285" width="13" bestFit="1" customWidth="1"/>
    <col min="1286" max="1286" width="11.59765625" bestFit="1" customWidth="1"/>
    <col min="1287" max="1287" width="14" bestFit="1" customWidth="1"/>
    <col min="1288" max="1288" width="11.59765625" bestFit="1" customWidth="1"/>
    <col min="1289" max="1289" width="14" bestFit="1" customWidth="1"/>
    <col min="1290" max="1290" width="10.59765625" bestFit="1" customWidth="1"/>
    <col min="1291" max="1291" width="13" bestFit="1" customWidth="1"/>
    <col min="1292" max="1292" width="11.59765625" bestFit="1" customWidth="1"/>
    <col min="1293" max="1293" width="14" bestFit="1" customWidth="1"/>
    <col min="1294" max="1294" width="11.59765625" bestFit="1" customWidth="1"/>
    <col min="1295" max="1295" width="14" bestFit="1" customWidth="1"/>
    <col min="1296" max="1296" width="11.59765625" bestFit="1" customWidth="1"/>
    <col min="1297" max="1297" width="14" bestFit="1" customWidth="1"/>
    <col min="1298" max="1298" width="10.59765625" bestFit="1" customWidth="1"/>
    <col min="1299" max="1299" width="13" bestFit="1" customWidth="1"/>
    <col min="1300" max="1300" width="11.59765625" bestFit="1" customWidth="1"/>
    <col min="1301" max="1301" width="14" bestFit="1" customWidth="1"/>
    <col min="1302" max="1302" width="11.59765625" bestFit="1" customWidth="1"/>
    <col min="1303" max="1303" width="14" bestFit="1" customWidth="1"/>
    <col min="1304" max="1304" width="12.59765625" bestFit="1" customWidth="1"/>
    <col min="1305" max="1305" width="15" bestFit="1" customWidth="1"/>
    <col min="1306" max="1306" width="10.59765625" bestFit="1" customWidth="1"/>
    <col min="1307" max="1307" width="13" bestFit="1" customWidth="1"/>
    <col min="1308" max="1308" width="10.59765625" bestFit="1" customWidth="1"/>
    <col min="1309" max="1309" width="13" bestFit="1" customWidth="1"/>
    <col min="1310" max="1310" width="10.59765625" bestFit="1" customWidth="1"/>
    <col min="1311" max="1311" width="13" bestFit="1" customWidth="1"/>
    <col min="1312" max="1312" width="12.59765625" bestFit="1" customWidth="1"/>
    <col min="1313" max="1313" width="15" bestFit="1" customWidth="1"/>
    <col min="1314" max="1314" width="11.59765625" bestFit="1" customWidth="1"/>
    <col min="1315" max="1315" width="14" bestFit="1" customWidth="1"/>
    <col min="1316" max="1316" width="10.59765625" bestFit="1" customWidth="1"/>
    <col min="1317" max="1317" width="13" bestFit="1" customWidth="1"/>
    <col min="1318" max="1318" width="9.59765625" bestFit="1" customWidth="1"/>
    <col min="1319" max="1319" width="11.8984375" bestFit="1" customWidth="1"/>
    <col min="1320" max="1320" width="10.59765625" bestFit="1" customWidth="1"/>
    <col min="1321" max="1321" width="13" bestFit="1" customWidth="1"/>
    <col min="1322" max="1322" width="10.59765625" bestFit="1" customWidth="1"/>
    <col min="1323" max="1323" width="13" bestFit="1" customWidth="1"/>
    <col min="1324" max="1324" width="10.59765625" bestFit="1" customWidth="1"/>
    <col min="1325" max="1325" width="13" bestFit="1" customWidth="1"/>
    <col min="1326" max="1326" width="11.59765625" bestFit="1" customWidth="1"/>
    <col min="1327" max="1327" width="14" bestFit="1" customWidth="1"/>
    <col min="1328" max="1328" width="12.59765625" bestFit="1" customWidth="1"/>
    <col min="1329" max="1329" width="15" bestFit="1" customWidth="1"/>
    <col min="1330" max="1330" width="11.59765625" bestFit="1" customWidth="1"/>
    <col min="1331" max="1331" width="14" bestFit="1" customWidth="1"/>
    <col min="1332" max="1332" width="11.59765625" bestFit="1" customWidth="1"/>
    <col min="1333" max="1333" width="14" bestFit="1" customWidth="1"/>
    <col min="1334" max="1334" width="11.59765625" bestFit="1" customWidth="1"/>
    <col min="1335" max="1335" width="14" bestFit="1" customWidth="1"/>
    <col min="1336" max="1336" width="11.59765625" bestFit="1" customWidth="1"/>
    <col min="1337" max="1337" width="14" bestFit="1" customWidth="1"/>
    <col min="1338" max="1338" width="10.59765625" bestFit="1" customWidth="1"/>
    <col min="1339" max="1339" width="13" bestFit="1" customWidth="1"/>
    <col min="1340" max="1340" width="11.59765625" bestFit="1" customWidth="1"/>
    <col min="1341" max="1341" width="14" bestFit="1" customWidth="1"/>
    <col min="1342" max="1342" width="10.59765625" bestFit="1" customWidth="1"/>
    <col min="1343" max="1343" width="13" bestFit="1" customWidth="1"/>
    <col min="1344" max="1344" width="11.59765625" bestFit="1" customWidth="1"/>
    <col min="1345" max="1345" width="14" bestFit="1" customWidth="1"/>
    <col min="1346" max="1346" width="11.59765625" bestFit="1" customWidth="1"/>
    <col min="1347" max="1347" width="14" bestFit="1" customWidth="1"/>
    <col min="1348" max="1348" width="9.59765625" bestFit="1" customWidth="1"/>
    <col min="1349" max="1349" width="11.8984375" bestFit="1" customWidth="1"/>
    <col min="1350" max="1350" width="10.59765625" bestFit="1" customWidth="1"/>
    <col min="1351" max="1351" width="13" bestFit="1" customWidth="1"/>
    <col min="1352" max="1352" width="11.59765625" bestFit="1" customWidth="1"/>
    <col min="1353" max="1353" width="14" bestFit="1" customWidth="1"/>
    <col min="1354" max="1354" width="10.59765625" bestFit="1" customWidth="1"/>
    <col min="1355" max="1355" width="13" bestFit="1" customWidth="1"/>
    <col min="1356" max="1356" width="11.59765625" bestFit="1" customWidth="1"/>
    <col min="1357" max="1357" width="14" bestFit="1" customWidth="1"/>
    <col min="1358" max="1358" width="11.59765625" bestFit="1" customWidth="1"/>
    <col min="1359" max="1359" width="14" bestFit="1" customWidth="1"/>
    <col min="1360" max="1360" width="10.59765625" bestFit="1" customWidth="1"/>
    <col min="1361" max="1361" width="13" bestFit="1" customWidth="1"/>
    <col min="1362" max="1362" width="10.59765625" bestFit="1" customWidth="1"/>
    <col min="1363" max="1363" width="13" bestFit="1" customWidth="1"/>
    <col min="1364" max="1364" width="10.59765625" bestFit="1" customWidth="1"/>
    <col min="1365" max="1365" width="13" bestFit="1" customWidth="1"/>
    <col min="1366" max="1366" width="10.59765625" bestFit="1" customWidth="1"/>
    <col min="1367" max="1367" width="13" bestFit="1" customWidth="1"/>
    <col min="1368" max="1368" width="10.59765625" bestFit="1" customWidth="1"/>
    <col min="1369" max="1369" width="13" bestFit="1" customWidth="1"/>
    <col min="1370" max="1370" width="12.59765625" bestFit="1" customWidth="1"/>
    <col min="1371" max="1371" width="15" bestFit="1" customWidth="1"/>
    <col min="1372" max="1372" width="9.59765625" bestFit="1" customWidth="1"/>
    <col min="1373" max="1373" width="11.8984375" bestFit="1" customWidth="1"/>
    <col min="1374" max="1374" width="11.59765625" bestFit="1" customWidth="1"/>
    <col min="1375" max="1375" width="14" bestFit="1" customWidth="1"/>
    <col min="1376" max="1376" width="10.59765625" bestFit="1" customWidth="1"/>
    <col min="1377" max="1377" width="13" bestFit="1" customWidth="1"/>
    <col min="1378" max="1378" width="12.59765625" bestFit="1" customWidth="1"/>
    <col min="1379" max="1379" width="15" bestFit="1" customWidth="1"/>
    <col min="1380" max="1380" width="11.59765625" bestFit="1" customWidth="1"/>
    <col min="1381" max="1381" width="14" bestFit="1" customWidth="1"/>
    <col min="1382" max="1382" width="10.59765625" bestFit="1" customWidth="1"/>
    <col min="1383" max="1383" width="13" bestFit="1" customWidth="1"/>
    <col min="1384" max="1384" width="11.59765625" bestFit="1" customWidth="1"/>
    <col min="1385" max="1385" width="14" bestFit="1" customWidth="1"/>
    <col min="1386" max="1386" width="11.59765625" bestFit="1" customWidth="1"/>
    <col min="1387" max="1387" width="14" bestFit="1" customWidth="1"/>
    <col min="1388" max="1388" width="11.59765625" bestFit="1" customWidth="1"/>
    <col min="1389" max="1389" width="14" bestFit="1" customWidth="1"/>
    <col min="1390" max="1390" width="10.59765625" bestFit="1" customWidth="1"/>
    <col min="1391" max="1391" width="13" bestFit="1" customWidth="1"/>
    <col min="1392" max="1392" width="10.59765625" bestFit="1" customWidth="1"/>
    <col min="1393" max="1393" width="13" bestFit="1" customWidth="1"/>
    <col min="1394" max="1394" width="12.59765625" bestFit="1" customWidth="1"/>
    <col min="1395" max="1395" width="15" bestFit="1" customWidth="1"/>
    <col min="1396" max="1396" width="11.59765625" bestFit="1" customWidth="1"/>
    <col min="1397" max="1397" width="14" bestFit="1" customWidth="1"/>
    <col min="1398" max="1398" width="11.59765625" bestFit="1" customWidth="1"/>
    <col min="1399" max="1399" width="14" bestFit="1" customWidth="1"/>
    <col min="1400" max="1400" width="9.59765625" bestFit="1" customWidth="1"/>
    <col min="1401" max="1401" width="11.8984375" bestFit="1" customWidth="1"/>
    <col min="1402" max="1402" width="11.59765625" bestFit="1" customWidth="1"/>
    <col min="1403" max="1403" width="14" bestFit="1" customWidth="1"/>
    <col min="1404" max="1404" width="11.59765625" bestFit="1" customWidth="1"/>
    <col min="1405" max="1405" width="14" bestFit="1" customWidth="1"/>
    <col min="1406" max="1406" width="11.59765625" bestFit="1" customWidth="1"/>
    <col min="1407" max="1407" width="14" bestFit="1" customWidth="1"/>
    <col min="1408" max="1408" width="11.59765625" bestFit="1" customWidth="1"/>
    <col min="1409" max="1409" width="14" bestFit="1" customWidth="1"/>
    <col min="1410" max="1410" width="12.59765625" bestFit="1" customWidth="1"/>
    <col min="1411" max="1411" width="15" bestFit="1" customWidth="1"/>
    <col min="1412" max="1412" width="10.59765625" bestFit="1" customWidth="1"/>
    <col min="1413" max="1413" width="13" bestFit="1" customWidth="1"/>
    <col min="1414" max="1414" width="11.59765625" bestFit="1" customWidth="1"/>
    <col min="1415" max="1415" width="14" bestFit="1" customWidth="1"/>
    <col min="1416" max="1416" width="12.59765625" bestFit="1" customWidth="1"/>
    <col min="1417" max="1417" width="15" bestFit="1" customWidth="1"/>
    <col min="1418" max="1418" width="9.59765625" bestFit="1" customWidth="1"/>
    <col min="1419" max="1419" width="11.8984375" bestFit="1" customWidth="1"/>
    <col min="1420" max="1420" width="12.59765625" bestFit="1" customWidth="1"/>
    <col min="1421" max="1421" width="15" bestFit="1" customWidth="1"/>
    <col min="1422" max="1422" width="10.59765625" bestFit="1" customWidth="1"/>
    <col min="1423" max="1423" width="13" bestFit="1" customWidth="1"/>
    <col min="1424" max="1424" width="7.8984375" bestFit="1" customWidth="1"/>
    <col min="1425" max="1425" width="10.3984375" bestFit="1" customWidth="1"/>
    <col min="1426" max="1426" width="9.59765625" bestFit="1" customWidth="1"/>
    <col min="1427" max="1427" width="11.8984375" bestFit="1" customWidth="1"/>
    <col min="1428" max="1428" width="10.59765625" bestFit="1" customWidth="1"/>
    <col min="1429" max="1429" width="13" bestFit="1" customWidth="1"/>
    <col min="1430" max="1430" width="12.59765625" bestFit="1" customWidth="1"/>
    <col min="1431" max="1431" width="15" bestFit="1" customWidth="1"/>
    <col min="1432" max="1432" width="11.59765625" bestFit="1" customWidth="1"/>
    <col min="1433" max="1433" width="14" bestFit="1" customWidth="1"/>
    <col min="1434" max="1434" width="10.59765625" bestFit="1" customWidth="1"/>
    <col min="1435" max="1435" width="13" bestFit="1" customWidth="1"/>
    <col min="1436" max="1436" width="10.59765625" bestFit="1" customWidth="1"/>
    <col min="1437" max="1437" width="13" bestFit="1" customWidth="1"/>
    <col min="1438" max="1438" width="10.59765625" bestFit="1" customWidth="1"/>
    <col min="1439" max="1439" width="13" bestFit="1" customWidth="1"/>
    <col min="1440" max="1440" width="11.59765625" bestFit="1" customWidth="1"/>
    <col min="1441" max="1441" width="14" bestFit="1" customWidth="1"/>
    <col min="1442" max="1442" width="9.59765625" bestFit="1" customWidth="1"/>
    <col min="1443" max="1443" width="11.8984375" bestFit="1" customWidth="1"/>
    <col min="1444" max="1444" width="11.59765625" bestFit="1" customWidth="1"/>
    <col min="1445" max="1445" width="14" bestFit="1" customWidth="1"/>
    <col min="1446" max="1446" width="11.59765625" bestFit="1" customWidth="1"/>
    <col min="1447" max="1447" width="14" bestFit="1" customWidth="1"/>
    <col min="1448" max="1448" width="10.59765625" bestFit="1" customWidth="1"/>
    <col min="1449" max="1449" width="13" bestFit="1" customWidth="1"/>
    <col min="1450" max="1450" width="12.59765625" bestFit="1" customWidth="1"/>
    <col min="1451" max="1451" width="15" bestFit="1" customWidth="1"/>
    <col min="1452" max="1452" width="10.59765625" bestFit="1" customWidth="1"/>
    <col min="1453" max="1453" width="13" bestFit="1" customWidth="1"/>
    <col min="1454" max="1454" width="10.59765625" bestFit="1" customWidth="1"/>
    <col min="1455" max="1455" width="13" bestFit="1" customWidth="1"/>
    <col min="1456" max="1456" width="12.59765625" bestFit="1" customWidth="1"/>
    <col min="1457" max="1457" width="15" bestFit="1" customWidth="1"/>
    <col min="1458" max="1458" width="11.59765625" bestFit="1" customWidth="1"/>
    <col min="1459" max="1459" width="14" bestFit="1" customWidth="1"/>
    <col min="1460" max="1460" width="10.59765625" bestFit="1" customWidth="1"/>
    <col min="1461" max="1461" width="13" bestFit="1" customWidth="1"/>
    <col min="1462" max="1462" width="10.59765625" bestFit="1" customWidth="1"/>
    <col min="1463" max="1463" width="13" bestFit="1" customWidth="1"/>
    <col min="1464" max="1464" width="9.59765625" bestFit="1" customWidth="1"/>
    <col min="1465" max="1465" width="11.8984375" bestFit="1" customWidth="1"/>
    <col min="1466" max="1466" width="11.59765625" bestFit="1" customWidth="1"/>
    <col min="1467" max="1467" width="14" bestFit="1" customWidth="1"/>
    <col min="1468" max="1468" width="11.59765625" bestFit="1" customWidth="1"/>
    <col min="1469" max="1469" width="14" bestFit="1" customWidth="1"/>
    <col min="1470" max="1470" width="9.59765625" bestFit="1" customWidth="1"/>
    <col min="1471" max="1471" width="11.8984375" bestFit="1" customWidth="1"/>
    <col min="1472" max="1472" width="9.59765625" bestFit="1" customWidth="1"/>
    <col min="1473" max="1473" width="11.8984375" bestFit="1" customWidth="1"/>
    <col min="1474" max="1474" width="11.59765625" bestFit="1" customWidth="1"/>
    <col min="1475" max="1475" width="14" bestFit="1" customWidth="1"/>
    <col min="1476" max="1476" width="10.59765625" bestFit="1" customWidth="1"/>
    <col min="1477" max="1477" width="13" bestFit="1" customWidth="1"/>
    <col min="1478" max="1478" width="11.59765625" bestFit="1" customWidth="1"/>
    <col min="1479" max="1479" width="14" bestFit="1" customWidth="1"/>
    <col min="1480" max="1480" width="11.59765625" bestFit="1" customWidth="1"/>
    <col min="1481" max="1481" width="14" bestFit="1" customWidth="1"/>
    <col min="1482" max="1482" width="11.59765625" bestFit="1" customWidth="1"/>
    <col min="1483" max="1483" width="14" bestFit="1" customWidth="1"/>
    <col min="1484" max="1484" width="11.59765625" bestFit="1" customWidth="1"/>
    <col min="1485" max="1485" width="14" bestFit="1" customWidth="1"/>
    <col min="1486" max="1486" width="12.59765625" bestFit="1" customWidth="1"/>
    <col min="1487" max="1487" width="15" bestFit="1" customWidth="1"/>
    <col min="1488" max="1488" width="12.59765625" bestFit="1" customWidth="1"/>
    <col min="1489" max="1489" width="15" bestFit="1" customWidth="1"/>
    <col min="1490" max="1490" width="10.59765625" bestFit="1" customWidth="1"/>
    <col min="1491" max="1491" width="13" bestFit="1" customWidth="1"/>
    <col min="1492" max="1492" width="11.59765625" bestFit="1" customWidth="1"/>
    <col min="1493" max="1493" width="14" bestFit="1" customWidth="1"/>
    <col min="1494" max="1494" width="12.59765625" bestFit="1" customWidth="1"/>
    <col min="1495" max="1495" width="15" bestFit="1" customWidth="1"/>
    <col min="1496" max="1496" width="10.59765625" bestFit="1" customWidth="1"/>
    <col min="1497" max="1497" width="13" bestFit="1" customWidth="1"/>
    <col min="1498" max="1498" width="11.59765625" bestFit="1" customWidth="1"/>
    <col min="1499" max="1499" width="14" bestFit="1" customWidth="1"/>
    <col min="1500" max="1500" width="9.59765625" bestFit="1" customWidth="1"/>
    <col min="1501" max="1501" width="11.8984375" bestFit="1" customWidth="1"/>
    <col min="1502" max="1502" width="10.59765625" bestFit="1" customWidth="1"/>
    <col min="1503" max="1503" width="13" bestFit="1" customWidth="1"/>
    <col min="1504" max="1504" width="10.59765625" bestFit="1" customWidth="1"/>
    <col min="1505" max="1505" width="13" bestFit="1" customWidth="1"/>
    <col min="1506" max="1506" width="11.59765625" bestFit="1" customWidth="1"/>
    <col min="1507" max="1507" width="14" bestFit="1" customWidth="1"/>
    <col min="1508" max="1508" width="11.59765625" bestFit="1" customWidth="1"/>
    <col min="1509" max="1509" width="14" bestFit="1" customWidth="1"/>
    <col min="1510" max="1510" width="10.59765625" bestFit="1" customWidth="1"/>
    <col min="1511" max="1511" width="13" bestFit="1" customWidth="1"/>
    <col min="1512" max="1512" width="10.59765625" bestFit="1" customWidth="1"/>
    <col min="1513" max="1513" width="13" bestFit="1" customWidth="1"/>
    <col min="1514" max="1514" width="11.59765625" bestFit="1" customWidth="1"/>
    <col min="1515" max="1515" width="14" bestFit="1" customWidth="1"/>
    <col min="1516" max="1516" width="11.59765625" bestFit="1" customWidth="1"/>
    <col min="1517" max="1517" width="14" bestFit="1" customWidth="1"/>
    <col min="1518" max="1518" width="9.59765625" bestFit="1" customWidth="1"/>
    <col min="1519" max="1519" width="11.8984375" bestFit="1" customWidth="1"/>
    <col min="1520" max="1520" width="11.59765625" bestFit="1" customWidth="1"/>
    <col min="1521" max="1521" width="14" bestFit="1" customWidth="1"/>
    <col min="1522" max="1522" width="11.59765625" bestFit="1" customWidth="1"/>
    <col min="1523" max="1523" width="14" bestFit="1" customWidth="1"/>
    <col min="1524" max="1524" width="12.59765625" bestFit="1" customWidth="1"/>
    <col min="1525" max="1525" width="15" bestFit="1" customWidth="1"/>
    <col min="1526" max="1526" width="12.59765625" bestFit="1" customWidth="1"/>
    <col min="1527" max="1527" width="15" bestFit="1" customWidth="1"/>
    <col min="1528" max="1528" width="10.59765625" bestFit="1" customWidth="1"/>
    <col min="1529" max="1529" width="13" bestFit="1" customWidth="1"/>
    <col min="1530" max="1530" width="11.59765625" bestFit="1" customWidth="1"/>
    <col min="1531" max="1531" width="14" bestFit="1" customWidth="1"/>
    <col min="1532" max="1532" width="11.59765625" bestFit="1" customWidth="1"/>
    <col min="1533" max="1533" width="14" bestFit="1" customWidth="1"/>
    <col min="1534" max="1534" width="10.59765625" bestFit="1" customWidth="1"/>
    <col min="1535" max="1535" width="13" bestFit="1" customWidth="1"/>
    <col min="1536" max="1536" width="10.59765625" bestFit="1" customWidth="1"/>
    <col min="1537" max="1537" width="13" bestFit="1" customWidth="1"/>
    <col min="1538" max="1538" width="10.59765625" bestFit="1" customWidth="1"/>
    <col min="1539" max="1539" width="13" bestFit="1" customWidth="1"/>
    <col min="1540" max="1540" width="11.59765625" bestFit="1" customWidth="1"/>
    <col min="1541" max="1541" width="14" bestFit="1" customWidth="1"/>
    <col min="1542" max="1542" width="10.59765625" bestFit="1" customWidth="1"/>
    <col min="1543" max="1543" width="13" bestFit="1" customWidth="1"/>
    <col min="1544" max="1544" width="10.59765625" bestFit="1" customWidth="1"/>
    <col min="1545" max="1545" width="13" bestFit="1" customWidth="1"/>
    <col min="1546" max="1546" width="10.59765625" bestFit="1" customWidth="1"/>
    <col min="1547" max="1547" width="13" bestFit="1" customWidth="1"/>
    <col min="1548" max="1548" width="10.59765625" bestFit="1" customWidth="1"/>
    <col min="1549" max="1549" width="13" bestFit="1" customWidth="1"/>
    <col min="1550" max="1550" width="11.59765625" bestFit="1" customWidth="1"/>
    <col min="1551" max="1551" width="14" bestFit="1" customWidth="1"/>
    <col min="1552" max="1552" width="10.59765625" bestFit="1" customWidth="1"/>
    <col min="1553" max="1553" width="13" bestFit="1" customWidth="1"/>
    <col min="1554" max="1554" width="12.59765625" bestFit="1" customWidth="1"/>
    <col min="1555" max="1555" width="15" bestFit="1" customWidth="1"/>
    <col min="1556" max="1556" width="11.59765625" bestFit="1" customWidth="1"/>
    <col min="1557" max="1557" width="14" bestFit="1" customWidth="1"/>
    <col min="1558" max="1558" width="10.59765625" bestFit="1" customWidth="1"/>
    <col min="1559" max="1559" width="13" bestFit="1" customWidth="1"/>
    <col min="1560" max="1560" width="9.59765625" bestFit="1" customWidth="1"/>
    <col min="1561" max="1561" width="11.8984375" bestFit="1" customWidth="1"/>
    <col min="1562" max="1562" width="10.59765625" bestFit="1" customWidth="1"/>
    <col min="1563" max="1563" width="13" bestFit="1" customWidth="1"/>
    <col min="1564" max="1564" width="9.59765625" bestFit="1" customWidth="1"/>
    <col min="1565" max="1565" width="11.8984375" bestFit="1" customWidth="1"/>
    <col min="1566" max="1566" width="11.59765625" bestFit="1" customWidth="1"/>
    <col min="1567" max="1567" width="14" bestFit="1" customWidth="1"/>
    <col min="1568" max="1568" width="11.59765625" bestFit="1" customWidth="1"/>
    <col min="1569" max="1569" width="14" bestFit="1" customWidth="1"/>
    <col min="1570" max="1570" width="10.59765625" bestFit="1" customWidth="1"/>
    <col min="1571" max="1571" width="13" bestFit="1" customWidth="1"/>
    <col min="1572" max="1572" width="9.59765625" bestFit="1" customWidth="1"/>
    <col min="1573" max="1573" width="11.8984375" bestFit="1" customWidth="1"/>
    <col min="1574" max="1574" width="11.59765625" bestFit="1" customWidth="1"/>
    <col min="1575" max="1575" width="14" bestFit="1" customWidth="1"/>
    <col min="1576" max="1576" width="12.59765625" bestFit="1" customWidth="1"/>
    <col min="1577" max="1577" width="15" bestFit="1" customWidth="1"/>
    <col min="1578" max="1578" width="11.59765625" bestFit="1" customWidth="1"/>
    <col min="1579" max="1579" width="14" bestFit="1" customWidth="1"/>
    <col min="1580" max="1580" width="12.59765625" bestFit="1" customWidth="1"/>
    <col min="1581" max="1581" width="15" bestFit="1" customWidth="1"/>
    <col min="1582" max="1582" width="12.59765625" bestFit="1" customWidth="1"/>
    <col min="1583" max="1583" width="15" bestFit="1" customWidth="1"/>
    <col min="1584" max="1584" width="10.59765625" bestFit="1" customWidth="1"/>
    <col min="1585" max="1585" width="13" bestFit="1" customWidth="1"/>
    <col min="1586" max="1586" width="9.59765625" bestFit="1" customWidth="1"/>
    <col min="1587" max="1587" width="11.8984375" bestFit="1" customWidth="1"/>
    <col min="1588" max="1588" width="11.59765625" bestFit="1" customWidth="1"/>
    <col min="1589" max="1589" width="14" bestFit="1" customWidth="1"/>
    <col min="1590" max="1590" width="11.59765625" bestFit="1" customWidth="1"/>
    <col min="1591" max="1591" width="14" bestFit="1" customWidth="1"/>
    <col min="1592" max="1592" width="11.59765625" bestFit="1" customWidth="1"/>
    <col min="1593" max="1593" width="14" bestFit="1" customWidth="1"/>
    <col min="1594" max="1594" width="11.59765625" bestFit="1" customWidth="1"/>
    <col min="1595" max="1595" width="14" bestFit="1" customWidth="1"/>
    <col min="1596" max="1596" width="10.59765625" bestFit="1" customWidth="1"/>
    <col min="1597" max="1597" width="13" bestFit="1" customWidth="1"/>
    <col min="1598" max="1598" width="10.59765625" bestFit="1" customWidth="1"/>
    <col min="1599" max="1599" width="13" bestFit="1" customWidth="1"/>
    <col min="1600" max="1600" width="10.59765625" bestFit="1" customWidth="1"/>
    <col min="1601" max="1601" width="13" bestFit="1" customWidth="1"/>
    <col min="1602" max="1602" width="11.59765625" bestFit="1" customWidth="1"/>
    <col min="1603" max="1603" width="14" bestFit="1" customWidth="1"/>
    <col min="1604" max="1604" width="11.59765625" bestFit="1" customWidth="1"/>
    <col min="1605" max="1605" width="14" bestFit="1" customWidth="1"/>
    <col min="1606" max="1606" width="9.59765625" bestFit="1" customWidth="1"/>
    <col min="1607" max="1607" width="11.8984375" bestFit="1" customWidth="1"/>
    <col min="1608" max="1608" width="11.59765625" bestFit="1" customWidth="1"/>
    <col min="1609" max="1609" width="14" bestFit="1" customWidth="1"/>
    <col min="1610" max="1610" width="11.59765625" bestFit="1" customWidth="1"/>
    <col min="1611" max="1611" width="14" bestFit="1" customWidth="1"/>
    <col min="1612" max="1612" width="10.59765625" bestFit="1" customWidth="1"/>
    <col min="1613" max="1613" width="13" bestFit="1" customWidth="1"/>
    <col min="1614" max="1614" width="10.59765625" bestFit="1" customWidth="1"/>
    <col min="1615" max="1615" width="13" bestFit="1" customWidth="1"/>
    <col min="1616" max="1616" width="12.59765625" bestFit="1" customWidth="1"/>
    <col min="1617" max="1617" width="15" bestFit="1" customWidth="1"/>
    <col min="1618" max="1618" width="10.59765625" bestFit="1" customWidth="1"/>
    <col min="1619" max="1619" width="13" bestFit="1" customWidth="1"/>
    <col min="1620" max="1620" width="10.59765625" bestFit="1" customWidth="1"/>
    <col min="1621" max="1621" width="13" bestFit="1" customWidth="1"/>
    <col min="1622" max="1622" width="12.59765625" bestFit="1" customWidth="1"/>
    <col min="1623" max="1623" width="15" bestFit="1" customWidth="1"/>
    <col min="1624" max="1624" width="12.59765625" bestFit="1" customWidth="1"/>
    <col min="1625" max="1625" width="15" bestFit="1" customWidth="1"/>
    <col min="1626" max="1626" width="11.59765625" bestFit="1" customWidth="1"/>
    <col min="1627" max="1627" width="14" bestFit="1" customWidth="1"/>
    <col min="1628" max="1628" width="10.59765625" bestFit="1" customWidth="1"/>
    <col min="1629" max="1629" width="13" bestFit="1" customWidth="1"/>
    <col min="1630" max="1630" width="10.59765625" bestFit="1" customWidth="1"/>
    <col min="1631" max="1631" width="13" bestFit="1" customWidth="1"/>
    <col min="1632" max="1632" width="9.59765625" bestFit="1" customWidth="1"/>
    <col min="1633" max="1633" width="11.8984375" bestFit="1" customWidth="1"/>
    <col min="1634" max="1634" width="10.59765625" bestFit="1" customWidth="1"/>
    <col min="1635" max="1635" width="13" bestFit="1" customWidth="1"/>
    <col min="1636" max="1636" width="11.59765625" bestFit="1" customWidth="1"/>
    <col min="1637" max="1637" width="14" bestFit="1" customWidth="1"/>
    <col min="1638" max="1638" width="10.59765625" bestFit="1" customWidth="1"/>
    <col min="1639" max="1639" width="13" bestFit="1" customWidth="1"/>
    <col min="1640" max="1640" width="12.59765625" bestFit="1" customWidth="1"/>
    <col min="1641" max="1641" width="15" bestFit="1" customWidth="1"/>
    <col min="1642" max="1642" width="11.59765625" bestFit="1" customWidth="1"/>
    <col min="1643" max="1643" width="14" bestFit="1" customWidth="1"/>
    <col min="1644" max="1644" width="11.59765625" bestFit="1" customWidth="1"/>
    <col min="1645" max="1645" width="14" bestFit="1" customWidth="1"/>
    <col min="1646" max="1646" width="9.59765625" bestFit="1" customWidth="1"/>
    <col min="1647" max="1647" width="11.8984375" bestFit="1" customWidth="1"/>
    <col min="1648" max="1648" width="11.59765625" bestFit="1" customWidth="1"/>
    <col min="1649" max="1649" width="14" bestFit="1" customWidth="1"/>
    <col min="1650" max="1650" width="10.59765625" bestFit="1" customWidth="1"/>
    <col min="1651" max="1651" width="13" bestFit="1" customWidth="1"/>
    <col min="1652" max="1652" width="12.59765625" bestFit="1" customWidth="1"/>
    <col min="1653" max="1653" width="15" bestFit="1" customWidth="1"/>
    <col min="1654" max="1654" width="11.59765625" bestFit="1" customWidth="1"/>
    <col min="1655" max="1655" width="14" bestFit="1" customWidth="1"/>
    <col min="1656" max="1656" width="10.59765625" bestFit="1" customWidth="1"/>
    <col min="1657" max="1657" width="13" bestFit="1" customWidth="1"/>
    <col min="1658" max="1658" width="10.59765625" bestFit="1" customWidth="1"/>
    <col min="1659" max="1659" width="13" bestFit="1" customWidth="1"/>
    <col min="1660" max="1660" width="12.59765625" bestFit="1" customWidth="1"/>
    <col min="1661" max="1661" width="15" bestFit="1" customWidth="1"/>
    <col min="1662" max="1662" width="9.59765625" bestFit="1" customWidth="1"/>
    <col min="1663" max="1663" width="11.8984375" bestFit="1" customWidth="1"/>
    <col min="1664" max="1664" width="10.59765625" bestFit="1" customWidth="1"/>
    <col min="1665" max="1665" width="13" bestFit="1" customWidth="1"/>
    <col min="1666" max="1666" width="12.59765625" bestFit="1" customWidth="1"/>
    <col min="1667" max="1667" width="15" bestFit="1" customWidth="1"/>
    <col min="1668" max="1668" width="9.59765625" bestFit="1" customWidth="1"/>
    <col min="1669" max="1669" width="11.8984375" bestFit="1" customWidth="1"/>
    <col min="1670" max="1670" width="10.59765625" bestFit="1" customWidth="1"/>
    <col min="1671" max="1671" width="13" bestFit="1" customWidth="1"/>
    <col min="1672" max="1672" width="11.59765625" bestFit="1" customWidth="1"/>
    <col min="1673" max="1673" width="14" bestFit="1" customWidth="1"/>
    <col min="1674" max="1674" width="9.59765625" bestFit="1" customWidth="1"/>
    <col min="1675" max="1675" width="11.8984375" bestFit="1" customWidth="1"/>
    <col min="1676" max="1676" width="10.59765625" bestFit="1" customWidth="1"/>
    <col min="1677" max="1677" width="13" bestFit="1" customWidth="1"/>
    <col min="1678" max="1678" width="9.59765625" bestFit="1" customWidth="1"/>
    <col min="1679" max="1679" width="11.8984375" bestFit="1" customWidth="1"/>
    <col min="1680" max="1680" width="11.59765625" bestFit="1" customWidth="1"/>
    <col min="1681" max="1681" width="14" bestFit="1" customWidth="1"/>
    <col min="1682" max="1682" width="11.59765625" bestFit="1" customWidth="1"/>
    <col min="1683" max="1683" width="14" bestFit="1" customWidth="1"/>
    <col min="1684" max="1684" width="10.59765625" bestFit="1" customWidth="1"/>
    <col min="1685" max="1685" width="13" bestFit="1" customWidth="1"/>
    <col min="1686" max="1686" width="10.59765625" bestFit="1" customWidth="1"/>
    <col min="1687" max="1687" width="13" bestFit="1" customWidth="1"/>
    <col min="1688" max="1688" width="11.59765625" bestFit="1" customWidth="1"/>
    <col min="1689" max="1689" width="14" bestFit="1" customWidth="1"/>
    <col min="1690" max="1690" width="11.59765625" bestFit="1" customWidth="1"/>
    <col min="1691" max="1691" width="14" bestFit="1" customWidth="1"/>
    <col min="1692" max="1692" width="11.59765625" bestFit="1" customWidth="1"/>
    <col min="1693" max="1693" width="14" bestFit="1" customWidth="1"/>
    <col min="1694" max="1694" width="10.59765625" bestFit="1" customWidth="1"/>
    <col min="1695" max="1695" width="13" bestFit="1" customWidth="1"/>
    <col min="1696" max="1696" width="10.59765625" bestFit="1" customWidth="1"/>
    <col min="1697" max="1697" width="13" bestFit="1" customWidth="1"/>
    <col min="1698" max="1698" width="10.59765625" bestFit="1" customWidth="1"/>
    <col min="1699" max="1699" width="13" bestFit="1" customWidth="1"/>
    <col min="1700" max="1700" width="11.59765625" bestFit="1" customWidth="1"/>
    <col min="1701" max="1701" width="14" bestFit="1" customWidth="1"/>
    <col min="1702" max="1702" width="12.59765625" bestFit="1" customWidth="1"/>
    <col min="1703" max="1703" width="15" bestFit="1" customWidth="1"/>
    <col min="1704" max="1704" width="11.59765625" bestFit="1" customWidth="1"/>
    <col min="1705" max="1705" width="14" bestFit="1" customWidth="1"/>
    <col min="1706" max="1706" width="11.59765625" bestFit="1" customWidth="1"/>
    <col min="1707" max="1707" width="14" bestFit="1" customWidth="1"/>
    <col min="1708" max="1708" width="10.59765625" bestFit="1" customWidth="1"/>
    <col min="1709" max="1709" width="13" bestFit="1" customWidth="1"/>
    <col min="1710" max="1710" width="10.59765625" bestFit="1" customWidth="1"/>
    <col min="1711" max="1711" width="13" bestFit="1" customWidth="1"/>
    <col min="1712" max="1712" width="11.59765625" bestFit="1" customWidth="1"/>
    <col min="1713" max="1713" width="14" bestFit="1" customWidth="1"/>
    <col min="1714" max="1714" width="11.59765625" bestFit="1" customWidth="1"/>
    <col min="1715" max="1715" width="14" bestFit="1" customWidth="1"/>
    <col min="1716" max="1716" width="10.59765625" bestFit="1" customWidth="1"/>
    <col min="1717" max="1717" width="13" bestFit="1" customWidth="1"/>
    <col min="1718" max="1718" width="10.59765625" bestFit="1" customWidth="1"/>
    <col min="1719" max="1719" width="13" bestFit="1" customWidth="1"/>
    <col min="1720" max="1720" width="12.59765625" bestFit="1" customWidth="1"/>
    <col min="1721" max="1721" width="15" bestFit="1" customWidth="1"/>
    <col min="1722" max="1722" width="11.59765625" bestFit="1" customWidth="1"/>
    <col min="1723" max="1723" width="14" bestFit="1" customWidth="1"/>
    <col min="1724" max="1724" width="10.59765625" bestFit="1" customWidth="1"/>
    <col min="1725" max="1725" width="13" bestFit="1" customWidth="1"/>
    <col min="1726" max="1726" width="11.59765625" bestFit="1" customWidth="1"/>
    <col min="1727" max="1727" width="14" bestFit="1" customWidth="1"/>
    <col min="1728" max="1728" width="10.59765625" bestFit="1" customWidth="1"/>
    <col min="1729" max="1729" width="13" bestFit="1" customWidth="1"/>
    <col min="1730" max="1730" width="11.59765625" bestFit="1" customWidth="1"/>
    <col min="1731" max="1731" width="14" bestFit="1" customWidth="1"/>
    <col min="1732" max="1732" width="10.59765625" bestFit="1" customWidth="1"/>
    <col min="1733" max="1733" width="13" bestFit="1" customWidth="1"/>
    <col min="1734" max="1734" width="12.59765625" bestFit="1" customWidth="1"/>
    <col min="1735" max="1735" width="15" bestFit="1" customWidth="1"/>
    <col min="1736" max="1736" width="11.59765625" bestFit="1" customWidth="1"/>
    <col min="1737" max="1737" width="14" bestFit="1" customWidth="1"/>
    <col min="1738" max="1738" width="11.59765625" bestFit="1" customWidth="1"/>
    <col min="1739" max="1739" width="14" bestFit="1" customWidth="1"/>
    <col min="1740" max="1740" width="10.59765625" bestFit="1" customWidth="1"/>
    <col min="1741" max="1741" width="13" bestFit="1" customWidth="1"/>
    <col min="1742" max="1742" width="10.59765625" bestFit="1" customWidth="1"/>
    <col min="1743" max="1743" width="13" bestFit="1" customWidth="1"/>
    <col min="1744" max="1744" width="11.59765625" bestFit="1" customWidth="1"/>
    <col min="1745" max="1745" width="14" bestFit="1" customWidth="1"/>
    <col min="1746" max="1746" width="11.59765625" bestFit="1" customWidth="1"/>
    <col min="1747" max="1747" width="14" bestFit="1" customWidth="1"/>
    <col min="1748" max="1748" width="10.59765625" bestFit="1" customWidth="1"/>
    <col min="1749" max="1749" width="13" bestFit="1" customWidth="1"/>
    <col min="1750" max="1750" width="9.59765625" bestFit="1" customWidth="1"/>
    <col min="1751" max="1751" width="11.8984375" bestFit="1" customWidth="1"/>
    <col min="1752" max="1752" width="9.59765625" bestFit="1" customWidth="1"/>
    <col min="1753" max="1753" width="11.8984375" bestFit="1" customWidth="1"/>
    <col min="1754" max="1754" width="10.59765625" bestFit="1" customWidth="1"/>
    <col min="1755" max="1755" width="13" bestFit="1" customWidth="1"/>
    <col min="1756" max="1756" width="11.59765625" bestFit="1" customWidth="1"/>
    <col min="1757" max="1757" width="14" bestFit="1" customWidth="1"/>
    <col min="1758" max="1758" width="12.59765625" bestFit="1" customWidth="1"/>
    <col min="1759" max="1759" width="15" bestFit="1" customWidth="1"/>
    <col min="1760" max="1760" width="10.59765625" bestFit="1" customWidth="1"/>
    <col min="1761" max="1761" width="13" bestFit="1" customWidth="1"/>
    <col min="1762" max="1762" width="11.59765625" bestFit="1" customWidth="1"/>
    <col min="1763" max="1763" width="14" bestFit="1" customWidth="1"/>
    <col min="1764" max="1764" width="11.59765625" bestFit="1" customWidth="1"/>
    <col min="1765" max="1765" width="14" bestFit="1" customWidth="1"/>
    <col min="1766" max="1766" width="11.59765625" bestFit="1" customWidth="1"/>
    <col min="1767" max="1767" width="14" bestFit="1" customWidth="1"/>
    <col min="1768" max="1768" width="11.59765625" bestFit="1" customWidth="1"/>
    <col min="1769" max="1769" width="14" bestFit="1" customWidth="1"/>
    <col min="1770" max="1770" width="11.59765625" bestFit="1" customWidth="1"/>
    <col min="1771" max="1771" width="14" bestFit="1" customWidth="1"/>
    <col min="1772" max="1772" width="10.59765625" bestFit="1" customWidth="1"/>
    <col min="1773" max="1773" width="13" bestFit="1" customWidth="1"/>
    <col min="1774" max="1774" width="11.59765625" bestFit="1" customWidth="1"/>
    <col min="1775" max="1775" width="14" bestFit="1" customWidth="1"/>
    <col min="1776" max="1776" width="11.59765625" bestFit="1" customWidth="1"/>
    <col min="1777" max="1777" width="14" bestFit="1" customWidth="1"/>
    <col min="1778" max="1778" width="10.59765625" bestFit="1" customWidth="1"/>
    <col min="1779" max="1779" width="13" bestFit="1" customWidth="1"/>
    <col min="1780" max="1780" width="11.59765625" bestFit="1" customWidth="1"/>
    <col min="1781" max="1781" width="14" bestFit="1" customWidth="1"/>
    <col min="1782" max="1782" width="10.59765625" bestFit="1" customWidth="1"/>
    <col min="1783" max="1783" width="13" bestFit="1" customWidth="1"/>
    <col min="1784" max="1784" width="10.59765625" bestFit="1" customWidth="1"/>
    <col min="1785" max="1785" width="13" bestFit="1" customWidth="1"/>
    <col min="1786" max="1786" width="11.59765625" bestFit="1" customWidth="1"/>
    <col min="1787" max="1787" width="14" bestFit="1" customWidth="1"/>
    <col min="1788" max="1788" width="11.59765625" bestFit="1" customWidth="1"/>
    <col min="1789" max="1789" width="14" bestFit="1" customWidth="1"/>
    <col min="1790" max="1790" width="10.59765625" bestFit="1" customWidth="1"/>
    <col min="1791" max="1791" width="13" bestFit="1" customWidth="1"/>
    <col min="1792" max="1792" width="11.59765625" bestFit="1" customWidth="1"/>
    <col min="1793" max="1793" width="14" bestFit="1" customWidth="1"/>
    <col min="1794" max="1794" width="10.59765625" bestFit="1" customWidth="1"/>
    <col min="1795" max="1795" width="13" bestFit="1" customWidth="1"/>
    <col min="1796" max="1796" width="12.59765625" bestFit="1" customWidth="1"/>
    <col min="1797" max="1797" width="15" bestFit="1" customWidth="1"/>
    <col min="1798" max="1798" width="10.59765625" bestFit="1" customWidth="1"/>
    <col min="1799" max="1799" width="13" bestFit="1" customWidth="1"/>
    <col min="1800" max="1800" width="11.59765625" bestFit="1" customWidth="1"/>
    <col min="1801" max="1801" width="14" bestFit="1" customWidth="1"/>
    <col min="1802" max="1802" width="15.59765625" bestFit="1" customWidth="1"/>
    <col min="1803" max="1803" width="14.59765625" bestFit="1" customWidth="1"/>
    <col min="1804" max="1804" width="13.59765625" bestFit="1" customWidth="1"/>
    <col min="1805" max="1806" width="14.59765625" bestFit="1" customWidth="1"/>
    <col min="1807" max="1810" width="13.59765625" bestFit="1" customWidth="1"/>
    <col min="1811" max="1811" width="14.59765625" bestFit="1" customWidth="1"/>
    <col min="1812" max="1812" width="13.59765625" bestFit="1" customWidth="1"/>
    <col min="1813" max="1816" width="12.5" bestFit="1" customWidth="1"/>
    <col min="1817" max="1818" width="21.19921875" bestFit="1" customWidth="1"/>
    <col min="1819" max="1819" width="10.8984375" bestFit="1" customWidth="1"/>
    <col min="1820" max="1820" width="21.19921875" bestFit="1" customWidth="1"/>
    <col min="1821" max="1821" width="9.8984375" bestFit="1" customWidth="1"/>
    <col min="1822" max="1822" width="11.8984375" bestFit="1" customWidth="1"/>
    <col min="1823" max="1825" width="10.8984375" bestFit="1" customWidth="1"/>
    <col min="1826" max="1826" width="11.8984375" bestFit="1" customWidth="1"/>
    <col min="1827" max="1827" width="10.8984375" bestFit="1" customWidth="1"/>
    <col min="1828" max="1828" width="13" bestFit="1" customWidth="1"/>
    <col min="1829" max="1829" width="10.8984375" bestFit="1" customWidth="1"/>
    <col min="1830" max="1830" width="13" bestFit="1" customWidth="1"/>
    <col min="1831" max="1831" width="10.8984375" bestFit="1" customWidth="1"/>
    <col min="1832" max="1833" width="11.8984375" bestFit="1" customWidth="1"/>
    <col min="1834" max="1836" width="10.8984375" bestFit="1" customWidth="1"/>
    <col min="1837" max="1837" width="11.8984375" bestFit="1" customWidth="1"/>
    <col min="1838" max="1838" width="10.8984375" bestFit="1" customWidth="1"/>
    <col min="1839" max="1842" width="11.8984375" bestFit="1" customWidth="1"/>
    <col min="1843" max="1845" width="10.8984375" bestFit="1" customWidth="1"/>
    <col min="1846" max="1846" width="11.8984375" bestFit="1" customWidth="1"/>
    <col min="1847" max="1847" width="10.8984375" bestFit="1" customWidth="1"/>
    <col min="1848" max="1848" width="13" bestFit="1" customWidth="1"/>
    <col min="1849" max="1849" width="10.8984375" bestFit="1" customWidth="1"/>
    <col min="1850" max="1851" width="11.8984375" bestFit="1" customWidth="1"/>
    <col min="1852" max="1853" width="10.8984375" bestFit="1" customWidth="1"/>
    <col min="1854" max="1854" width="13" bestFit="1" customWidth="1"/>
    <col min="1855" max="1855" width="9.8984375" bestFit="1" customWidth="1"/>
    <col min="1856" max="1857" width="10.8984375" bestFit="1" customWidth="1"/>
    <col min="1858" max="1858" width="11.8984375" bestFit="1" customWidth="1"/>
    <col min="1859" max="1859" width="10.8984375" bestFit="1" customWidth="1"/>
    <col min="1860" max="1860" width="13" bestFit="1" customWidth="1"/>
    <col min="1861" max="1861" width="11.8984375" bestFit="1" customWidth="1"/>
    <col min="1862" max="1864" width="10.8984375" bestFit="1" customWidth="1"/>
    <col min="1865" max="1865" width="11.8984375" bestFit="1" customWidth="1"/>
    <col min="1866" max="1866" width="10.8984375" bestFit="1" customWidth="1"/>
    <col min="1867" max="1869" width="11.8984375" bestFit="1" customWidth="1"/>
    <col min="1870" max="1871" width="9.8984375" bestFit="1" customWidth="1"/>
    <col min="1872" max="1872" width="13" bestFit="1" customWidth="1"/>
    <col min="1873" max="1873" width="11.8984375" bestFit="1" customWidth="1"/>
    <col min="1874" max="1874" width="10.8984375" bestFit="1" customWidth="1"/>
    <col min="1875" max="1876" width="11.8984375" bestFit="1" customWidth="1"/>
    <col min="1877" max="1878" width="10.8984375" bestFit="1" customWidth="1"/>
    <col min="1879" max="1882" width="11.8984375" bestFit="1" customWidth="1"/>
    <col min="1883" max="1883" width="13" bestFit="1" customWidth="1"/>
    <col min="1884" max="1884" width="11.8984375" bestFit="1" customWidth="1"/>
    <col min="1885" max="1889" width="10.8984375" bestFit="1" customWidth="1"/>
    <col min="1890" max="1890" width="13" bestFit="1" customWidth="1"/>
    <col min="1891" max="1892" width="11.8984375" bestFit="1" customWidth="1"/>
    <col min="1893" max="1894" width="10.8984375" bestFit="1" customWidth="1"/>
    <col min="1895" max="1896" width="11.8984375" bestFit="1" customWidth="1"/>
    <col min="1897" max="1897" width="13" bestFit="1" customWidth="1"/>
    <col min="1898" max="1899" width="10.8984375" bestFit="1" customWidth="1"/>
    <col min="1900" max="1902" width="11.8984375" bestFit="1" customWidth="1"/>
    <col min="1903" max="1903" width="8.3984375" bestFit="1" customWidth="1"/>
    <col min="1904" max="1907" width="11.8984375" bestFit="1" customWidth="1"/>
    <col min="1908" max="1908" width="10.8984375" bestFit="1" customWidth="1"/>
    <col min="1909" max="1909" width="13" bestFit="1" customWidth="1"/>
    <col min="1910" max="1910" width="10.8984375" bestFit="1" customWidth="1"/>
    <col min="1911" max="1913" width="11.8984375" bestFit="1" customWidth="1"/>
    <col min="1914" max="1914" width="10.8984375" bestFit="1" customWidth="1"/>
    <col min="1915" max="1919" width="11.8984375" bestFit="1" customWidth="1"/>
    <col min="1920" max="1920" width="10.8984375" bestFit="1" customWidth="1"/>
    <col min="1921" max="1921" width="13" bestFit="1" customWidth="1"/>
    <col min="1922" max="1922" width="11.8984375" bestFit="1" customWidth="1"/>
    <col min="1923" max="1925" width="10.8984375" bestFit="1" customWidth="1"/>
    <col min="1926" max="1926" width="11.8984375" bestFit="1" customWidth="1"/>
    <col min="1927" max="1927" width="10.8984375" bestFit="1" customWidth="1"/>
    <col min="1928" max="1928" width="13" bestFit="1" customWidth="1"/>
    <col min="1929" max="1929" width="21.19921875" bestFit="1" customWidth="1"/>
    <col min="1930" max="1931" width="10.8984375" bestFit="1" customWidth="1"/>
    <col min="1932" max="1933" width="11.8984375" bestFit="1" customWidth="1"/>
    <col min="1934" max="1934" width="13" bestFit="1" customWidth="1"/>
    <col min="1935" max="1935" width="11.8984375" bestFit="1" customWidth="1"/>
    <col min="1936" max="1936" width="10.8984375" bestFit="1" customWidth="1"/>
    <col min="1937" max="1937" width="21.19921875" bestFit="1" customWidth="1"/>
    <col min="1938" max="1938" width="11.8984375" bestFit="1" customWidth="1"/>
    <col min="1939" max="1940" width="13" bestFit="1" customWidth="1"/>
    <col min="1941" max="1941" width="11.8984375" bestFit="1" customWidth="1"/>
    <col min="1942" max="1942" width="13" bestFit="1" customWidth="1"/>
    <col min="1943" max="1943" width="11.8984375" bestFit="1" customWidth="1"/>
    <col min="1944" max="1944" width="13" bestFit="1" customWidth="1"/>
    <col min="1945" max="1945" width="11.8984375" bestFit="1" customWidth="1"/>
    <col min="1946" max="1946" width="9.8984375" bestFit="1" customWidth="1"/>
    <col min="1947" max="1956" width="10.8984375" bestFit="1" customWidth="1"/>
    <col min="1957" max="1957" width="11.8984375" bestFit="1" customWidth="1"/>
    <col min="1958" max="1958" width="10.8984375" bestFit="1" customWidth="1"/>
    <col min="1959" max="1960" width="11.8984375" bestFit="1" customWidth="1"/>
    <col min="1961" max="1962" width="10.8984375" bestFit="1" customWidth="1"/>
    <col min="1963" max="1963" width="21.19921875" bestFit="1" customWidth="1"/>
    <col min="1964" max="1965" width="11.8984375" bestFit="1" customWidth="1"/>
    <col min="1966" max="1967" width="10.8984375" bestFit="1" customWidth="1"/>
    <col min="1968" max="1969" width="11.8984375" bestFit="1" customWidth="1"/>
    <col min="1970" max="1971" width="13" bestFit="1" customWidth="1"/>
    <col min="1972" max="1973" width="11.8984375" bestFit="1" customWidth="1"/>
    <col min="1974" max="1974" width="9.8984375" bestFit="1" customWidth="1"/>
    <col min="1975" max="1975" width="11.8984375" bestFit="1" customWidth="1"/>
    <col min="1976" max="1977" width="13" bestFit="1" customWidth="1"/>
    <col min="1978" max="1978" width="11.8984375" bestFit="1" customWidth="1"/>
    <col min="1979" max="1979" width="10.8984375" bestFit="1" customWidth="1"/>
    <col min="1980" max="1980" width="13" bestFit="1" customWidth="1"/>
    <col min="1981" max="1981" width="10.8984375" bestFit="1" customWidth="1"/>
    <col min="1982" max="1982" width="11.8984375" bestFit="1" customWidth="1"/>
    <col min="1983" max="1983" width="10.8984375" bestFit="1" customWidth="1"/>
    <col min="1984" max="1985" width="11.8984375" bestFit="1" customWidth="1"/>
    <col min="1986" max="1988" width="10.8984375" bestFit="1" customWidth="1"/>
    <col min="1989" max="1989" width="11.8984375" bestFit="1" customWidth="1"/>
    <col min="1990" max="1990" width="13" bestFit="1" customWidth="1"/>
    <col min="1991" max="1991" width="10.8984375" bestFit="1" customWidth="1"/>
    <col min="1992" max="1992" width="21.19921875" bestFit="1" customWidth="1"/>
    <col min="1993" max="1993" width="11.8984375" bestFit="1" customWidth="1"/>
    <col min="1994" max="1994" width="10.8984375" bestFit="1" customWidth="1"/>
    <col min="1995" max="1995" width="11.8984375" bestFit="1" customWidth="1"/>
    <col min="1996" max="1996" width="10.8984375" bestFit="1" customWidth="1"/>
    <col min="1997" max="1997" width="9.8984375" bestFit="1" customWidth="1"/>
    <col min="1998" max="1999" width="10.8984375" bestFit="1" customWidth="1"/>
    <col min="2000" max="2002" width="11.8984375" bestFit="1" customWidth="1"/>
    <col min="2003" max="2003" width="10.8984375" bestFit="1" customWidth="1"/>
    <col min="2004" max="2004" width="21.19921875" bestFit="1" customWidth="1"/>
    <col min="2005" max="2005" width="8.3984375" bestFit="1" customWidth="1"/>
    <col min="2006" max="2006" width="10.8984375" bestFit="1" customWidth="1"/>
    <col min="2007" max="2009" width="11.8984375" bestFit="1" customWidth="1"/>
    <col min="2010" max="2010" width="10.8984375" bestFit="1" customWidth="1"/>
    <col min="2011" max="2012" width="13" bestFit="1" customWidth="1"/>
    <col min="2013" max="2014" width="11.8984375" bestFit="1" customWidth="1"/>
    <col min="2015" max="2015" width="9.8984375" bestFit="1" customWidth="1"/>
    <col min="2016" max="2016" width="10.8984375" bestFit="1" customWidth="1"/>
    <col min="2017" max="2029" width="11.8984375" bestFit="1" customWidth="1"/>
    <col min="2030" max="2030" width="10.8984375" bestFit="1" customWidth="1"/>
    <col min="2031" max="2031" width="11.8984375" bestFit="1" customWidth="1"/>
    <col min="2032" max="2033" width="10.8984375" bestFit="1" customWidth="1"/>
    <col min="2034" max="2034" width="11.8984375" bestFit="1" customWidth="1"/>
    <col min="2035" max="2036" width="10.8984375" bestFit="1" customWidth="1"/>
    <col min="2037" max="2037" width="13" bestFit="1" customWidth="1"/>
    <col min="2038" max="2039" width="11.8984375" bestFit="1" customWidth="1"/>
    <col min="2040" max="2040" width="10.8984375" bestFit="1" customWidth="1"/>
    <col min="2041" max="2041" width="11.8984375" bestFit="1" customWidth="1"/>
    <col min="2042" max="2042" width="10.8984375" bestFit="1" customWidth="1"/>
    <col min="2043" max="2043" width="11.8984375" bestFit="1" customWidth="1"/>
    <col min="2044" max="2044" width="10.8984375" bestFit="1" customWidth="1"/>
    <col min="2045" max="2047" width="11.8984375" bestFit="1" customWidth="1"/>
    <col min="2048" max="2049" width="10.8984375" bestFit="1" customWidth="1"/>
    <col min="2050" max="2050" width="11.8984375" bestFit="1" customWidth="1"/>
    <col min="2051" max="2051" width="10.8984375" bestFit="1" customWidth="1"/>
    <col min="2052" max="2052" width="9.8984375" bestFit="1" customWidth="1"/>
    <col min="2053" max="2053" width="11.8984375" bestFit="1" customWidth="1"/>
    <col min="2054" max="2054" width="13" bestFit="1" customWidth="1"/>
    <col min="2055" max="2057" width="11.8984375" bestFit="1" customWidth="1"/>
    <col min="2058" max="2058" width="15.59765625" bestFit="1" customWidth="1"/>
    <col min="2059" max="2059" width="14.59765625" bestFit="1" customWidth="1"/>
    <col min="2060" max="2060" width="13.59765625" bestFit="1" customWidth="1"/>
    <col min="2061" max="2062" width="14.59765625" bestFit="1" customWidth="1"/>
    <col min="2063" max="2066" width="13.59765625" bestFit="1" customWidth="1"/>
    <col min="2067" max="2067" width="14.59765625" bestFit="1" customWidth="1"/>
    <col min="2068" max="2068" width="13.59765625" bestFit="1" customWidth="1"/>
    <col min="2069" max="2072" width="12.5" bestFit="1" customWidth="1"/>
    <col min="2073" max="2074" width="21.19921875" bestFit="1" customWidth="1"/>
    <col min="2075" max="2075" width="10.8984375" bestFit="1" customWidth="1"/>
    <col min="2076" max="2076" width="21.19921875" bestFit="1" customWidth="1"/>
    <col min="2077" max="2077" width="9.8984375" bestFit="1" customWidth="1"/>
    <col min="2078" max="2078" width="11.8984375" bestFit="1" customWidth="1"/>
    <col min="2079" max="2081" width="10.8984375" bestFit="1" customWidth="1"/>
    <col min="2082" max="2082" width="11.8984375" bestFit="1" customWidth="1"/>
    <col min="2083" max="2083" width="10.8984375" bestFit="1" customWidth="1"/>
    <col min="2084" max="2084" width="13" bestFit="1" customWidth="1"/>
    <col min="2085" max="2085" width="10.8984375" bestFit="1" customWidth="1"/>
    <col min="2086" max="2086" width="13" bestFit="1" customWidth="1"/>
    <col min="2087" max="2087" width="10.8984375" bestFit="1" customWidth="1"/>
    <col min="2088" max="2089" width="11.8984375" bestFit="1" customWidth="1"/>
    <col min="2090" max="2092" width="10.8984375" bestFit="1" customWidth="1"/>
    <col min="2093" max="2093" width="11.8984375" bestFit="1" customWidth="1"/>
    <col min="2094" max="2094" width="10.8984375" bestFit="1" customWidth="1"/>
    <col min="2095" max="2098" width="11.8984375" bestFit="1" customWidth="1"/>
    <col min="2099" max="2101" width="10.8984375" bestFit="1" customWidth="1"/>
    <col min="2102" max="2102" width="11.8984375" bestFit="1" customWidth="1"/>
    <col min="2103" max="2103" width="10.8984375" bestFit="1" customWidth="1"/>
    <col min="2104" max="2104" width="13" bestFit="1" customWidth="1"/>
    <col min="2105" max="2105" width="10.8984375" bestFit="1" customWidth="1"/>
    <col min="2106" max="2107" width="11.8984375" bestFit="1" customWidth="1"/>
    <col min="2108" max="2109" width="10.8984375" bestFit="1" customWidth="1"/>
    <col min="2110" max="2110" width="13" bestFit="1" customWidth="1"/>
    <col min="2111" max="2111" width="9.8984375" bestFit="1" customWidth="1"/>
    <col min="2112" max="2113" width="10.8984375" bestFit="1" customWidth="1"/>
    <col min="2114" max="2114" width="11.8984375" bestFit="1" customWidth="1"/>
    <col min="2115" max="2115" width="10.8984375" bestFit="1" customWidth="1"/>
    <col min="2116" max="2116" width="13" bestFit="1" customWidth="1"/>
    <col min="2117" max="2117" width="11.8984375" bestFit="1" customWidth="1"/>
    <col min="2118" max="2120" width="10.8984375" bestFit="1" customWidth="1"/>
    <col min="2121" max="2121" width="11.8984375" bestFit="1" customWidth="1"/>
    <col min="2122" max="2122" width="10.8984375" bestFit="1" customWidth="1"/>
    <col min="2123" max="2125" width="11.8984375" bestFit="1" customWidth="1"/>
    <col min="2126" max="2127" width="9.8984375" bestFit="1" customWidth="1"/>
    <col min="2128" max="2128" width="13" bestFit="1" customWidth="1"/>
    <col min="2129" max="2129" width="11.8984375" bestFit="1" customWidth="1"/>
    <col min="2130" max="2130" width="10.8984375" bestFit="1" customWidth="1"/>
    <col min="2131" max="2132" width="11.8984375" bestFit="1" customWidth="1"/>
    <col min="2133" max="2134" width="10.8984375" bestFit="1" customWidth="1"/>
    <col min="2135" max="2138" width="11.8984375" bestFit="1" customWidth="1"/>
    <col min="2139" max="2139" width="13" bestFit="1" customWidth="1"/>
    <col min="2140" max="2140" width="11.8984375" bestFit="1" customWidth="1"/>
    <col min="2141" max="2145" width="10.8984375" bestFit="1" customWidth="1"/>
    <col min="2146" max="2146" width="13" bestFit="1" customWidth="1"/>
    <col min="2147" max="2148" width="11.8984375" bestFit="1" customWidth="1"/>
    <col min="2149" max="2150" width="10.8984375" bestFit="1" customWidth="1"/>
    <col min="2151" max="2152" width="11.8984375" bestFit="1" customWidth="1"/>
    <col min="2153" max="2153" width="13" bestFit="1" customWidth="1"/>
    <col min="2154" max="2155" width="10.8984375" bestFit="1" customWidth="1"/>
    <col min="2156" max="2158" width="11.8984375" bestFit="1" customWidth="1"/>
    <col min="2159" max="2159" width="8.3984375" bestFit="1" customWidth="1"/>
    <col min="2160" max="2163" width="11.8984375" bestFit="1" customWidth="1"/>
    <col min="2164" max="2164" width="10.8984375" bestFit="1" customWidth="1"/>
    <col min="2165" max="2165" width="13" bestFit="1" customWidth="1"/>
    <col min="2166" max="2166" width="10.8984375" bestFit="1" customWidth="1"/>
    <col min="2167" max="2169" width="11.8984375" bestFit="1" customWidth="1"/>
    <col min="2170" max="2170" width="10.8984375" bestFit="1" customWidth="1"/>
    <col min="2171" max="2175" width="11.8984375" bestFit="1" customWidth="1"/>
    <col min="2176" max="2176" width="10.8984375" bestFit="1" customWidth="1"/>
    <col min="2177" max="2177" width="13" bestFit="1" customWidth="1"/>
    <col min="2178" max="2178" width="11.8984375" bestFit="1" customWidth="1"/>
    <col min="2179" max="2181" width="10.8984375" bestFit="1" customWidth="1"/>
    <col min="2182" max="2182" width="11.8984375" bestFit="1" customWidth="1"/>
    <col min="2183" max="2183" width="10.8984375" bestFit="1" customWidth="1"/>
    <col min="2184" max="2184" width="13" bestFit="1" customWidth="1"/>
    <col min="2185" max="2185" width="21.19921875" bestFit="1" customWidth="1"/>
    <col min="2186" max="2187" width="10.8984375" bestFit="1" customWidth="1"/>
    <col min="2188" max="2189" width="11.8984375" bestFit="1" customWidth="1"/>
    <col min="2190" max="2190" width="13" bestFit="1" customWidth="1"/>
    <col min="2191" max="2191" width="11.8984375" bestFit="1" customWidth="1"/>
    <col min="2192" max="2192" width="10.8984375" bestFit="1" customWidth="1"/>
    <col min="2193" max="2193" width="21.19921875" bestFit="1" customWidth="1"/>
    <col min="2194" max="2194" width="11.8984375" bestFit="1" customWidth="1"/>
    <col min="2195" max="2196" width="13" bestFit="1" customWidth="1"/>
    <col min="2197" max="2197" width="11.8984375" bestFit="1" customWidth="1"/>
    <col min="2198" max="2198" width="13" bestFit="1" customWidth="1"/>
    <col min="2199" max="2199" width="11.8984375" bestFit="1" customWidth="1"/>
    <col min="2200" max="2200" width="13" bestFit="1" customWidth="1"/>
    <col min="2201" max="2201" width="11.8984375" bestFit="1" customWidth="1"/>
    <col min="2202" max="2202" width="9.8984375" bestFit="1" customWidth="1"/>
    <col min="2203" max="2212" width="10.8984375" bestFit="1" customWidth="1"/>
    <col min="2213" max="2213" width="11.8984375" bestFit="1" customWidth="1"/>
    <col min="2214" max="2214" width="10.8984375" bestFit="1" customWidth="1"/>
    <col min="2215" max="2216" width="11.8984375" bestFit="1" customWidth="1"/>
    <col min="2217" max="2218" width="10.8984375" bestFit="1" customWidth="1"/>
    <col min="2219" max="2219" width="21.19921875" bestFit="1" customWidth="1"/>
    <col min="2220" max="2221" width="11.8984375" bestFit="1" customWidth="1"/>
    <col min="2222" max="2223" width="10.8984375" bestFit="1" customWidth="1"/>
    <col min="2224" max="2225" width="11.8984375" bestFit="1" customWidth="1"/>
    <col min="2226" max="2227" width="13" bestFit="1" customWidth="1"/>
    <col min="2228" max="2229" width="11.8984375" bestFit="1" customWidth="1"/>
    <col min="2230" max="2230" width="9.8984375" bestFit="1" customWidth="1"/>
    <col min="2231" max="2231" width="11.8984375" bestFit="1" customWidth="1"/>
    <col min="2232" max="2233" width="13" bestFit="1" customWidth="1"/>
    <col min="2234" max="2234" width="11.8984375" bestFit="1" customWidth="1"/>
    <col min="2235" max="2235" width="10.8984375" bestFit="1" customWidth="1"/>
    <col min="2236" max="2236" width="13" bestFit="1" customWidth="1"/>
    <col min="2237" max="2237" width="10.8984375" bestFit="1" customWidth="1"/>
    <col min="2238" max="2238" width="11.8984375" bestFit="1" customWidth="1"/>
    <col min="2239" max="2239" width="10.8984375" bestFit="1" customWidth="1"/>
    <col min="2240" max="2241" width="11.8984375" bestFit="1" customWidth="1"/>
    <col min="2242" max="2244" width="10.8984375" bestFit="1" customWidth="1"/>
    <col min="2245" max="2245" width="11.8984375" bestFit="1" customWidth="1"/>
    <col min="2246" max="2246" width="13" bestFit="1" customWidth="1"/>
    <col min="2247" max="2247" width="10.8984375" bestFit="1" customWidth="1"/>
    <col min="2248" max="2248" width="21.19921875" bestFit="1" customWidth="1"/>
    <col min="2249" max="2249" width="11.8984375" bestFit="1" customWidth="1"/>
    <col min="2250" max="2250" width="10.8984375" bestFit="1" customWidth="1"/>
    <col min="2251" max="2251" width="11.8984375" bestFit="1" customWidth="1"/>
    <col min="2252" max="2252" width="10.8984375" bestFit="1" customWidth="1"/>
    <col min="2253" max="2253" width="9.8984375" bestFit="1" customWidth="1"/>
    <col min="2254" max="2255" width="10.8984375" bestFit="1" customWidth="1"/>
    <col min="2256" max="2258" width="11.8984375" bestFit="1" customWidth="1"/>
    <col min="2259" max="2259" width="10.8984375" bestFit="1" customWidth="1"/>
    <col min="2260" max="2260" width="21.19921875" bestFit="1" customWidth="1"/>
    <col min="2261" max="2261" width="8.3984375" bestFit="1" customWidth="1"/>
    <col min="2262" max="2262" width="10.8984375" bestFit="1" customWidth="1"/>
    <col min="2263" max="2265" width="11.8984375" bestFit="1" customWidth="1"/>
    <col min="2266" max="2266" width="10.8984375" bestFit="1" customWidth="1"/>
    <col min="2267" max="2268" width="13" bestFit="1" customWidth="1"/>
    <col min="2269" max="2270" width="11.8984375" bestFit="1" customWidth="1"/>
    <col min="2271" max="2271" width="9.8984375" bestFit="1" customWidth="1"/>
    <col min="2272" max="2272" width="10.8984375" bestFit="1" customWidth="1"/>
    <col min="2273" max="2285" width="11.8984375" bestFit="1" customWidth="1"/>
    <col min="2286" max="2286" width="10.8984375" bestFit="1" customWidth="1"/>
    <col min="2287" max="2287" width="11.8984375" bestFit="1" customWidth="1"/>
    <col min="2288" max="2289" width="10.8984375" bestFit="1" customWidth="1"/>
    <col min="2290" max="2290" width="11.8984375" bestFit="1" customWidth="1"/>
    <col min="2291" max="2292" width="10.8984375" bestFit="1" customWidth="1"/>
    <col min="2293" max="2293" width="13" bestFit="1" customWidth="1"/>
    <col min="2294" max="2295" width="11.8984375" bestFit="1" customWidth="1"/>
    <col min="2296" max="2296" width="10.8984375" bestFit="1" customWidth="1"/>
    <col min="2297" max="2297" width="11.8984375" bestFit="1" customWidth="1"/>
    <col min="2298" max="2298" width="10.8984375" bestFit="1" customWidth="1"/>
    <col min="2299" max="2299" width="11.8984375" bestFit="1" customWidth="1"/>
    <col min="2300" max="2300" width="10.8984375" bestFit="1" customWidth="1"/>
    <col min="2301" max="2303" width="11.8984375" bestFit="1" customWidth="1"/>
    <col min="2304" max="2305" width="10.8984375" bestFit="1" customWidth="1"/>
    <col min="2306" max="2306" width="11.8984375" bestFit="1" customWidth="1"/>
    <col min="2307" max="2307" width="10.8984375" bestFit="1" customWidth="1"/>
    <col min="2308" max="2308" width="9.8984375" bestFit="1" customWidth="1"/>
    <col min="2309" max="2309" width="11.8984375" bestFit="1" customWidth="1"/>
    <col min="2310" max="2310" width="13" bestFit="1" customWidth="1"/>
    <col min="2311" max="2313" width="11.8984375" bestFit="1" customWidth="1"/>
    <col min="2314" max="2314" width="15.59765625" bestFit="1" customWidth="1"/>
    <col min="2315" max="2315" width="14.59765625" bestFit="1" customWidth="1"/>
    <col min="2316" max="2316" width="13.59765625" bestFit="1" customWidth="1"/>
    <col min="2317" max="2318" width="14.59765625" bestFit="1" customWidth="1"/>
    <col min="2319" max="2322" width="13.59765625" bestFit="1" customWidth="1"/>
    <col min="2323" max="2323" width="14.59765625" bestFit="1" customWidth="1"/>
    <col min="2324" max="2324" width="13.59765625" bestFit="1" customWidth="1"/>
    <col min="2325" max="2328" width="12.5" bestFit="1" customWidth="1"/>
    <col min="2329" max="2330" width="21.19921875" bestFit="1" customWidth="1"/>
    <col min="2331" max="2331" width="10.8984375" bestFit="1" customWidth="1"/>
    <col min="2332" max="2332" width="21.19921875" bestFit="1" customWidth="1"/>
    <col min="2333" max="2333" width="9.8984375" bestFit="1" customWidth="1"/>
    <col min="2334" max="2334" width="11.8984375" bestFit="1" customWidth="1"/>
    <col min="2335" max="2337" width="10.8984375" bestFit="1" customWidth="1"/>
    <col min="2338" max="2338" width="11.8984375" bestFit="1" customWidth="1"/>
    <col min="2339" max="2339" width="10.8984375" bestFit="1" customWidth="1"/>
    <col min="2340" max="2340" width="13" bestFit="1" customWidth="1"/>
    <col min="2341" max="2341" width="10.8984375" bestFit="1" customWidth="1"/>
    <col min="2342" max="2342" width="13" bestFit="1" customWidth="1"/>
    <col min="2343" max="2343" width="10.8984375" bestFit="1" customWidth="1"/>
    <col min="2344" max="2345" width="11.8984375" bestFit="1" customWidth="1"/>
    <col min="2346" max="2348" width="10.8984375" bestFit="1" customWidth="1"/>
    <col min="2349" max="2349" width="11.8984375" bestFit="1" customWidth="1"/>
    <col min="2350" max="2350" width="10.8984375" bestFit="1" customWidth="1"/>
    <col min="2351" max="2354" width="11.8984375" bestFit="1" customWidth="1"/>
    <col min="2355" max="2357" width="10.8984375" bestFit="1" customWidth="1"/>
    <col min="2358" max="2358" width="11.8984375" bestFit="1" customWidth="1"/>
    <col min="2359" max="2359" width="10.8984375" bestFit="1" customWidth="1"/>
    <col min="2360" max="2360" width="13" bestFit="1" customWidth="1"/>
    <col min="2361" max="2361" width="10.8984375" bestFit="1" customWidth="1"/>
    <col min="2362" max="2363" width="11.8984375" bestFit="1" customWidth="1"/>
    <col min="2364" max="2365" width="10.8984375" bestFit="1" customWidth="1"/>
    <col min="2366" max="2366" width="13" bestFit="1" customWidth="1"/>
    <col min="2367" max="2367" width="9.8984375" bestFit="1" customWidth="1"/>
    <col min="2368" max="2369" width="10.8984375" bestFit="1" customWidth="1"/>
    <col min="2370" max="2370" width="11.8984375" bestFit="1" customWidth="1"/>
    <col min="2371" max="2371" width="10.8984375" bestFit="1" customWidth="1"/>
    <col min="2372" max="2372" width="13" bestFit="1" customWidth="1"/>
    <col min="2373" max="2373" width="11.8984375" bestFit="1" customWidth="1"/>
    <col min="2374" max="2376" width="10.8984375" bestFit="1" customWidth="1"/>
    <col min="2377" max="2377" width="11.8984375" bestFit="1" customWidth="1"/>
    <col min="2378" max="2378" width="10.8984375" bestFit="1" customWidth="1"/>
    <col min="2379" max="2381" width="11.8984375" bestFit="1" customWidth="1"/>
    <col min="2382" max="2383" width="9.8984375" bestFit="1" customWidth="1"/>
    <col min="2384" max="2384" width="13" bestFit="1" customWidth="1"/>
    <col min="2385" max="2385" width="11.8984375" bestFit="1" customWidth="1"/>
    <col min="2386" max="2386" width="10.8984375" bestFit="1" customWidth="1"/>
    <col min="2387" max="2388" width="11.8984375" bestFit="1" customWidth="1"/>
    <col min="2389" max="2390" width="10.8984375" bestFit="1" customWidth="1"/>
    <col min="2391" max="2394" width="11.8984375" bestFit="1" customWidth="1"/>
    <col min="2395" max="2395" width="13" bestFit="1" customWidth="1"/>
    <col min="2396" max="2396" width="11.8984375" bestFit="1" customWidth="1"/>
    <col min="2397" max="2401" width="10.8984375" bestFit="1" customWidth="1"/>
    <col min="2402" max="2402" width="13" bestFit="1" customWidth="1"/>
    <col min="2403" max="2404" width="11.8984375" bestFit="1" customWidth="1"/>
    <col min="2405" max="2406" width="10.8984375" bestFit="1" customWidth="1"/>
    <col min="2407" max="2408" width="11.8984375" bestFit="1" customWidth="1"/>
    <col min="2409" max="2409" width="13" bestFit="1" customWidth="1"/>
    <col min="2410" max="2411" width="10.8984375" bestFit="1" customWidth="1"/>
    <col min="2412" max="2414" width="11.8984375" bestFit="1" customWidth="1"/>
    <col min="2415" max="2415" width="8.3984375" bestFit="1" customWidth="1"/>
    <col min="2416" max="2419" width="11.8984375" bestFit="1" customWidth="1"/>
    <col min="2420" max="2420" width="10.8984375" bestFit="1" customWidth="1"/>
    <col min="2421" max="2421" width="13" bestFit="1" customWidth="1"/>
    <col min="2422" max="2422" width="10.8984375" bestFit="1" customWidth="1"/>
    <col min="2423" max="2425" width="11.8984375" bestFit="1" customWidth="1"/>
    <col min="2426" max="2426" width="10.8984375" bestFit="1" customWidth="1"/>
    <col min="2427" max="2431" width="11.8984375" bestFit="1" customWidth="1"/>
    <col min="2432" max="2432" width="10.8984375" bestFit="1" customWidth="1"/>
    <col min="2433" max="2433" width="13" bestFit="1" customWidth="1"/>
    <col min="2434" max="2434" width="11.8984375" bestFit="1" customWidth="1"/>
    <col min="2435" max="2437" width="10.8984375" bestFit="1" customWidth="1"/>
    <col min="2438" max="2438" width="11.8984375" bestFit="1" customWidth="1"/>
    <col min="2439" max="2439" width="10.8984375" bestFit="1" customWidth="1"/>
    <col min="2440" max="2440" width="13" bestFit="1" customWidth="1"/>
    <col min="2441" max="2441" width="21.19921875" bestFit="1" customWidth="1"/>
    <col min="2442" max="2443" width="10.8984375" bestFit="1" customWidth="1"/>
    <col min="2444" max="2445" width="11.8984375" bestFit="1" customWidth="1"/>
    <col min="2446" max="2446" width="13" bestFit="1" customWidth="1"/>
    <col min="2447" max="2447" width="11.8984375" bestFit="1" customWidth="1"/>
    <col min="2448" max="2448" width="10.8984375" bestFit="1" customWidth="1"/>
    <col min="2449" max="2449" width="21.19921875" bestFit="1" customWidth="1"/>
    <col min="2450" max="2450" width="11.8984375" bestFit="1" customWidth="1"/>
    <col min="2451" max="2452" width="13" bestFit="1" customWidth="1"/>
    <col min="2453" max="2453" width="11.8984375" bestFit="1" customWidth="1"/>
    <col min="2454" max="2454" width="13" bestFit="1" customWidth="1"/>
    <col min="2455" max="2455" width="11.8984375" bestFit="1" customWidth="1"/>
    <col min="2456" max="2456" width="13" bestFit="1" customWidth="1"/>
    <col min="2457" max="2457" width="11.8984375" bestFit="1" customWidth="1"/>
    <col min="2458" max="2458" width="9.8984375" bestFit="1" customWidth="1"/>
    <col min="2459" max="2468" width="10.8984375" bestFit="1" customWidth="1"/>
    <col min="2469" max="2469" width="11.8984375" bestFit="1" customWidth="1"/>
    <col min="2470" max="2470" width="10.8984375" bestFit="1" customWidth="1"/>
    <col min="2471" max="2472" width="11.8984375" bestFit="1" customWidth="1"/>
    <col min="2473" max="2474" width="10.8984375" bestFit="1" customWidth="1"/>
    <col min="2475" max="2475" width="21.19921875" bestFit="1" customWidth="1"/>
    <col min="2476" max="2477" width="11.8984375" bestFit="1" customWidth="1"/>
    <col min="2478" max="2479" width="10.8984375" bestFit="1" customWidth="1"/>
    <col min="2480" max="2481" width="11.8984375" bestFit="1" customWidth="1"/>
    <col min="2482" max="2483" width="13" bestFit="1" customWidth="1"/>
    <col min="2484" max="2485" width="11.8984375" bestFit="1" customWidth="1"/>
    <col min="2486" max="2486" width="9.8984375" bestFit="1" customWidth="1"/>
    <col min="2487" max="2487" width="11.8984375" bestFit="1" customWidth="1"/>
    <col min="2488" max="2489" width="13" bestFit="1" customWidth="1"/>
    <col min="2490" max="2490" width="11.8984375" bestFit="1" customWidth="1"/>
    <col min="2491" max="2491" width="10.8984375" bestFit="1" customWidth="1"/>
    <col min="2492" max="2492" width="13" bestFit="1" customWidth="1"/>
    <col min="2493" max="2493" width="10.8984375" bestFit="1" customWidth="1"/>
    <col min="2494" max="2494" width="11.8984375" bestFit="1" customWidth="1"/>
    <col min="2495" max="2495" width="10.8984375" bestFit="1" customWidth="1"/>
    <col min="2496" max="2497" width="11.8984375" bestFit="1" customWidth="1"/>
    <col min="2498" max="2500" width="10.8984375" bestFit="1" customWidth="1"/>
    <col min="2501" max="2501" width="11.8984375" bestFit="1" customWidth="1"/>
    <col min="2502" max="2502" width="13" bestFit="1" customWidth="1"/>
    <col min="2503" max="2503" width="10.8984375" bestFit="1" customWidth="1"/>
    <col min="2504" max="2504" width="21.19921875" bestFit="1" customWidth="1"/>
    <col min="2505" max="2505" width="11.8984375" bestFit="1" customWidth="1"/>
    <col min="2506" max="2506" width="10.8984375" bestFit="1" customWidth="1"/>
    <col min="2507" max="2507" width="11.8984375" bestFit="1" customWidth="1"/>
    <col min="2508" max="2508" width="10.8984375" bestFit="1" customWidth="1"/>
    <col min="2509" max="2509" width="9.8984375" bestFit="1" customWidth="1"/>
    <col min="2510" max="2511" width="10.8984375" bestFit="1" customWidth="1"/>
    <col min="2512" max="2514" width="11.8984375" bestFit="1" customWidth="1"/>
    <col min="2515" max="2515" width="10.8984375" bestFit="1" customWidth="1"/>
    <col min="2516" max="2516" width="21.19921875" bestFit="1" customWidth="1"/>
    <col min="2517" max="2517" width="8.3984375" bestFit="1" customWidth="1"/>
    <col min="2518" max="2518" width="10.8984375" bestFit="1" customWidth="1"/>
    <col min="2519" max="2521" width="11.8984375" bestFit="1" customWidth="1"/>
    <col min="2522" max="2522" width="10.8984375" bestFit="1" customWidth="1"/>
    <col min="2523" max="2524" width="13" bestFit="1" customWidth="1"/>
    <col min="2525" max="2526" width="11.8984375" bestFit="1" customWidth="1"/>
    <col min="2527" max="2527" width="9.8984375" bestFit="1" customWidth="1"/>
    <col min="2528" max="2528" width="10.8984375" bestFit="1" customWidth="1"/>
    <col min="2529" max="2541" width="11.8984375" bestFit="1" customWidth="1"/>
    <col min="2542" max="2542" width="10.8984375" bestFit="1" customWidth="1"/>
    <col min="2543" max="2543" width="11.8984375" bestFit="1" customWidth="1"/>
    <col min="2544" max="2545" width="10.8984375" bestFit="1" customWidth="1"/>
    <col min="2546" max="2546" width="11.8984375" bestFit="1" customWidth="1"/>
    <col min="2547" max="2548" width="10.8984375" bestFit="1" customWidth="1"/>
    <col min="2549" max="2549" width="13" bestFit="1" customWidth="1"/>
    <col min="2550" max="2551" width="11.8984375" bestFit="1" customWidth="1"/>
    <col min="2552" max="2552" width="10.8984375" bestFit="1" customWidth="1"/>
    <col min="2553" max="2553" width="11.8984375" bestFit="1" customWidth="1"/>
    <col min="2554" max="2554" width="10.8984375" bestFit="1" customWidth="1"/>
    <col min="2555" max="2555" width="11.8984375" bestFit="1" customWidth="1"/>
    <col min="2556" max="2556" width="10.8984375" bestFit="1" customWidth="1"/>
    <col min="2557" max="2559" width="11.8984375" bestFit="1" customWidth="1"/>
    <col min="2560" max="2561" width="10.8984375" bestFit="1" customWidth="1"/>
    <col min="2562" max="2562" width="11.8984375" bestFit="1" customWidth="1"/>
    <col min="2563" max="2563" width="10.8984375" bestFit="1" customWidth="1"/>
    <col min="2564" max="2564" width="9.8984375" bestFit="1" customWidth="1"/>
    <col min="2565" max="2565" width="11.8984375" bestFit="1" customWidth="1"/>
    <col min="2566" max="2566" width="13" bestFit="1" customWidth="1"/>
    <col min="2567" max="2569" width="11.8984375" bestFit="1" customWidth="1"/>
    <col min="2570" max="2570" width="15.59765625" bestFit="1" customWidth="1"/>
    <col min="2571" max="2571" width="14.59765625" bestFit="1" customWidth="1"/>
    <col min="2572" max="2572" width="13.59765625" bestFit="1" customWidth="1"/>
    <col min="2573" max="2574" width="14.59765625" bestFit="1" customWidth="1"/>
    <col min="2575" max="2578" width="13.59765625" bestFit="1" customWidth="1"/>
    <col min="2579" max="2579" width="14.59765625" bestFit="1" customWidth="1"/>
    <col min="2580" max="2580" width="13.59765625" bestFit="1" customWidth="1"/>
    <col min="2581" max="2584" width="12.5" bestFit="1" customWidth="1"/>
    <col min="2585" max="2586" width="21.19921875" bestFit="1" customWidth="1"/>
    <col min="2587" max="2587" width="10.8984375" bestFit="1" customWidth="1"/>
    <col min="2588" max="2588" width="21.19921875" bestFit="1" customWidth="1"/>
    <col min="2589" max="2589" width="9.8984375" bestFit="1" customWidth="1"/>
    <col min="2590" max="2590" width="11.8984375" bestFit="1" customWidth="1"/>
    <col min="2591" max="2593" width="10.8984375" bestFit="1" customWidth="1"/>
    <col min="2594" max="2594" width="11.8984375" bestFit="1" customWidth="1"/>
    <col min="2595" max="2595" width="10.8984375" bestFit="1" customWidth="1"/>
    <col min="2596" max="2596" width="13" bestFit="1" customWidth="1"/>
    <col min="2597" max="2597" width="10.8984375" bestFit="1" customWidth="1"/>
    <col min="2598" max="2598" width="13" bestFit="1" customWidth="1"/>
    <col min="2599" max="2599" width="10.8984375" bestFit="1" customWidth="1"/>
    <col min="2600" max="2601" width="11.8984375" bestFit="1" customWidth="1"/>
    <col min="2602" max="2604" width="10.8984375" bestFit="1" customWidth="1"/>
    <col min="2605" max="2605" width="11.8984375" bestFit="1" customWidth="1"/>
    <col min="2606" max="2606" width="10.8984375" bestFit="1" customWidth="1"/>
    <col min="2607" max="2610" width="11.8984375" bestFit="1" customWidth="1"/>
    <col min="2611" max="2613" width="10.8984375" bestFit="1" customWidth="1"/>
    <col min="2614" max="2614" width="11.8984375" bestFit="1" customWidth="1"/>
    <col min="2615" max="2615" width="10.8984375" bestFit="1" customWidth="1"/>
    <col min="2616" max="2616" width="13" bestFit="1" customWidth="1"/>
    <col min="2617" max="2617" width="10.8984375" bestFit="1" customWidth="1"/>
    <col min="2618" max="2619" width="11.8984375" bestFit="1" customWidth="1"/>
    <col min="2620" max="2621" width="10.8984375" bestFit="1" customWidth="1"/>
    <col min="2622" max="2622" width="13" bestFit="1" customWidth="1"/>
    <col min="2623" max="2623" width="9.8984375" bestFit="1" customWidth="1"/>
    <col min="2624" max="2625" width="10.8984375" bestFit="1" customWidth="1"/>
    <col min="2626" max="2626" width="11.8984375" bestFit="1" customWidth="1"/>
    <col min="2627" max="2627" width="10.8984375" bestFit="1" customWidth="1"/>
    <col min="2628" max="2628" width="13" bestFit="1" customWidth="1"/>
    <col min="2629" max="2629" width="11.8984375" bestFit="1" customWidth="1"/>
    <col min="2630" max="2632" width="10.8984375" bestFit="1" customWidth="1"/>
    <col min="2633" max="2633" width="11.8984375" bestFit="1" customWidth="1"/>
    <col min="2634" max="2634" width="10.8984375" bestFit="1" customWidth="1"/>
    <col min="2635" max="2637" width="11.8984375" bestFit="1" customWidth="1"/>
    <col min="2638" max="2639" width="9.8984375" bestFit="1" customWidth="1"/>
    <col min="2640" max="2640" width="13" bestFit="1" customWidth="1"/>
    <col min="2641" max="2641" width="11.8984375" bestFit="1" customWidth="1"/>
    <col min="2642" max="2642" width="10.8984375" bestFit="1" customWidth="1"/>
    <col min="2643" max="2644" width="11.8984375" bestFit="1" customWidth="1"/>
    <col min="2645" max="2646" width="10.8984375" bestFit="1" customWidth="1"/>
    <col min="2647" max="2650" width="11.8984375" bestFit="1" customWidth="1"/>
    <col min="2651" max="2651" width="13" bestFit="1" customWidth="1"/>
    <col min="2652" max="2652" width="11.8984375" bestFit="1" customWidth="1"/>
    <col min="2653" max="2657" width="10.8984375" bestFit="1" customWidth="1"/>
    <col min="2658" max="2658" width="13" bestFit="1" customWidth="1"/>
    <col min="2659" max="2660" width="11.8984375" bestFit="1" customWidth="1"/>
    <col min="2661" max="2662" width="10.8984375" bestFit="1" customWidth="1"/>
    <col min="2663" max="2664" width="11.8984375" bestFit="1" customWidth="1"/>
    <col min="2665" max="2665" width="13" bestFit="1" customWidth="1"/>
    <col min="2666" max="2667" width="10.8984375" bestFit="1" customWidth="1"/>
    <col min="2668" max="2670" width="11.8984375" bestFit="1" customWidth="1"/>
    <col min="2671" max="2671" width="8.3984375" bestFit="1" customWidth="1"/>
    <col min="2672" max="2675" width="11.8984375" bestFit="1" customWidth="1"/>
    <col min="2676" max="2676" width="10.8984375" bestFit="1" customWidth="1"/>
    <col min="2677" max="2677" width="13" bestFit="1" customWidth="1"/>
    <col min="2678" max="2678" width="10.8984375" bestFit="1" customWidth="1"/>
    <col min="2679" max="2681" width="11.8984375" bestFit="1" customWidth="1"/>
    <col min="2682" max="2682" width="10.8984375" bestFit="1" customWidth="1"/>
    <col min="2683" max="2687" width="11.8984375" bestFit="1" customWidth="1"/>
    <col min="2688" max="2688" width="10.8984375" bestFit="1" customWidth="1"/>
    <col min="2689" max="2689" width="13" bestFit="1" customWidth="1"/>
    <col min="2690" max="2690" width="11.8984375" bestFit="1" customWidth="1"/>
    <col min="2691" max="2693" width="10.8984375" bestFit="1" customWidth="1"/>
    <col min="2694" max="2694" width="11.8984375" bestFit="1" customWidth="1"/>
    <col min="2695" max="2695" width="10.8984375" bestFit="1" customWidth="1"/>
    <col min="2696" max="2696" width="13" bestFit="1" customWidth="1"/>
    <col min="2697" max="2697" width="21.19921875" bestFit="1" customWidth="1"/>
    <col min="2698" max="2699" width="10.8984375" bestFit="1" customWidth="1"/>
    <col min="2700" max="2701" width="11.8984375" bestFit="1" customWidth="1"/>
    <col min="2702" max="2702" width="11" bestFit="1" customWidth="1"/>
  </cols>
  <sheetData>
    <row r="3" spans="1:3">
      <c r="A3" s="9" t="s">
        <v>2818</v>
      </c>
      <c r="B3" t="s">
        <v>2821</v>
      </c>
      <c r="C3" t="s">
        <v>2822</v>
      </c>
    </row>
    <row r="4" spans="1:3">
      <c r="A4" s="10"/>
      <c r="B4" s="7">
        <v>320943.47240000003</v>
      </c>
      <c r="C4" s="7">
        <v>117538.79239999999</v>
      </c>
    </row>
    <row r="5" spans="1:3">
      <c r="A5" s="10" t="s">
        <v>38</v>
      </c>
      <c r="B5" s="7">
        <v>2224483.0673000007</v>
      </c>
      <c r="C5" s="7">
        <v>679608.63730000006</v>
      </c>
    </row>
    <row r="6" spans="1:3">
      <c r="A6" s="10" t="s">
        <v>25</v>
      </c>
      <c r="B6" s="7">
        <v>2177548.0552999987</v>
      </c>
      <c r="C6" s="7">
        <v>639331.03529999999</v>
      </c>
    </row>
    <row r="7" spans="1:3">
      <c r="A7" s="10" t="s">
        <v>54</v>
      </c>
      <c r="B7" s="7">
        <v>2303597.398</v>
      </c>
      <c r="C7" s="7">
        <v>605570.59800000011</v>
      </c>
    </row>
    <row r="8" spans="1:3">
      <c r="A8" s="10" t="s">
        <v>63</v>
      </c>
      <c r="B8" s="7">
        <v>2160363.8042000001</v>
      </c>
      <c r="C8" s="7">
        <v>613724.92419999978</v>
      </c>
    </row>
    <row r="9" spans="1:3">
      <c r="A9" s="10" t="s">
        <v>2819</v>
      </c>
      <c r="B9" s="7">
        <v>9186935.7971999981</v>
      </c>
      <c r="C9" s="7">
        <v>2655773.9871999999</v>
      </c>
    </row>
  </sheetData>
  <sortState xmlns:xlrd2="http://schemas.microsoft.com/office/spreadsheetml/2017/richdata2" columnSort="1" ref="A3:C9">
    <sortCondition descending="1"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CA85-4CC9-4AB9-8BFF-04DDC2A83AA9}">
  <dimension ref="A1:C20"/>
  <sheetViews>
    <sheetView workbookViewId="0">
      <selection activeCell="C20" sqref="A1:C20"/>
    </sheetView>
  </sheetViews>
  <sheetFormatPr defaultRowHeight="13.8"/>
  <cols>
    <col min="1" max="1" width="16" bestFit="1" customWidth="1"/>
    <col min="2" max="3" width="22.3984375" bestFit="1" customWidth="1"/>
  </cols>
  <sheetData>
    <row r="1" spans="1:3">
      <c r="A1" s="9" t="s">
        <v>6</v>
      </c>
      <c r="B1" t="s">
        <v>2823</v>
      </c>
    </row>
    <row r="3" spans="1:3">
      <c r="A3" s="9" t="s">
        <v>2818</v>
      </c>
      <c r="B3" t="s">
        <v>2821</v>
      </c>
      <c r="C3" t="s">
        <v>2822</v>
      </c>
    </row>
    <row r="4" spans="1:3">
      <c r="A4" s="10" t="s">
        <v>41</v>
      </c>
      <c r="B4" s="7">
        <v>3183100.2295000004</v>
      </c>
      <c r="C4" s="7">
        <v>934482.96950000012</v>
      </c>
    </row>
    <row r="5" spans="1:3">
      <c r="A5" s="11" t="s">
        <v>158</v>
      </c>
      <c r="B5" s="7">
        <v>678087.76150000014</v>
      </c>
      <c r="C5" s="7">
        <v>188020.74150000003</v>
      </c>
    </row>
    <row r="6" spans="1:3">
      <c r="A6" s="11" t="s">
        <v>66</v>
      </c>
      <c r="B6" s="7">
        <v>1011604.5134000001</v>
      </c>
      <c r="C6" s="7">
        <v>306887.59339999995</v>
      </c>
    </row>
    <row r="7" spans="1:3">
      <c r="A7" s="11" t="s">
        <v>57</v>
      </c>
      <c r="B7" s="7">
        <v>813107.45310000004</v>
      </c>
      <c r="C7" s="7">
        <v>229410.92309999999</v>
      </c>
    </row>
    <row r="8" spans="1:3">
      <c r="A8" s="11" t="s">
        <v>42</v>
      </c>
      <c r="B8" s="7">
        <v>680300.50150000001</v>
      </c>
      <c r="C8" s="7">
        <v>210163.71150000003</v>
      </c>
    </row>
    <row r="9" spans="1:3">
      <c r="A9" s="10" t="s">
        <v>28</v>
      </c>
      <c r="B9" s="7">
        <v>2817080.3285999997</v>
      </c>
      <c r="C9" s="7">
        <v>810475.92859999975</v>
      </c>
    </row>
    <row r="10" spans="1:3">
      <c r="A10" s="11" t="s">
        <v>48</v>
      </c>
      <c r="B10" s="7">
        <v>588849.26299999992</v>
      </c>
      <c r="C10" s="7">
        <v>162826.19299999991</v>
      </c>
    </row>
    <row r="11" spans="1:3">
      <c r="A11" s="11" t="s">
        <v>153</v>
      </c>
      <c r="B11" s="7">
        <v>557129.1041</v>
      </c>
      <c r="C11" s="7">
        <v>168301.87409999996</v>
      </c>
    </row>
    <row r="12" spans="1:3">
      <c r="A12" s="11" t="s">
        <v>91</v>
      </c>
      <c r="B12" s="7">
        <v>348071.6118999999</v>
      </c>
      <c r="C12" s="7">
        <v>112674.03189999997</v>
      </c>
    </row>
    <row r="13" spans="1:3">
      <c r="A13" s="11" t="s">
        <v>29</v>
      </c>
      <c r="B13" s="7">
        <v>622738.51780000003</v>
      </c>
      <c r="C13" s="7">
        <v>180824.1378</v>
      </c>
    </row>
    <row r="14" spans="1:3">
      <c r="A14" s="11" t="s">
        <v>124</v>
      </c>
      <c r="B14" s="7">
        <v>700291.83179999993</v>
      </c>
      <c r="C14" s="7">
        <v>185849.69179999997</v>
      </c>
    </row>
    <row r="15" spans="1:3">
      <c r="A15" s="10" t="s">
        <v>74</v>
      </c>
      <c r="B15" s="7">
        <v>3186755.2390999999</v>
      </c>
      <c r="C15" s="7">
        <v>910815.08910000022</v>
      </c>
    </row>
    <row r="16" spans="1:3">
      <c r="A16" s="11" t="s">
        <v>75</v>
      </c>
      <c r="B16" s="7">
        <v>814006.58799999987</v>
      </c>
      <c r="C16" s="7">
        <v>240329.00800000003</v>
      </c>
    </row>
    <row r="17" spans="1:3">
      <c r="A17" s="11" t="s">
        <v>80</v>
      </c>
      <c r="B17" s="7">
        <v>917484.09080000001</v>
      </c>
      <c r="C17" s="7">
        <v>269686.01080000016</v>
      </c>
    </row>
    <row r="18" spans="1:3">
      <c r="A18" s="11" t="s">
        <v>274</v>
      </c>
      <c r="B18" s="7">
        <v>639632.68699999992</v>
      </c>
      <c r="C18" s="7">
        <v>184590.28700000001</v>
      </c>
    </row>
    <row r="19" spans="1:3">
      <c r="A19" s="11" t="s">
        <v>171</v>
      </c>
      <c r="B19" s="7">
        <v>815631.87329999986</v>
      </c>
      <c r="C19" s="7">
        <v>216209.78329999998</v>
      </c>
    </row>
    <row r="20" spans="1:3">
      <c r="A20" s="10" t="s">
        <v>2819</v>
      </c>
      <c r="B20" s="7">
        <v>9186935.7971999981</v>
      </c>
      <c r="C20" s="7">
        <v>2655773.9871999999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84FA-A123-480E-BD9D-BAA9A41EE72A}">
  <dimension ref="A3:B9"/>
  <sheetViews>
    <sheetView workbookViewId="0">
      <selection activeCell="A3" sqref="A3:B9"/>
    </sheetView>
  </sheetViews>
  <sheetFormatPr defaultRowHeight="13.8"/>
  <cols>
    <col min="1" max="1" width="13.296875" bestFit="1" customWidth="1"/>
    <col min="2" max="2" width="16.19921875" bestFit="1" customWidth="1"/>
  </cols>
  <sheetData>
    <row r="3" spans="1:2">
      <c r="A3" s="9" t="s">
        <v>2818</v>
      </c>
      <c r="B3" t="s">
        <v>2824</v>
      </c>
    </row>
    <row r="4" spans="1:2">
      <c r="A4" s="10"/>
      <c r="B4" s="7">
        <v>22</v>
      </c>
    </row>
    <row r="5" spans="1:2">
      <c r="A5" s="10" t="s">
        <v>50</v>
      </c>
      <c r="B5" s="7">
        <v>226</v>
      </c>
    </row>
    <row r="6" spans="1:2">
      <c r="A6" s="10" t="s">
        <v>44</v>
      </c>
      <c r="B6" s="7">
        <v>211</v>
      </c>
    </row>
    <row r="7" spans="1:2">
      <c r="A7" s="10" t="s">
        <v>31</v>
      </c>
      <c r="B7" s="7">
        <v>227</v>
      </c>
    </row>
    <row r="8" spans="1:2">
      <c r="A8" s="10" t="s">
        <v>59</v>
      </c>
      <c r="B8" s="7">
        <v>246</v>
      </c>
    </row>
    <row r="9" spans="1:2">
      <c r="A9" s="10" t="s">
        <v>2819</v>
      </c>
      <c r="B9" s="7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48ED-284E-4595-BA04-73716B0A4603}">
  <dimension ref="A3:B8"/>
  <sheetViews>
    <sheetView workbookViewId="0">
      <selection activeCell="A3" sqref="A3:B8"/>
    </sheetView>
  </sheetViews>
  <sheetFormatPr defaultRowHeight="13.8"/>
  <cols>
    <col min="1" max="1" width="13.19921875" bestFit="1" customWidth="1"/>
    <col min="2" max="2" width="23" bestFit="1" customWidth="1"/>
  </cols>
  <sheetData>
    <row r="3" spans="1:2">
      <c r="A3" s="9" t="s">
        <v>2818</v>
      </c>
      <c r="B3" t="s">
        <v>2825</v>
      </c>
    </row>
    <row r="4" spans="1:2">
      <c r="A4" s="10" t="s">
        <v>24</v>
      </c>
      <c r="B4" s="7">
        <v>17468.499268991796</v>
      </c>
    </row>
    <row r="5" spans="1:2">
      <c r="A5" s="10" t="s">
        <v>90</v>
      </c>
      <c r="B5" s="7">
        <v>18331.865878785582</v>
      </c>
    </row>
    <row r="6" spans="1:2">
      <c r="A6" s="10" t="s">
        <v>95</v>
      </c>
      <c r="B6" s="7">
        <v>18213.249219824742</v>
      </c>
    </row>
    <row r="7" spans="1:2">
      <c r="A7" s="10" t="s">
        <v>37</v>
      </c>
      <c r="B7" s="7">
        <v>12913.472053054471</v>
      </c>
    </row>
    <row r="8" spans="1:2">
      <c r="A8" s="10" t="s">
        <v>2819</v>
      </c>
      <c r="B8" s="7">
        <v>16650.66839583551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B208-25C3-49B9-B0F1-3158FE0F9AEE}">
  <dimension ref="A1:E10"/>
  <sheetViews>
    <sheetView workbookViewId="0">
      <selection sqref="A1:E10"/>
    </sheetView>
  </sheetViews>
  <sheetFormatPr defaultRowHeight="13.8"/>
  <cols>
    <col min="1" max="1" width="16.19921875" bestFit="1" customWidth="1"/>
    <col min="2" max="2" width="16.09765625" bestFit="1" customWidth="1"/>
    <col min="3" max="3" width="10.5" bestFit="1" customWidth="1"/>
    <col min="4" max="4" width="9" bestFit="1" customWidth="1"/>
    <col min="5" max="5" width="11" bestFit="1" customWidth="1"/>
  </cols>
  <sheetData>
    <row r="1" spans="1:5">
      <c r="A1" s="9" t="s">
        <v>19</v>
      </c>
      <c r="B1" t="s">
        <v>2823</v>
      </c>
    </row>
    <row r="3" spans="1:5">
      <c r="A3" s="9" t="s">
        <v>2824</v>
      </c>
      <c r="B3" s="9" t="s">
        <v>2820</v>
      </c>
    </row>
    <row r="4" spans="1:5">
      <c r="A4" s="9" t="s">
        <v>2818</v>
      </c>
      <c r="B4" t="s">
        <v>68</v>
      </c>
      <c r="C4" t="s">
        <v>33</v>
      </c>
      <c r="D4" t="s">
        <v>103</v>
      </c>
      <c r="E4" t="s">
        <v>2819</v>
      </c>
    </row>
    <row r="5" spans="1:5">
      <c r="A5" s="10"/>
      <c r="B5" s="7">
        <v>2</v>
      </c>
      <c r="C5" s="7">
        <v>20</v>
      </c>
      <c r="D5" s="7">
        <v>4</v>
      </c>
      <c r="E5" s="7">
        <v>26</v>
      </c>
    </row>
    <row r="6" spans="1:5">
      <c r="A6" s="10" t="s">
        <v>38</v>
      </c>
      <c r="B6" s="7">
        <v>30</v>
      </c>
      <c r="C6" s="7">
        <v>153</v>
      </c>
      <c r="D6" s="7">
        <v>46</v>
      </c>
      <c r="E6" s="7">
        <v>229</v>
      </c>
    </row>
    <row r="7" spans="1:5">
      <c r="A7" s="10" t="s">
        <v>25</v>
      </c>
      <c r="B7" s="7">
        <v>49</v>
      </c>
      <c r="C7" s="7">
        <v>130</v>
      </c>
      <c r="D7" s="7">
        <v>37</v>
      </c>
      <c r="E7" s="7">
        <v>216</v>
      </c>
    </row>
    <row r="8" spans="1:5">
      <c r="A8" s="10" t="s">
        <v>54</v>
      </c>
      <c r="B8" s="7">
        <v>35</v>
      </c>
      <c r="C8" s="7">
        <v>160</v>
      </c>
      <c r="D8" s="7">
        <v>37</v>
      </c>
      <c r="E8" s="7">
        <v>232</v>
      </c>
    </row>
    <row r="9" spans="1:5">
      <c r="A9" s="10" t="s">
        <v>63</v>
      </c>
      <c r="B9" s="7">
        <v>30</v>
      </c>
      <c r="C9" s="7">
        <v>159</v>
      </c>
      <c r="D9" s="7">
        <v>40</v>
      </c>
      <c r="E9" s="7">
        <v>229</v>
      </c>
    </row>
    <row r="10" spans="1:5">
      <c r="A10" s="10" t="s">
        <v>2819</v>
      </c>
      <c r="B10" s="7">
        <v>146</v>
      </c>
      <c r="C10" s="7">
        <v>622</v>
      </c>
      <c r="D10" s="7">
        <v>164</v>
      </c>
      <c r="E10" s="7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C149-3473-46DC-99A7-5F17381A10F3}">
  <dimension ref="A3:B16"/>
  <sheetViews>
    <sheetView workbookViewId="0">
      <selection activeCell="A3" sqref="A3:B16"/>
    </sheetView>
  </sheetViews>
  <sheetFormatPr defaultRowHeight="13.8"/>
  <cols>
    <col min="1" max="1" width="13.09765625" bestFit="1" customWidth="1"/>
    <col min="2" max="2" width="22.3984375" bestFit="1" customWidth="1"/>
  </cols>
  <sheetData>
    <row r="3" spans="1:2">
      <c r="A3" s="9" t="s">
        <v>2818</v>
      </c>
      <c r="B3" t="s">
        <v>2821</v>
      </c>
    </row>
    <row r="4" spans="1:2">
      <c r="A4" s="10" t="s">
        <v>2826</v>
      </c>
      <c r="B4" s="7">
        <v>809014.63120000006</v>
      </c>
    </row>
    <row r="5" spans="1:2">
      <c r="A5" s="10" t="s">
        <v>2827</v>
      </c>
      <c r="B5" s="7">
        <v>1053758.4447999999</v>
      </c>
    </row>
    <row r="6" spans="1:2">
      <c r="A6" s="10" t="s">
        <v>2828</v>
      </c>
      <c r="B6" s="7">
        <v>739963.65099999995</v>
      </c>
    </row>
    <row r="7" spans="1:2">
      <c r="A7" s="10" t="s">
        <v>2829</v>
      </c>
      <c r="B7" s="7">
        <v>751436.51150000026</v>
      </c>
    </row>
    <row r="8" spans="1:2">
      <c r="A8" s="10" t="s">
        <v>2830</v>
      </c>
      <c r="B8" s="7">
        <v>737033.9859999998</v>
      </c>
    </row>
    <row r="9" spans="1:2">
      <c r="A9" s="10" t="s">
        <v>2831</v>
      </c>
      <c r="B9" s="7">
        <v>870080.70299999998</v>
      </c>
    </row>
    <row r="10" spans="1:2">
      <c r="A10" s="10" t="s">
        <v>2832</v>
      </c>
      <c r="B10" s="7">
        <v>795504.28609999968</v>
      </c>
    </row>
    <row r="11" spans="1:2">
      <c r="A11" s="10" t="s">
        <v>2833</v>
      </c>
      <c r="B11" s="7">
        <v>844064.59600000014</v>
      </c>
    </row>
    <row r="12" spans="1:2">
      <c r="A12" s="10" t="s">
        <v>2834</v>
      </c>
      <c r="B12" s="7">
        <v>865971.64429999993</v>
      </c>
    </row>
    <row r="13" spans="1:2">
      <c r="A13" s="10" t="s">
        <v>2835</v>
      </c>
      <c r="B13" s="7">
        <v>718604.14249999996</v>
      </c>
    </row>
    <row r="14" spans="1:2">
      <c r="A14" s="10" t="s">
        <v>2836</v>
      </c>
      <c r="B14" s="7">
        <v>405880.16950000008</v>
      </c>
    </row>
    <row r="15" spans="1:2">
      <c r="A15" s="10" t="s">
        <v>2837</v>
      </c>
      <c r="B15" s="7">
        <v>595623.03130000003</v>
      </c>
    </row>
    <row r="16" spans="1:2">
      <c r="A16" s="10" t="s">
        <v>2819</v>
      </c>
      <c r="B16" s="7">
        <v>9186935.7971999999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3"/>
  <sheetViews>
    <sheetView tabSelected="1" zoomScaleNormal="100" workbookViewId="0">
      <selection activeCell="K9" sqref="K9"/>
    </sheetView>
  </sheetViews>
  <sheetFormatPr defaultRowHeight="13.8"/>
  <cols>
    <col min="1" max="1" width="15.19921875" bestFit="1" customWidth="1"/>
    <col min="2" max="2" width="14.3984375" style="6" bestFit="1" customWidth="1"/>
    <col min="3" max="3" width="13.3984375" bestFit="1" customWidth="1"/>
    <col min="4" max="4" width="15.796875" bestFit="1" customWidth="1"/>
    <col min="5" max="5" width="19.19921875" bestFit="1" customWidth="1"/>
    <col min="6" max="6" width="13.19921875" bestFit="1" customWidth="1"/>
    <col min="7" max="7" width="10.5" bestFit="1" customWidth="1"/>
    <col min="8" max="8" width="14.59765625" bestFit="1" customWidth="1"/>
    <col min="9" max="9" width="11.8984375" bestFit="1" customWidth="1"/>
    <col min="10" max="10" width="13.09765625" bestFit="1" customWidth="1"/>
    <col min="11" max="11" width="16.796875" bestFit="1" customWidth="1"/>
    <col min="12" max="12" width="20.5" bestFit="1" customWidth="1"/>
    <col min="13" max="13" width="14.59765625" bestFit="1" customWidth="1"/>
    <col min="14" max="14" width="12" bestFit="1" customWidth="1"/>
    <col min="15" max="15" width="13.59765625" bestFit="1" customWidth="1"/>
    <col min="16" max="16" width="12.3984375" bestFit="1" customWidth="1"/>
    <col min="17" max="17" width="12.796875" bestFit="1" customWidth="1"/>
    <col min="18" max="18" width="9.5" bestFit="1" customWidth="1"/>
    <col min="19" max="19" width="8.8984375" bestFit="1" customWidth="1"/>
    <col min="20" max="20" width="16.796875" bestFit="1" customWidth="1"/>
    <col min="21" max="21" width="18.8984375" bestFit="1" customWidth="1"/>
    <col min="22" max="22" width="9.5" bestFit="1" customWidth="1"/>
    <col min="23" max="23" width="13.19921875" bestFit="1" customWidth="1"/>
    <col min="24" max="24" width="12.59765625" bestFit="1" customWidth="1"/>
    <col min="25" max="25" width="12.69921875" bestFit="1" customWidth="1"/>
    <col min="26" max="26" width="15.8984375" bestFit="1" customWidth="1"/>
    <col min="27" max="27" width="13.796875" bestFit="1" customWidth="1"/>
    <col min="28" max="28" width="14.8984375" bestFit="1" customWidth="1"/>
    <col min="29" max="29" width="18.69921875" bestFit="1" customWidth="1"/>
    <col min="30" max="31" width="15.69921875" bestFit="1" customWidth="1"/>
    <col min="32" max="32" width="19.5" bestFit="1" customWidth="1"/>
    <col min="33" max="33" width="12.69921875" bestFit="1" customWidth="1"/>
    <col min="34" max="34" width="14.5" bestFit="1" customWidth="1"/>
    <col min="35" max="35" width="11.69921875" bestFit="1" customWidth="1"/>
    <col min="36" max="36" width="14.3984375" bestFit="1" customWidth="1"/>
    <col min="37" max="37" width="15.5" bestFit="1" customWidth="1"/>
    <col min="38" max="38" width="11.69921875" bestFit="1" customWidth="1"/>
    <col min="39" max="39" width="16.3984375" bestFit="1" customWidth="1"/>
    <col min="40" max="40" width="20.19921875" bestFit="1" customWidth="1"/>
    <col min="41" max="41" width="18.296875" bestFit="1" customWidth="1"/>
    <col min="42" max="42" width="3.8984375" bestFit="1" customWidth="1"/>
  </cols>
  <sheetData>
    <row r="1" spans="1:42" ht="27.6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2792</v>
      </c>
      <c r="R1" s="1" t="s">
        <v>16</v>
      </c>
      <c r="S1" s="1" t="s">
        <v>17</v>
      </c>
      <c r="T1" s="3" t="s">
        <v>2793</v>
      </c>
      <c r="U1" s="3" t="s">
        <v>2794</v>
      </c>
      <c r="V1" s="1" t="s">
        <v>18</v>
      </c>
      <c r="W1" s="1" t="s">
        <v>2795</v>
      </c>
      <c r="X1" s="1" t="s">
        <v>19</v>
      </c>
      <c r="Y1" s="1" t="s">
        <v>2784</v>
      </c>
      <c r="Z1" s="1" t="s">
        <v>20</v>
      </c>
      <c r="AA1" s="3" t="s">
        <v>2786</v>
      </c>
      <c r="AB1" s="3" t="s">
        <v>2787</v>
      </c>
      <c r="AC1" s="3" t="s">
        <v>2788</v>
      </c>
      <c r="AD1" s="3" t="s">
        <v>2789</v>
      </c>
      <c r="AE1" s="3" t="s">
        <v>2790</v>
      </c>
      <c r="AF1" s="3" t="s">
        <v>2791</v>
      </c>
      <c r="AG1" s="3" t="s">
        <v>2783</v>
      </c>
      <c r="AH1" s="3" t="s">
        <v>2796</v>
      </c>
      <c r="AI1" s="3" t="s">
        <v>2797</v>
      </c>
      <c r="AJ1" s="3" t="s">
        <v>2798</v>
      </c>
      <c r="AK1" s="3" t="s">
        <v>2807</v>
      </c>
      <c r="AL1" s="3" t="s">
        <v>2808</v>
      </c>
      <c r="AM1" s="3" t="s">
        <v>2810</v>
      </c>
      <c r="AN1" s="3" t="s">
        <v>2813</v>
      </c>
    </row>
    <row r="2" spans="1:42">
      <c r="A2" t="s">
        <v>21</v>
      </c>
      <c r="B2" s="6">
        <v>45494</v>
      </c>
      <c r="C2" s="4">
        <v>45500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>
        <v>2976.45</v>
      </c>
      <c r="P2">
        <v>0.2</v>
      </c>
      <c r="Q2" s="7">
        <f>IF(P2="", 0, P2)</f>
        <v>0.2</v>
      </c>
      <c r="R2">
        <v>19049.28</v>
      </c>
      <c r="S2">
        <v>15841.89</v>
      </c>
      <c r="T2" s="7">
        <f>N2*O2*(1-Q2)</f>
        <v>19049.28</v>
      </c>
      <c r="U2" s="7">
        <f t="shared" ref="U2:U65" si="0">T2-S2</f>
        <v>3207.3899999999994</v>
      </c>
      <c r="V2">
        <v>3207.39</v>
      </c>
      <c r="W2" s="12">
        <f t="shared" ref="W2:W65" si="1">IF(T2=0,0,U2/T2)</f>
        <v>0.16837329284886357</v>
      </c>
      <c r="X2" t="s">
        <v>32</v>
      </c>
      <c r="Y2" t="str">
        <f t="shared" ref="Y2:Y65" si="2">PROPER(TRIM(X2))</f>
        <v>Paid</v>
      </c>
      <c r="Z2" t="s">
        <v>33</v>
      </c>
      <c r="AA2">
        <f>C2-B2</f>
        <v>6</v>
      </c>
      <c r="AB2" t="str">
        <f>IF(B2="","Missing Order Date",
IF(C2="","Missing Ship Date","OK"))</f>
        <v>OK</v>
      </c>
      <c r="AC2" s="7" t="str">
        <f>IF(C2&lt;B2, "Invalid", "Valid")</f>
        <v>Valid</v>
      </c>
      <c r="AD2" s="7" t="str">
        <f>IF(COUNTIF($A:$A, A2)&gt;1, "Duplicate", "Unique")</f>
        <v>Unique</v>
      </c>
      <c r="AE2" s="7" t="str">
        <f>IF(G2="","Unknown",G2)</f>
        <v>North</v>
      </c>
      <c r="AF2" s="7" t="str">
        <f>IF(M2="","Unknown",M2)</f>
        <v>Second Class</v>
      </c>
      <c r="AG2" s="7" t="str">
        <f>IF(P2&lt;0,"Invalid",
IF(P2&gt;1,"Invalid","Valid"))</f>
        <v>Valid</v>
      </c>
      <c r="AH2" s="7" t="str">
        <f>TEXT(B2,"mmmm")</f>
        <v>July</v>
      </c>
      <c r="AI2" s="7">
        <f t="shared" ref="AI2:AI65" si="3">YEAR(B2)</f>
        <v>2024</v>
      </c>
      <c r="AJ2" s="7" t="str">
        <f>IF(OR(R2&lt;0,C2&lt;B2),"Invalid",
IF(OR(G2="Unknown",M2="Unknown"),"Warning","Clean"))</f>
        <v>Clean</v>
      </c>
      <c r="AK2" s="7" t="str">
        <f>IF(C2&lt;B2,"Ship Before Order","OK")</f>
        <v>OK</v>
      </c>
      <c r="AL2" s="7" t="str">
        <f>IF(ISNUMBER(B2),"Valid","Invalid")</f>
        <v>Valid</v>
      </c>
      <c r="AM2" s="7" t="str">
        <f t="shared" ref="AM2:AM65" si="4">IF(R2&lt;&gt;T2, "Missmatched", "Ok")</f>
        <v>Ok</v>
      </c>
      <c r="AN2" s="7" t="str">
        <f t="shared" ref="AN2:AN65" si="5">IF(V2&lt;&gt;U2, "Missmatched", "Ok")</f>
        <v>Ok</v>
      </c>
      <c r="AO2" s="8" t="s">
        <v>2799</v>
      </c>
      <c r="AP2">
        <f>COUNTBLANK(P2:P933)</f>
        <v>18</v>
      </c>
    </row>
    <row r="3" spans="1:42">
      <c r="A3" t="s">
        <v>34</v>
      </c>
      <c r="B3" s="6">
        <v>45535</v>
      </c>
      <c r="C3" s="4">
        <v>45501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3</v>
      </c>
      <c r="O3">
        <v>2437.5</v>
      </c>
      <c r="P3">
        <v>0</v>
      </c>
      <c r="Q3" s="7">
        <f>IF(P3="", 0, P3)</f>
        <v>0</v>
      </c>
      <c r="R3">
        <v>7312.5</v>
      </c>
      <c r="S3">
        <v>4904.7299999999996</v>
      </c>
      <c r="T3" s="7">
        <f>N3*O3*(1-Q3)</f>
        <v>7312.5</v>
      </c>
      <c r="U3" s="7">
        <f t="shared" si="0"/>
        <v>2407.7700000000004</v>
      </c>
      <c r="V3">
        <v>2407.77</v>
      </c>
      <c r="W3" s="12">
        <f t="shared" si="1"/>
        <v>0.32926769230769237</v>
      </c>
      <c r="X3" t="s">
        <v>32</v>
      </c>
      <c r="Y3" t="str">
        <f t="shared" si="2"/>
        <v>Paid</v>
      </c>
      <c r="Z3" t="s">
        <v>33</v>
      </c>
      <c r="AA3">
        <f>C3-B3</f>
        <v>-34</v>
      </c>
      <c r="AB3" t="str">
        <f>IF(B3="","Missing Order Date",
IF(C3="","Missing Ship Date","OK"))</f>
        <v>OK</v>
      </c>
      <c r="AC3" s="7" t="str">
        <f>IF(C3&lt;B3, "Invalid", "Valid")</f>
        <v>Invalid</v>
      </c>
      <c r="AD3" s="7" t="str">
        <f>IF(COUNTIF($A:$A, A3)&gt;1, "Duplicate", "Unique")</f>
        <v>Unique</v>
      </c>
      <c r="AE3" s="7" t="str">
        <f>IF(G3="","Unknown",G3)</f>
        <v>East</v>
      </c>
      <c r="AF3" s="7" t="str">
        <f>IF(M3="","Unknown",M3)</f>
        <v>Same Day</v>
      </c>
      <c r="AG3" s="7" t="str">
        <f>IF(P3&lt;0,"Invalid",
IF(P3&gt;1,"Invalid","Valid"))</f>
        <v>Valid</v>
      </c>
      <c r="AH3" s="7" t="str">
        <f>TEXT(B3,"mmmm")</f>
        <v>August</v>
      </c>
      <c r="AI3" s="7">
        <f t="shared" si="3"/>
        <v>2024</v>
      </c>
      <c r="AJ3" s="7" t="str">
        <f>IF(OR(R3&lt;0,C3&lt;B3),"Invalid",
IF(OR(G3="Unknown",M3="Unknown"),"Warning","Clean"))</f>
        <v>Invalid</v>
      </c>
      <c r="AK3" s="7" t="str">
        <f>IF(C3&lt;B3,"Ship Before Order","OK")</f>
        <v>Ship Before Order</v>
      </c>
      <c r="AL3" s="7" t="str">
        <f>IF(ISNUMBER(B3),"Valid","Invalid")</f>
        <v>Valid</v>
      </c>
      <c r="AM3" s="7" t="str">
        <f t="shared" si="4"/>
        <v>Ok</v>
      </c>
      <c r="AN3" s="7" t="str">
        <f t="shared" si="5"/>
        <v>Ok</v>
      </c>
      <c r="AO3" s="8" t="s">
        <v>2800</v>
      </c>
      <c r="AP3">
        <f>COUNTIF(P2:P933, "&lt;0")</f>
        <v>16</v>
      </c>
    </row>
    <row r="4" spans="1:42">
      <c r="A4" t="s">
        <v>45</v>
      </c>
      <c r="B4" s="6">
        <v>45510</v>
      </c>
      <c r="C4" s="4">
        <v>45502</v>
      </c>
      <c r="D4" t="s">
        <v>46</v>
      </c>
      <c r="E4" t="s">
        <v>47</v>
      </c>
      <c r="F4" t="s">
        <v>24</v>
      </c>
      <c r="G4" t="s">
        <v>38</v>
      </c>
      <c r="H4" t="s">
        <v>39</v>
      </c>
      <c r="I4" t="s">
        <v>40</v>
      </c>
      <c r="J4" t="s">
        <v>28</v>
      </c>
      <c r="K4" t="s">
        <v>48</v>
      </c>
      <c r="L4" t="s">
        <v>49</v>
      </c>
      <c r="M4" t="s">
        <v>50</v>
      </c>
      <c r="N4">
        <v>4</v>
      </c>
      <c r="O4">
        <v>1065.43</v>
      </c>
      <c r="P4">
        <v>0.55000000000000004</v>
      </c>
      <c r="Q4" s="7">
        <f>IF(P4="", 0, P4)</f>
        <v>0.55000000000000004</v>
      </c>
      <c r="R4">
        <v>4261.72</v>
      </c>
      <c r="S4">
        <v>2465.69</v>
      </c>
      <c r="T4" s="7">
        <f>N4*O4*(1-Q4)</f>
        <v>1917.7739999999999</v>
      </c>
      <c r="U4" s="7">
        <f t="shared" si="0"/>
        <v>-547.91600000000017</v>
      </c>
      <c r="V4">
        <v>1796.03</v>
      </c>
      <c r="W4" s="12">
        <f t="shared" si="1"/>
        <v>-0.28570415492127865</v>
      </c>
      <c r="X4" t="s">
        <v>32</v>
      </c>
      <c r="Y4" t="str">
        <f t="shared" si="2"/>
        <v>Paid</v>
      </c>
      <c r="Z4" t="s">
        <v>33</v>
      </c>
      <c r="AA4">
        <f>C4-B4</f>
        <v>-8</v>
      </c>
      <c r="AB4" t="str">
        <f>IF(B4="","Missing Order Date",
IF(C4="","Missing Ship Date","OK"))</f>
        <v>OK</v>
      </c>
      <c r="AC4" s="7" t="str">
        <f>IF(C4&lt;B4, "Invalid", "Valid")</f>
        <v>Invalid</v>
      </c>
      <c r="AD4" s="7" t="str">
        <f>IF(COUNTIF($A:$A, A4)&gt;1, "Duplicate", "Unique")</f>
        <v>Unique</v>
      </c>
      <c r="AE4" s="7" t="str">
        <f>IF(G4="","Unknown",G4)</f>
        <v>East</v>
      </c>
      <c r="AF4" s="7" t="str">
        <f>IF(M4="","Unknown",M4)</f>
        <v>First Class</v>
      </c>
      <c r="AG4" s="7" t="str">
        <f>IF(P4&lt;0,"Invalid",
IF(P4&gt;1,"Invalid","Valid"))</f>
        <v>Valid</v>
      </c>
      <c r="AH4" s="7" t="str">
        <f>TEXT(B4,"mmmm")</f>
        <v>August</v>
      </c>
      <c r="AI4" s="7">
        <f t="shared" si="3"/>
        <v>2024</v>
      </c>
      <c r="AJ4" s="7" t="str">
        <f>IF(OR(R4&lt;0,C4&lt;B4),"Invalid",
IF(OR(G4="Unknown",M4="Unknown"),"Warning","Clean"))</f>
        <v>Invalid</v>
      </c>
      <c r="AK4" s="7" t="str">
        <f>IF(C4&lt;B4,"Ship Before Order","OK")</f>
        <v>Ship Before Order</v>
      </c>
      <c r="AL4" s="7" t="str">
        <f>IF(ISNUMBER(B4),"Valid","Invalid")</f>
        <v>Valid</v>
      </c>
      <c r="AM4" s="7" t="str">
        <f t="shared" si="4"/>
        <v>Missmatched</v>
      </c>
      <c r="AN4" s="7" t="str">
        <f t="shared" si="5"/>
        <v>Missmatched</v>
      </c>
      <c r="AO4" s="8" t="s">
        <v>2801</v>
      </c>
      <c r="AP4">
        <f>COUNTIF(P2:P933,"&gt;1")</f>
        <v>0</v>
      </c>
    </row>
    <row r="5" spans="1:42">
      <c r="A5" t="s">
        <v>51</v>
      </c>
      <c r="B5" s="6">
        <v>45624</v>
      </c>
      <c r="C5" s="4">
        <v>45503</v>
      </c>
      <c r="D5" t="s">
        <v>52</v>
      </c>
      <c r="E5" t="s">
        <v>53</v>
      </c>
      <c r="F5" t="s">
        <v>37</v>
      </c>
      <c r="G5" t="s">
        <v>54</v>
      </c>
      <c r="H5" t="s">
        <v>55</v>
      </c>
      <c r="I5" t="s">
        <v>56</v>
      </c>
      <c r="J5" t="s">
        <v>41</v>
      </c>
      <c r="K5" t="s">
        <v>57</v>
      </c>
      <c r="L5" t="s">
        <v>58</v>
      </c>
      <c r="M5" t="s">
        <v>59</v>
      </c>
      <c r="N5">
        <v>6</v>
      </c>
      <c r="O5">
        <v>1848.43</v>
      </c>
      <c r="P5">
        <v>0.25</v>
      </c>
      <c r="Q5" s="7">
        <f>IF(P5="", 0, P5)</f>
        <v>0.25</v>
      </c>
      <c r="R5">
        <v>8317.93</v>
      </c>
      <c r="S5">
        <v>6796.77</v>
      </c>
      <c r="T5" s="7">
        <f>N5*O5*(1-Q5)</f>
        <v>8317.9349999999995</v>
      </c>
      <c r="U5" s="7">
        <f t="shared" si="0"/>
        <v>1521.1649999999991</v>
      </c>
      <c r="V5">
        <v>1521.16</v>
      </c>
      <c r="W5" s="12">
        <f t="shared" si="1"/>
        <v>0.18287772145370204</v>
      </c>
      <c r="X5" t="s">
        <v>32</v>
      </c>
      <c r="Y5" t="str">
        <f t="shared" si="2"/>
        <v>Paid</v>
      </c>
      <c r="Z5" t="s">
        <v>33</v>
      </c>
      <c r="AA5">
        <f>C5-B5</f>
        <v>-121</v>
      </c>
      <c r="AB5" t="str">
        <f>IF(B5="","Missing Order Date",
IF(C5="","Missing Ship Date","OK"))</f>
        <v>OK</v>
      </c>
      <c r="AC5" s="7" t="str">
        <f>IF(C5&lt;B5, "Invalid", "Valid")</f>
        <v>Invalid</v>
      </c>
      <c r="AD5" s="7" t="str">
        <f>IF(COUNTIF($A:$A, A5)&gt;1, "Duplicate", "Unique")</f>
        <v>Unique</v>
      </c>
      <c r="AE5" s="7" t="str">
        <f>IF(G5="","Unknown",G5)</f>
        <v>South</v>
      </c>
      <c r="AF5" s="7" t="str">
        <f>IF(M5="","Unknown",M5)</f>
        <v>Standard Class</v>
      </c>
      <c r="AG5" s="7" t="str">
        <f>IF(P5&lt;0,"Invalid",
IF(P5&gt;1,"Invalid","Valid"))</f>
        <v>Valid</v>
      </c>
      <c r="AH5" s="7" t="str">
        <f>TEXT(B5,"mmmm")</f>
        <v>November</v>
      </c>
      <c r="AI5" s="7">
        <f t="shared" si="3"/>
        <v>2024</v>
      </c>
      <c r="AJ5" s="7" t="str">
        <f>IF(OR(R5&lt;0,C5&lt;B5),"Invalid",
IF(OR(G5="Unknown",M5="Unknown"),"Warning","Clean"))</f>
        <v>Invalid</v>
      </c>
      <c r="AK5" s="7" t="str">
        <f>IF(C5&lt;B5,"Ship Before Order","OK")</f>
        <v>Ship Before Order</v>
      </c>
      <c r="AL5" s="7" t="str">
        <f>IF(ISNUMBER(B5),"Valid","Invalid")</f>
        <v>Valid</v>
      </c>
      <c r="AM5" s="7" t="str">
        <f t="shared" si="4"/>
        <v>Missmatched</v>
      </c>
      <c r="AN5" s="7" t="str">
        <f t="shared" si="5"/>
        <v>Missmatched</v>
      </c>
      <c r="AO5" s="8" t="s">
        <v>2802</v>
      </c>
      <c r="AP5">
        <f>AP3+AP4</f>
        <v>16</v>
      </c>
    </row>
    <row r="6" spans="1:42">
      <c r="A6" t="s">
        <v>60</v>
      </c>
      <c r="B6" s="6">
        <v>45898</v>
      </c>
      <c r="C6" s="4">
        <v>45504</v>
      </c>
      <c r="D6" t="s">
        <v>61</v>
      </c>
      <c r="E6" t="s">
        <v>62</v>
      </c>
      <c r="F6" t="s">
        <v>37</v>
      </c>
      <c r="G6" t="s">
        <v>63</v>
      </c>
      <c r="H6" t="s">
        <v>64</v>
      </c>
      <c r="I6" t="s">
        <v>65</v>
      </c>
      <c r="J6" t="s">
        <v>41</v>
      </c>
      <c r="K6" t="s">
        <v>66</v>
      </c>
      <c r="L6" t="s">
        <v>67</v>
      </c>
      <c r="M6" t="s">
        <v>50</v>
      </c>
      <c r="N6">
        <v>7</v>
      </c>
      <c r="O6">
        <v>2973.76</v>
      </c>
      <c r="P6">
        <v>0</v>
      </c>
      <c r="Q6" s="7">
        <f>IF(P6="", 0, P6)</f>
        <v>0</v>
      </c>
      <c r="R6">
        <v>20816.32</v>
      </c>
      <c r="S6">
        <v>17705.37</v>
      </c>
      <c r="T6" s="7">
        <f>N6*O6*(1-Q6)</f>
        <v>20816.32</v>
      </c>
      <c r="U6" s="7">
        <f t="shared" si="0"/>
        <v>3110.9500000000007</v>
      </c>
      <c r="V6">
        <v>3110.95</v>
      </c>
      <c r="W6" s="12">
        <f t="shared" si="1"/>
        <v>0.14944764492475138</v>
      </c>
      <c r="X6" t="s">
        <v>32</v>
      </c>
      <c r="Y6" t="str">
        <f t="shared" si="2"/>
        <v>Paid</v>
      </c>
      <c r="Z6" t="s">
        <v>68</v>
      </c>
      <c r="AA6">
        <f>C6-B6</f>
        <v>-394</v>
      </c>
      <c r="AB6" t="str">
        <f>IF(B6="","Missing Order Date",
IF(C6="","Missing Ship Date","OK"))</f>
        <v>OK</v>
      </c>
      <c r="AC6" s="7" t="str">
        <f>IF(C6&lt;B6, "Invalid", "Valid")</f>
        <v>Invalid</v>
      </c>
      <c r="AD6" s="7" t="str">
        <f>IF(COUNTIF($A:$A, A6)&gt;1, "Duplicate", "Unique")</f>
        <v>Unique</v>
      </c>
      <c r="AE6" s="7" t="str">
        <f>IF(G6="","Unknown",G6)</f>
        <v>West</v>
      </c>
      <c r="AF6" s="7" t="str">
        <f>IF(M6="","Unknown",M6)</f>
        <v>First Class</v>
      </c>
      <c r="AG6" s="7" t="str">
        <f>IF(P6&lt;0,"Invalid",
IF(P6&gt;1,"Invalid","Valid"))</f>
        <v>Valid</v>
      </c>
      <c r="AH6" s="7" t="str">
        <f>TEXT(B6,"mmmm")</f>
        <v>August</v>
      </c>
      <c r="AI6" s="7">
        <f t="shared" si="3"/>
        <v>2025</v>
      </c>
      <c r="AJ6" s="7" t="str">
        <f>IF(OR(R6&lt;0,C6&lt;B6),"Invalid",
IF(OR(G6="Unknown",M6="Unknown"),"Warning","Clean"))</f>
        <v>Invalid</v>
      </c>
      <c r="AK6" s="7" t="str">
        <f>IF(C6&lt;B6,"Ship Before Order","OK")</f>
        <v>Ship Before Order</v>
      </c>
      <c r="AL6" s="7" t="str">
        <f>IF(ISNUMBER(B6),"Valid","Invalid")</f>
        <v>Valid</v>
      </c>
      <c r="AM6" s="7" t="str">
        <f t="shared" si="4"/>
        <v>Ok</v>
      </c>
      <c r="AN6" s="7" t="str">
        <f t="shared" si="5"/>
        <v>Ok</v>
      </c>
    </row>
    <row r="7" spans="1:42">
      <c r="A7" t="s">
        <v>69</v>
      </c>
      <c r="B7" s="6">
        <v>45436</v>
      </c>
      <c r="C7" s="4">
        <v>45505</v>
      </c>
      <c r="D7" t="s">
        <v>70</v>
      </c>
      <c r="E7" t="s">
        <v>71</v>
      </c>
      <c r="F7" t="s">
        <v>37</v>
      </c>
      <c r="G7" t="s">
        <v>63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44</v>
      </c>
      <c r="N7">
        <v>3</v>
      </c>
      <c r="O7">
        <v>1053.1099999999999</v>
      </c>
      <c r="P7">
        <v>0.2</v>
      </c>
      <c r="Q7" s="7">
        <f>IF(P7="", 0, P7)</f>
        <v>0.2</v>
      </c>
      <c r="R7">
        <v>2527.46</v>
      </c>
      <c r="S7">
        <v>1533.58</v>
      </c>
      <c r="T7" s="7">
        <f>N7*O7*(1-Q7)</f>
        <v>2527.4639999999999</v>
      </c>
      <c r="U7" s="7">
        <f t="shared" si="0"/>
        <v>993.88400000000001</v>
      </c>
      <c r="V7">
        <v>993.88</v>
      </c>
      <c r="W7" s="12">
        <f t="shared" si="1"/>
        <v>0.39323369195367375</v>
      </c>
      <c r="X7" t="s">
        <v>32</v>
      </c>
      <c r="Y7" t="str">
        <f t="shared" si="2"/>
        <v>Paid</v>
      </c>
      <c r="Z7" t="s">
        <v>33</v>
      </c>
      <c r="AA7">
        <f>C7-B7</f>
        <v>69</v>
      </c>
      <c r="AB7" t="str">
        <f>IF(B7="","Missing Order Date",
IF(C7="","Missing Ship Date","OK"))</f>
        <v>OK</v>
      </c>
      <c r="AC7" s="7" t="str">
        <f>IF(C7&lt;B7, "Invalid", "Valid")</f>
        <v>Valid</v>
      </c>
      <c r="AD7" s="7" t="str">
        <f>IF(COUNTIF($A:$A, A7)&gt;1, "Duplicate", "Unique")</f>
        <v>Unique</v>
      </c>
      <c r="AE7" s="7" t="str">
        <f>IF(G7="","Unknown",G7)</f>
        <v>West</v>
      </c>
      <c r="AF7" s="7" t="str">
        <f>IF(M7="","Unknown",M7)</f>
        <v>Same Day</v>
      </c>
      <c r="AG7" s="7" t="str">
        <f>IF(P7&lt;0,"Invalid",
IF(P7&gt;1,"Invalid","Valid"))</f>
        <v>Valid</v>
      </c>
      <c r="AH7" s="7" t="str">
        <f>TEXT(B7,"mmmm")</f>
        <v>May</v>
      </c>
      <c r="AI7" s="7">
        <f t="shared" si="3"/>
        <v>2024</v>
      </c>
      <c r="AJ7" s="7" t="str">
        <f>IF(OR(R7&lt;0,C7&lt;B7),"Invalid",
IF(OR(G7="Unknown",M7="Unknown"),"Warning","Clean"))</f>
        <v>Clean</v>
      </c>
      <c r="AK7" s="7" t="str">
        <f>IF(C7&lt;B7,"Ship Before Order","OK")</f>
        <v>OK</v>
      </c>
      <c r="AL7" s="7" t="str">
        <f>IF(ISNUMBER(B7),"Valid","Invalid")</f>
        <v>Valid</v>
      </c>
      <c r="AM7" s="7" t="str">
        <f t="shared" si="4"/>
        <v>Missmatched</v>
      </c>
      <c r="AN7" s="7" t="str">
        <f t="shared" si="5"/>
        <v>Missmatched</v>
      </c>
    </row>
    <row r="8" spans="1:42">
      <c r="A8" t="s">
        <v>77</v>
      </c>
      <c r="B8" s="6">
        <v>45934</v>
      </c>
      <c r="C8" s="4">
        <v>45506</v>
      </c>
      <c r="D8" t="s">
        <v>78</v>
      </c>
      <c r="E8" t="s">
        <v>79</v>
      </c>
      <c r="F8" t="s">
        <v>24</v>
      </c>
      <c r="G8" t="s">
        <v>38</v>
      </c>
      <c r="H8" t="s">
        <v>39</v>
      </c>
      <c r="I8" t="s">
        <v>40</v>
      </c>
      <c r="J8" t="s">
        <v>74</v>
      </c>
      <c r="K8" t="s">
        <v>80</v>
      </c>
      <c r="L8" t="s">
        <v>81</v>
      </c>
      <c r="M8" t="s">
        <v>59</v>
      </c>
      <c r="N8">
        <v>4</v>
      </c>
      <c r="O8">
        <v>1719.87</v>
      </c>
      <c r="P8">
        <v>0.15</v>
      </c>
      <c r="Q8" s="7">
        <f>IF(P8="", 0, P8)</f>
        <v>0.15</v>
      </c>
      <c r="R8">
        <v>5847.56</v>
      </c>
      <c r="S8">
        <v>4727.25</v>
      </c>
      <c r="T8" s="7">
        <f>N8*O8*(1-Q8)</f>
        <v>5847.5579999999991</v>
      </c>
      <c r="U8" s="7">
        <f t="shared" si="0"/>
        <v>1120.3079999999991</v>
      </c>
      <c r="V8">
        <v>1120.31</v>
      </c>
      <c r="W8" s="12">
        <f t="shared" si="1"/>
        <v>0.19158561573908275</v>
      </c>
      <c r="X8" t="s">
        <v>32</v>
      </c>
      <c r="Y8" t="str">
        <f t="shared" si="2"/>
        <v>Paid</v>
      </c>
      <c r="Z8" t="s">
        <v>33</v>
      </c>
      <c r="AA8">
        <f>C8-B8</f>
        <v>-428</v>
      </c>
      <c r="AB8" t="str">
        <f>IF(B8="","Missing Order Date",
IF(C8="","Missing Ship Date","OK"))</f>
        <v>OK</v>
      </c>
      <c r="AC8" s="7" t="str">
        <f>IF(C8&lt;B8, "Invalid", "Valid")</f>
        <v>Invalid</v>
      </c>
      <c r="AD8" s="7" t="str">
        <f>IF(COUNTIF($A:$A, A8)&gt;1, "Duplicate", "Unique")</f>
        <v>Duplicate</v>
      </c>
      <c r="AE8" s="7" t="str">
        <f>IF(G8="","Unknown",G8)</f>
        <v>East</v>
      </c>
      <c r="AF8" s="7" t="str">
        <f>IF(M8="","Unknown",M8)</f>
        <v>Standard Class</v>
      </c>
      <c r="AG8" s="7" t="str">
        <f>IF(P8&lt;0,"Invalid",
IF(P8&gt;1,"Invalid","Valid"))</f>
        <v>Valid</v>
      </c>
      <c r="AH8" s="7" t="str">
        <f>TEXT(B8,"mmmm")</f>
        <v>October</v>
      </c>
      <c r="AI8" s="7">
        <f t="shared" si="3"/>
        <v>2025</v>
      </c>
      <c r="AJ8" s="7" t="str">
        <f>IF(OR(R8&lt;0,C8&lt;B8),"Invalid",
IF(OR(G8="Unknown",M8="Unknown"),"Warning","Clean"))</f>
        <v>Invalid</v>
      </c>
      <c r="AK8" s="7" t="str">
        <f>IF(C8&lt;B8,"Ship Before Order","OK")</f>
        <v>Ship Before Order</v>
      </c>
      <c r="AL8" s="7" t="str">
        <f>IF(ISNUMBER(B8),"Valid","Invalid")</f>
        <v>Valid</v>
      </c>
      <c r="AM8" s="7" t="str">
        <f t="shared" si="4"/>
        <v>Missmatched</v>
      </c>
      <c r="AN8" s="7" t="str">
        <f t="shared" si="5"/>
        <v>Missmatched</v>
      </c>
      <c r="AO8" s="8" t="s">
        <v>2803</v>
      </c>
      <c r="AP8">
        <f>COUNTBLANK(B2:B933)</f>
        <v>0</v>
      </c>
    </row>
    <row r="9" spans="1:42">
      <c r="A9" t="s">
        <v>82</v>
      </c>
      <c r="B9" s="6">
        <v>45711</v>
      </c>
      <c r="C9" s="4">
        <v>45507</v>
      </c>
      <c r="D9" t="s">
        <v>83</v>
      </c>
      <c r="E9" t="s">
        <v>47</v>
      </c>
      <c r="F9" t="s">
        <v>37</v>
      </c>
      <c r="G9" t="s">
        <v>54</v>
      </c>
      <c r="H9" t="s">
        <v>84</v>
      </c>
      <c r="I9" t="s">
        <v>85</v>
      </c>
      <c r="J9" t="s">
        <v>28</v>
      </c>
      <c r="K9" t="s">
        <v>48</v>
      </c>
      <c r="L9" t="s">
        <v>86</v>
      </c>
      <c r="M9" t="s">
        <v>50</v>
      </c>
      <c r="N9">
        <v>1</v>
      </c>
      <c r="O9">
        <v>2980.71</v>
      </c>
      <c r="P9">
        <v>0</v>
      </c>
      <c r="Q9" s="7">
        <f>IF(P9="", 0, P9)</f>
        <v>0</v>
      </c>
      <c r="R9">
        <v>2980.71</v>
      </c>
      <c r="S9">
        <v>2357.2199999999998</v>
      </c>
      <c r="T9" s="7">
        <f>N9*O9*(1-Q9)</f>
        <v>2980.71</v>
      </c>
      <c r="U9" s="7">
        <f t="shared" si="0"/>
        <v>623.49000000000024</v>
      </c>
      <c r="V9">
        <v>623.49</v>
      </c>
      <c r="W9" s="12">
        <f t="shared" si="1"/>
        <v>0.20917499521925992</v>
      </c>
      <c r="X9" t="s">
        <v>32</v>
      </c>
      <c r="Y9" t="str">
        <f t="shared" si="2"/>
        <v>Paid</v>
      </c>
      <c r="Z9" t="s">
        <v>33</v>
      </c>
      <c r="AA9">
        <f>C9-B9</f>
        <v>-204</v>
      </c>
      <c r="AB9" t="str">
        <f>IF(B9="","Missing Order Date",
IF(C9="","Missing Ship Date","OK"))</f>
        <v>OK</v>
      </c>
      <c r="AC9" s="7" t="str">
        <f>IF(C9&lt;B9, "Invalid", "Valid")</f>
        <v>Invalid</v>
      </c>
      <c r="AD9" s="7" t="str">
        <f>IF(COUNTIF($A:$A, A9)&gt;1, "Duplicate", "Unique")</f>
        <v>Unique</v>
      </c>
      <c r="AE9" s="7" t="str">
        <f>IF(G9="","Unknown",G9)</f>
        <v>South</v>
      </c>
      <c r="AF9" s="7" t="str">
        <f>IF(M9="","Unknown",M9)</f>
        <v>First Class</v>
      </c>
      <c r="AG9" s="7" t="str">
        <f>IF(P9&lt;0,"Invalid",
IF(P9&gt;1,"Invalid","Valid"))</f>
        <v>Valid</v>
      </c>
      <c r="AH9" s="7" t="str">
        <f>TEXT(B9,"mmmm")</f>
        <v>February</v>
      </c>
      <c r="AI9" s="7">
        <f t="shared" si="3"/>
        <v>2025</v>
      </c>
      <c r="AJ9" s="7" t="str">
        <f>IF(OR(R9&lt;0,C9&lt;B9),"Invalid",
IF(OR(G9="Unknown",M9="Unknown"),"Warning","Clean"))</f>
        <v>Invalid</v>
      </c>
      <c r="AK9" s="7" t="str">
        <f>IF(C9&lt;B9,"Ship Before Order","OK")</f>
        <v>Ship Before Order</v>
      </c>
      <c r="AL9" s="7" t="str">
        <f>IF(ISNUMBER(B9),"Valid","Invalid")</f>
        <v>Valid</v>
      </c>
      <c r="AM9" s="7" t="str">
        <f t="shared" si="4"/>
        <v>Ok</v>
      </c>
      <c r="AN9" s="7" t="str">
        <f t="shared" si="5"/>
        <v>Ok</v>
      </c>
      <c r="AO9" s="8" t="s">
        <v>2804</v>
      </c>
      <c r="AP9">
        <f>COUNTBLANK(C2:C933)</f>
        <v>0</v>
      </c>
    </row>
    <row r="10" spans="1:42">
      <c r="A10" t="s">
        <v>87</v>
      </c>
      <c r="B10" s="6">
        <v>45423</v>
      </c>
      <c r="C10" s="4">
        <v>45508</v>
      </c>
      <c r="D10" t="s">
        <v>88</v>
      </c>
      <c r="E10" t="s">
        <v>89</v>
      </c>
      <c r="F10" t="s">
        <v>90</v>
      </c>
      <c r="G10" t="s">
        <v>54</v>
      </c>
      <c r="H10" t="s">
        <v>55</v>
      </c>
      <c r="I10" t="s">
        <v>56</v>
      </c>
      <c r="J10" t="s">
        <v>28</v>
      </c>
      <c r="K10" t="s">
        <v>91</v>
      </c>
      <c r="L10" t="s">
        <v>92</v>
      </c>
      <c r="M10" t="s">
        <v>50</v>
      </c>
      <c r="N10">
        <v>8</v>
      </c>
      <c r="O10">
        <v>3134.2</v>
      </c>
      <c r="P10">
        <v>0</v>
      </c>
      <c r="Q10" s="7">
        <f>IF(P10="", 0, P10)</f>
        <v>0</v>
      </c>
      <c r="R10">
        <v>25073.599999999999</v>
      </c>
      <c r="S10">
        <v>17347.23</v>
      </c>
      <c r="T10" s="7">
        <f>N10*O10*(1-Q10)</f>
        <v>25073.599999999999</v>
      </c>
      <c r="U10" s="7">
        <f t="shared" si="0"/>
        <v>7726.369999999999</v>
      </c>
      <c r="V10">
        <v>7726.37</v>
      </c>
      <c r="W10" s="12">
        <f t="shared" si="1"/>
        <v>0.30814761342607361</v>
      </c>
      <c r="X10" t="s">
        <v>32</v>
      </c>
      <c r="Y10" t="str">
        <f t="shared" si="2"/>
        <v>Paid</v>
      </c>
      <c r="Z10" t="s">
        <v>33</v>
      </c>
      <c r="AA10">
        <f>C10-B10</f>
        <v>85</v>
      </c>
      <c r="AB10" t="str">
        <f>IF(B10="","Missing Order Date",
IF(C10="","Missing Ship Date","OK"))</f>
        <v>OK</v>
      </c>
      <c r="AC10" s="7" t="str">
        <f>IF(C10&lt;B10, "Invalid", "Valid")</f>
        <v>Valid</v>
      </c>
      <c r="AD10" s="7" t="str">
        <f>IF(COUNTIF($A:$A, A10)&gt;1, "Duplicate", "Unique")</f>
        <v>Unique</v>
      </c>
      <c r="AE10" s="7" t="str">
        <f>IF(G10="","Unknown",G10)</f>
        <v>South</v>
      </c>
      <c r="AF10" s="7" t="str">
        <f>IF(M10="","Unknown",M10)</f>
        <v>First Class</v>
      </c>
      <c r="AG10" s="7" t="str">
        <f>IF(P10&lt;0,"Invalid",
IF(P10&gt;1,"Invalid","Valid"))</f>
        <v>Valid</v>
      </c>
      <c r="AH10" s="7" t="str">
        <f>TEXT(B10,"mmmm")</f>
        <v>May</v>
      </c>
      <c r="AI10" s="7">
        <f t="shared" si="3"/>
        <v>2024</v>
      </c>
      <c r="AJ10" s="7" t="str">
        <f>IF(OR(R10&lt;0,C10&lt;B10),"Invalid",
IF(OR(G10="Unknown",M10="Unknown"),"Warning","Clean"))</f>
        <v>Clean</v>
      </c>
      <c r="AK10" s="7" t="str">
        <f>IF(C10&lt;B10,"Ship Before Order","OK")</f>
        <v>OK</v>
      </c>
      <c r="AL10" s="7" t="str">
        <f>IF(ISNUMBER(B10),"Valid","Invalid")</f>
        <v>Valid</v>
      </c>
      <c r="AM10" s="7" t="str">
        <f t="shared" si="4"/>
        <v>Ok</v>
      </c>
      <c r="AN10" s="7" t="str">
        <f t="shared" si="5"/>
        <v>Ok</v>
      </c>
      <c r="AO10" s="8" t="s">
        <v>2805</v>
      </c>
      <c r="AP10">
        <f>COUNTIF(AK2:AK933, "Ship Before Order")</f>
        <v>171</v>
      </c>
    </row>
    <row r="11" spans="1:42">
      <c r="A11" t="s">
        <v>93</v>
      </c>
      <c r="B11" s="6">
        <v>45907</v>
      </c>
      <c r="C11" s="4">
        <v>45509</v>
      </c>
      <c r="D11" t="s">
        <v>94</v>
      </c>
      <c r="E11" t="s">
        <v>36</v>
      </c>
      <c r="F11" t="s">
        <v>95</v>
      </c>
      <c r="G11" t="s">
        <v>54</v>
      </c>
      <c r="H11" t="s">
        <v>55</v>
      </c>
      <c r="I11" t="s">
        <v>56</v>
      </c>
      <c r="J11" t="s">
        <v>28</v>
      </c>
      <c r="K11" t="s">
        <v>29</v>
      </c>
      <c r="L11" t="s">
        <v>96</v>
      </c>
      <c r="M11" t="s">
        <v>31</v>
      </c>
      <c r="N11">
        <v>9</v>
      </c>
      <c r="O11">
        <v>852.04</v>
      </c>
      <c r="P11">
        <v>0.2</v>
      </c>
      <c r="Q11" s="7">
        <f>IF(P11="", 0, P11)</f>
        <v>0.2</v>
      </c>
      <c r="R11">
        <v>6134.69</v>
      </c>
      <c r="S11">
        <v>3800.19</v>
      </c>
      <c r="T11" s="7">
        <f>N11*O11*(1-Q11)</f>
        <v>6134.6880000000001</v>
      </c>
      <c r="U11" s="7">
        <f t="shared" si="0"/>
        <v>2334.498</v>
      </c>
      <c r="V11">
        <v>2334.5</v>
      </c>
      <c r="W11" s="12">
        <f t="shared" si="1"/>
        <v>0.38054062407085737</v>
      </c>
      <c r="X11" t="s">
        <v>32</v>
      </c>
      <c r="Y11" t="str">
        <f t="shared" si="2"/>
        <v>Paid</v>
      </c>
      <c r="Z11" t="s">
        <v>33</v>
      </c>
      <c r="AA11">
        <f>C11-B11</f>
        <v>-398</v>
      </c>
      <c r="AB11" t="str">
        <f>IF(B11="","Missing Order Date",
IF(C11="","Missing Ship Date","OK"))</f>
        <v>OK</v>
      </c>
      <c r="AC11" s="7" t="str">
        <f>IF(C11&lt;B11, "Invalid", "Valid")</f>
        <v>Invalid</v>
      </c>
      <c r="AD11" s="7" t="str">
        <f>IF(COUNTIF($A:$A, A11)&gt;1, "Duplicate", "Unique")</f>
        <v>Unique</v>
      </c>
      <c r="AE11" s="7" t="str">
        <f>IF(G11="","Unknown",G11)</f>
        <v>South</v>
      </c>
      <c r="AF11" s="7" t="str">
        <f>IF(M11="","Unknown",M11)</f>
        <v>Second Class</v>
      </c>
      <c r="AG11" s="7" t="str">
        <f>IF(P11&lt;0,"Invalid",
IF(P11&gt;1,"Invalid","Valid"))</f>
        <v>Valid</v>
      </c>
      <c r="AH11" s="7" t="str">
        <f>TEXT(B11,"mmmm")</f>
        <v>September</v>
      </c>
      <c r="AI11" s="7">
        <f t="shared" si="3"/>
        <v>2025</v>
      </c>
      <c r="AJ11" s="7" t="str">
        <f>IF(OR(R11&lt;0,C11&lt;B11),"Invalid",
IF(OR(G11="Unknown",M11="Unknown"),"Warning","Clean"))</f>
        <v>Invalid</v>
      </c>
      <c r="AK11" s="7" t="str">
        <f>IF(C11&lt;B11,"Ship Before Order","OK")</f>
        <v>Ship Before Order</v>
      </c>
      <c r="AL11" s="7" t="str">
        <f>IF(ISNUMBER(B11),"Valid","Invalid")</f>
        <v>Valid</v>
      </c>
      <c r="AM11" s="7" t="str">
        <f t="shared" si="4"/>
        <v>Missmatched</v>
      </c>
      <c r="AN11" s="7" t="str">
        <f t="shared" si="5"/>
        <v>Missmatched</v>
      </c>
      <c r="AO11" s="8" t="s">
        <v>2806</v>
      </c>
      <c r="AP11">
        <f>COUNTIF(AL2:AL933, "Valid")</f>
        <v>932</v>
      </c>
    </row>
    <row r="12" spans="1:42">
      <c r="A12" t="s">
        <v>97</v>
      </c>
      <c r="B12" s="6">
        <v>45797</v>
      </c>
      <c r="C12" s="4">
        <v>45510</v>
      </c>
      <c r="D12" t="s">
        <v>98</v>
      </c>
      <c r="E12" t="s">
        <v>62</v>
      </c>
      <c r="F12" t="s">
        <v>90</v>
      </c>
      <c r="G12" t="s">
        <v>38</v>
      </c>
      <c r="H12" t="s">
        <v>99</v>
      </c>
      <c r="I12" t="s">
        <v>100</v>
      </c>
      <c r="J12" t="s">
        <v>28</v>
      </c>
      <c r="K12" t="s">
        <v>91</v>
      </c>
      <c r="L12" t="s">
        <v>101</v>
      </c>
      <c r="M12" t="s">
        <v>31</v>
      </c>
      <c r="N12">
        <v>3</v>
      </c>
      <c r="O12">
        <v>3534.83</v>
      </c>
      <c r="P12">
        <v>0.05</v>
      </c>
      <c r="Q12" s="7">
        <f>IF(P12="", 0, P12)</f>
        <v>0.05</v>
      </c>
      <c r="R12">
        <v>10074.27</v>
      </c>
      <c r="S12">
        <v>6048.27</v>
      </c>
      <c r="T12" s="7">
        <f>N12*O12*(1-Q12)</f>
        <v>10074.2655</v>
      </c>
      <c r="U12" s="7">
        <f t="shared" si="0"/>
        <v>4025.9954999999991</v>
      </c>
      <c r="V12">
        <v>4026</v>
      </c>
      <c r="W12" s="12">
        <f t="shared" si="1"/>
        <v>0.39963166545491574</v>
      </c>
      <c r="X12" t="s">
        <v>102</v>
      </c>
      <c r="Y12" t="str">
        <f t="shared" si="2"/>
        <v>Refunded</v>
      </c>
      <c r="Z12" t="s">
        <v>103</v>
      </c>
      <c r="AA12">
        <f>C12-B12</f>
        <v>-287</v>
      </c>
      <c r="AB12" t="str">
        <f>IF(B12="","Missing Order Date",
IF(C12="","Missing Ship Date","OK"))</f>
        <v>OK</v>
      </c>
      <c r="AC12" s="7" t="str">
        <f>IF(C12&lt;B12, "Invalid", "Valid")</f>
        <v>Invalid</v>
      </c>
      <c r="AD12" s="7" t="str">
        <f>IF(COUNTIF($A:$A, A12)&gt;1, "Duplicate", "Unique")</f>
        <v>Unique</v>
      </c>
      <c r="AE12" s="7" t="str">
        <f>IF(G12="","Unknown",G12)</f>
        <v>East</v>
      </c>
      <c r="AF12" s="7" t="str">
        <f>IF(M12="","Unknown",M12)</f>
        <v>Second Class</v>
      </c>
      <c r="AG12" s="7" t="str">
        <f>IF(P12&lt;0,"Invalid",
IF(P12&gt;1,"Invalid","Valid"))</f>
        <v>Valid</v>
      </c>
      <c r="AH12" s="7" t="str">
        <f>TEXT(B12,"mmmm")</f>
        <v>May</v>
      </c>
      <c r="AI12" s="7">
        <f t="shared" si="3"/>
        <v>2025</v>
      </c>
      <c r="AJ12" s="7" t="str">
        <f>IF(OR(R12&lt;0,C12&lt;B12),"Invalid",
IF(OR(G12="Unknown",M12="Unknown"),"Warning","Clean"))</f>
        <v>Invalid</v>
      </c>
      <c r="AK12" s="7" t="str">
        <f>IF(C12&lt;B12,"Ship Before Order","OK")</f>
        <v>Ship Before Order</v>
      </c>
      <c r="AL12" s="7" t="str">
        <f>IF(ISNUMBER(B12),"Valid","Invalid")</f>
        <v>Valid</v>
      </c>
      <c r="AM12" s="7" t="str">
        <f t="shared" si="4"/>
        <v>Missmatched</v>
      </c>
      <c r="AN12" s="7" t="str">
        <f t="shared" si="5"/>
        <v>Missmatched</v>
      </c>
    </row>
    <row r="13" spans="1:42">
      <c r="A13" t="s">
        <v>104</v>
      </c>
      <c r="B13" s="6">
        <v>45495</v>
      </c>
      <c r="C13" s="4">
        <v>45511</v>
      </c>
      <c r="D13" t="s">
        <v>105</v>
      </c>
      <c r="E13" t="s">
        <v>71</v>
      </c>
      <c r="F13" t="s">
        <v>37</v>
      </c>
      <c r="G13" t="s">
        <v>38</v>
      </c>
      <c r="H13" t="s">
        <v>39</v>
      </c>
      <c r="I13" t="s">
        <v>40</v>
      </c>
      <c r="J13" t="s">
        <v>74</v>
      </c>
      <c r="K13" t="s">
        <v>75</v>
      </c>
      <c r="L13" t="s">
        <v>106</v>
      </c>
      <c r="M13" t="s">
        <v>44</v>
      </c>
      <c r="N13">
        <v>6</v>
      </c>
      <c r="O13">
        <v>2005.95</v>
      </c>
      <c r="P13">
        <v>0.2</v>
      </c>
      <c r="Q13" s="7">
        <f>IF(P13="", 0, P13)</f>
        <v>0.2</v>
      </c>
      <c r="R13">
        <v>9628.56</v>
      </c>
      <c r="S13">
        <v>8038.59</v>
      </c>
      <c r="T13" s="7">
        <f>N13*O13*(1-Q13)</f>
        <v>9628.5600000000013</v>
      </c>
      <c r="U13" s="7">
        <f t="shared" si="0"/>
        <v>1589.9700000000012</v>
      </c>
      <c r="V13">
        <v>1589.97</v>
      </c>
      <c r="W13" s="12">
        <f t="shared" si="1"/>
        <v>0.16513061143099289</v>
      </c>
      <c r="X13" t="s">
        <v>32</v>
      </c>
      <c r="Y13" t="str">
        <f t="shared" si="2"/>
        <v>Paid</v>
      </c>
      <c r="Z13" t="s">
        <v>33</v>
      </c>
      <c r="AA13">
        <f>C13-B13</f>
        <v>16</v>
      </c>
      <c r="AB13" t="str">
        <f>IF(B13="","Missing Order Date",
IF(C13="","Missing Ship Date","OK"))</f>
        <v>OK</v>
      </c>
      <c r="AC13" s="7" t="str">
        <f>IF(C13&lt;B13, "Invalid", "Valid")</f>
        <v>Valid</v>
      </c>
      <c r="AD13" s="7" t="str">
        <f>IF(COUNTIF($A:$A, A13)&gt;1, "Duplicate", "Unique")</f>
        <v>Unique</v>
      </c>
      <c r="AE13" s="7" t="str">
        <f>IF(G13="","Unknown",G13)</f>
        <v>East</v>
      </c>
      <c r="AF13" s="7" t="str">
        <f>IF(M13="","Unknown",M13)</f>
        <v>Same Day</v>
      </c>
      <c r="AG13" s="7" t="str">
        <f>IF(P13&lt;0,"Invalid",
IF(P13&gt;1,"Invalid","Valid"))</f>
        <v>Valid</v>
      </c>
      <c r="AH13" s="7" t="str">
        <f>TEXT(B13,"mmmm")</f>
        <v>July</v>
      </c>
      <c r="AI13" s="7">
        <f t="shared" si="3"/>
        <v>2024</v>
      </c>
      <c r="AJ13" s="7" t="str">
        <f>IF(OR(R13&lt;0,C13&lt;B13),"Invalid",
IF(OR(G13="Unknown",M13="Unknown"),"Warning","Clean"))</f>
        <v>Clean</v>
      </c>
      <c r="AK13" s="7" t="str">
        <f>IF(C13&lt;B13,"Ship Before Order","OK")</f>
        <v>OK</v>
      </c>
      <c r="AL13" s="7" t="str">
        <f>IF(ISNUMBER(B13),"Valid","Invalid")</f>
        <v>Valid</v>
      </c>
      <c r="AM13" s="7" t="str">
        <f t="shared" si="4"/>
        <v>Ok</v>
      </c>
      <c r="AN13" s="7" t="str">
        <f t="shared" si="5"/>
        <v>Ok</v>
      </c>
      <c r="AO13" s="8" t="s">
        <v>68</v>
      </c>
      <c r="AP13">
        <f>COUNTIF(Z2:Z933, "Cancelled")</f>
        <v>146</v>
      </c>
    </row>
    <row r="14" spans="1:42">
      <c r="A14" t="s">
        <v>107</v>
      </c>
      <c r="B14" s="6">
        <v>45646</v>
      </c>
      <c r="C14" s="4">
        <v>45512</v>
      </c>
      <c r="D14" t="s">
        <v>108</v>
      </c>
      <c r="E14" t="s">
        <v>62</v>
      </c>
      <c r="F14" t="s">
        <v>90</v>
      </c>
      <c r="G14" t="s">
        <v>63</v>
      </c>
      <c r="H14" t="s">
        <v>26</v>
      </c>
      <c r="I14" t="s">
        <v>109</v>
      </c>
      <c r="J14" t="s">
        <v>28</v>
      </c>
      <c r="K14" t="s">
        <v>29</v>
      </c>
      <c r="L14" t="s">
        <v>110</v>
      </c>
      <c r="M14" t="s">
        <v>50</v>
      </c>
      <c r="N14">
        <v>1</v>
      </c>
      <c r="O14">
        <v>702.14</v>
      </c>
      <c r="P14">
        <v>0.15</v>
      </c>
      <c r="Q14" s="7">
        <f>IF(P14="", 0, P14)</f>
        <v>0.15</v>
      </c>
      <c r="R14">
        <v>596.82000000000005</v>
      </c>
      <c r="S14">
        <v>380.25</v>
      </c>
      <c r="T14" s="7">
        <f>N14*O14*(1-Q14)</f>
        <v>596.81899999999996</v>
      </c>
      <c r="U14" s="7">
        <f t="shared" si="0"/>
        <v>216.56899999999996</v>
      </c>
      <c r="V14">
        <v>216.57</v>
      </c>
      <c r="W14" s="12">
        <f t="shared" si="1"/>
        <v>0.36287216057129545</v>
      </c>
      <c r="X14" t="s">
        <v>111</v>
      </c>
      <c r="Y14" t="str">
        <f t="shared" si="2"/>
        <v>Pending</v>
      </c>
      <c r="Z14" t="s">
        <v>103</v>
      </c>
      <c r="AA14">
        <f>C14-B14</f>
        <v>-134</v>
      </c>
      <c r="AB14" t="str">
        <f>IF(B14="","Missing Order Date",
IF(C14="","Missing Ship Date","OK"))</f>
        <v>OK</v>
      </c>
      <c r="AC14" s="7" t="str">
        <f>IF(C14&lt;B14, "Invalid", "Valid")</f>
        <v>Invalid</v>
      </c>
      <c r="AD14" s="7" t="str">
        <f>IF(COUNTIF($A:$A, A14)&gt;1, "Duplicate", "Unique")</f>
        <v>Unique</v>
      </c>
      <c r="AE14" s="7" t="str">
        <f>IF(G14="","Unknown",G14)</f>
        <v>West</v>
      </c>
      <c r="AF14" s="7" t="str">
        <f>IF(M14="","Unknown",M14)</f>
        <v>First Class</v>
      </c>
      <c r="AG14" s="7" t="str">
        <f>IF(P14&lt;0,"Invalid",
IF(P14&gt;1,"Invalid","Valid"))</f>
        <v>Valid</v>
      </c>
      <c r="AH14" s="7" t="str">
        <f>TEXT(B14,"mmmm")</f>
        <v>December</v>
      </c>
      <c r="AI14" s="7">
        <f t="shared" si="3"/>
        <v>2024</v>
      </c>
      <c r="AJ14" s="7" t="str">
        <f>IF(OR(R14&lt;0,C14&lt;B14),"Invalid",
IF(OR(G14="Unknown",M14="Unknown"),"Warning","Clean"))</f>
        <v>Invalid</v>
      </c>
      <c r="AK14" s="7" t="str">
        <f>IF(C14&lt;B14,"Ship Before Order","OK")</f>
        <v>Ship Before Order</v>
      </c>
      <c r="AL14" s="7" t="str">
        <f>IF(ISNUMBER(B14),"Valid","Invalid")</f>
        <v>Valid</v>
      </c>
      <c r="AM14" s="7" t="str">
        <f t="shared" si="4"/>
        <v>Missmatched</v>
      </c>
      <c r="AN14" s="7" t="str">
        <f t="shared" si="5"/>
        <v>Missmatched</v>
      </c>
      <c r="AO14" s="8" t="s">
        <v>102</v>
      </c>
      <c r="AP14">
        <f>COUNTIF(Y2:Y933, "Refunded")</f>
        <v>72</v>
      </c>
    </row>
    <row r="15" spans="1:42">
      <c r="A15" t="s">
        <v>112</v>
      </c>
      <c r="B15" s="6">
        <v>46001</v>
      </c>
      <c r="C15" s="4">
        <v>45513</v>
      </c>
      <c r="D15" t="s">
        <v>113</v>
      </c>
      <c r="E15" t="s">
        <v>114</v>
      </c>
      <c r="F15" t="s">
        <v>37</v>
      </c>
      <c r="G15" t="s">
        <v>63</v>
      </c>
      <c r="H15" t="s">
        <v>64</v>
      </c>
      <c r="I15" t="s">
        <v>65</v>
      </c>
      <c r="J15" t="s">
        <v>28</v>
      </c>
      <c r="K15" t="s">
        <v>48</v>
      </c>
      <c r="L15" t="s">
        <v>115</v>
      </c>
      <c r="M15" t="s">
        <v>31</v>
      </c>
      <c r="N15">
        <v>7</v>
      </c>
      <c r="O15">
        <v>3964.72</v>
      </c>
      <c r="P15">
        <v>0.05</v>
      </c>
      <c r="Q15" s="7">
        <f>IF(P15="", 0, P15)</f>
        <v>0.05</v>
      </c>
      <c r="R15">
        <v>26365.39</v>
      </c>
      <c r="S15">
        <v>22306.240000000002</v>
      </c>
      <c r="T15" s="7">
        <f>N15*O15*(1-Q15)</f>
        <v>26365.387999999995</v>
      </c>
      <c r="U15" s="7">
        <f t="shared" si="0"/>
        <v>4059.1479999999938</v>
      </c>
      <c r="V15">
        <v>4059.15</v>
      </c>
      <c r="W15" s="12">
        <f t="shared" si="1"/>
        <v>0.15395745361304733</v>
      </c>
      <c r="X15" t="s">
        <v>32</v>
      </c>
      <c r="Y15" t="str">
        <f t="shared" si="2"/>
        <v>Paid</v>
      </c>
      <c r="Z15" t="s">
        <v>33</v>
      </c>
      <c r="AA15">
        <f>C15-B15</f>
        <v>-488</v>
      </c>
      <c r="AB15" t="str">
        <f>IF(B15="","Missing Order Date",
IF(C15="","Missing Ship Date","OK"))</f>
        <v>OK</v>
      </c>
      <c r="AC15" s="7" t="str">
        <f>IF(C15&lt;B15, "Invalid", "Valid")</f>
        <v>Invalid</v>
      </c>
      <c r="AD15" s="7" t="str">
        <f>IF(COUNTIF($A:$A, A15)&gt;1, "Duplicate", "Unique")</f>
        <v>Unique</v>
      </c>
      <c r="AE15" s="7" t="str">
        <f>IF(G15="","Unknown",G15)</f>
        <v>West</v>
      </c>
      <c r="AF15" s="7" t="str">
        <f>IF(M15="","Unknown",M15)</f>
        <v>Second Class</v>
      </c>
      <c r="AG15" s="7" t="str">
        <f>IF(P15&lt;0,"Invalid",
IF(P15&gt;1,"Invalid","Valid"))</f>
        <v>Valid</v>
      </c>
      <c r="AH15" s="7" t="str">
        <f>TEXT(B15,"mmmm")</f>
        <v>December</v>
      </c>
      <c r="AI15" s="7">
        <f t="shared" si="3"/>
        <v>2025</v>
      </c>
      <c r="AJ15" s="7" t="str">
        <f>IF(OR(R15&lt;0,C15&lt;B15),"Invalid",
IF(OR(G15="Unknown",M15="Unknown"),"Warning","Clean"))</f>
        <v>Invalid</v>
      </c>
      <c r="AK15" s="7" t="str">
        <f>IF(C15&lt;B15,"Ship Before Order","OK")</f>
        <v>Ship Before Order</v>
      </c>
      <c r="AL15" s="7" t="str">
        <f>IF(ISNUMBER(B15),"Valid","Invalid")</f>
        <v>Valid</v>
      </c>
      <c r="AM15" s="7" t="str">
        <f t="shared" si="4"/>
        <v>Missmatched</v>
      </c>
      <c r="AN15" s="7" t="str">
        <f t="shared" si="5"/>
        <v>Missmatched</v>
      </c>
      <c r="AO15" s="8" t="s">
        <v>2809</v>
      </c>
      <c r="AP15">
        <f>COUNTIF(Y2:Y933, "Failed")</f>
        <v>69</v>
      </c>
    </row>
    <row r="16" spans="1:42">
      <c r="A16" t="s">
        <v>116</v>
      </c>
      <c r="B16" s="6">
        <v>45653</v>
      </c>
      <c r="C16" s="4">
        <v>45514</v>
      </c>
      <c r="D16" t="s">
        <v>117</v>
      </c>
      <c r="E16" t="s">
        <v>118</v>
      </c>
      <c r="F16" t="s">
        <v>24</v>
      </c>
      <c r="G16" t="s">
        <v>63</v>
      </c>
      <c r="H16" t="s">
        <v>26</v>
      </c>
      <c r="I16" t="s">
        <v>109</v>
      </c>
      <c r="J16" t="s">
        <v>74</v>
      </c>
      <c r="K16" t="s">
        <v>80</v>
      </c>
      <c r="L16" t="s">
        <v>119</v>
      </c>
      <c r="M16" t="s">
        <v>59</v>
      </c>
      <c r="N16">
        <v>2</v>
      </c>
      <c r="O16">
        <v>2737.83</v>
      </c>
      <c r="P16">
        <v>0.25</v>
      </c>
      <c r="Q16" s="7">
        <f>IF(P16="", 0, P16)</f>
        <v>0.25</v>
      </c>
      <c r="R16">
        <v>4106.74</v>
      </c>
      <c r="S16">
        <v>2666.3</v>
      </c>
      <c r="T16" s="7">
        <f>N16*O16*(1-Q16)</f>
        <v>4106.7449999999999</v>
      </c>
      <c r="U16" s="7">
        <f t="shared" si="0"/>
        <v>1440.4449999999997</v>
      </c>
      <c r="V16">
        <v>1440.44</v>
      </c>
      <c r="W16" s="12">
        <f t="shared" si="1"/>
        <v>0.35075102057712365</v>
      </c>
      <c r="X16" t="s">
        <v>32</v>
      </c>
      <c r="Y16" t="str">
        <f t="shared" si="2"/>
        <v>Paid</v>
      </c>
      <c r="Z16" t="s">
        <v>33</v>
      </c>
      <c r="AA16">
        <f>C16-B16</f>
        <v>-139</v>
      </c>
      <c r="AB16" t="str">
        <f>IF(B16="","Missing Order Date",
IF(C16="","Missing Ship Date","OK"))</f>
        <v>OK</v>
      </c>
      <c r="AC16" s="7" t="str">
        <f>IF(C16&lt;B16, "Invalid", "Valid")</f>
        <v>Invalid</v>
      </c>
      <c r="AD16" s="7" t="str">
        <f>IF(COUNTIF($A:$A, A16)&gt;1, "Duplicate", "Unique")</f>
        <v>Unique</v>
      </c>
      <c r="AE16" s="7" t="str">
        <f>IF(G16="","Unknown",G16)</f>
        <v>West</v>
      </c>
      <c r="AF16" s="7" t="str">
        <f>IF(M16="","Unknown",M16)</f>
        <v>Standard Class</v>
      </c>
      <c r="AG16" s="7" t="str">
        <f>IF(P16&lt;0,"Invalid",
IF(P16&gt;1,"Invalid","Valid"))</f>
        <v>Valid</v>
      </c>
      <c r="AH16" s="7" t="str">
        <f>TEXT(B16,"mmmm")</f>
        <v>December</v>
      </c>
      <c r="AI16" s="7">
        <f t="shared" si="3"/>
        <v>2024</v>
      </c>
      <c r="AJ16" s="7" t="str">
        <f>IF(OR(R16&lt;0,C16&lt;B16),"Invalid",
IF(OR(G16="Unknown",M16="Unknown"),"Warning","Clean"))</f>
        <v>Invalid</v>
      </c>
      <c r="AK16" s="7" t="str">
        <f>IF(C16&lt;B16,"Ship Before Order","OK")</f>
        <v>Ship Before Order</v>
      </c>
      <c r="AL16" s="7" t="str">
        <f>IF(ISNUMBER(B16),"Valid","Invalid")</f>
        <v>Valid</v>
      </c>
      <c r="AM16" s="7" t="str">
        <f t="shared" si="4"/>
        <v>Missmatched</v>
      </c>
      <c r="AN16" s="7" t="str">
        <f t="shared" si="5"/>
        <v>Missmatched</v>
      </c>
      <c r="AO16" s="8" t="s">
        <v>33</v>
      </c>
      <c r="AP16">
        <f>COUNTIF(Z2:Z933, "Completed")</f>
        <v>622</v>
      </c>
    </row>
    <row r="17" spans="1:42">
      <c r="A17" t="s">
        <v>120</v>
      </c>
      <c r="B17" s="6">
        <v>45542</v>
      </c>
      <c r="C17" s="4">
        <v>45515</v>
      </c>
      <c r="D17" t="s">
        <v>121</v>
      </c>
      <c r="E17" t="s">
        <v>23</v>
      </c>
      <c r="F17" t="s">
        <v>37</v>
      </c>
      <c r="G17" t="s">
        <v>25</v>
      </c>
      <c r="H17" t="s">
        <v>122</v>
      </c>
      <c r="I17" t="s">
        <v>123</v>
      </c>
      <c r="J17" t="s">
        <v>28</v>
      </c>
      <c r="K17" t="s">
        <v>124</v>
      </c>
      <c r="L17" t="s">
        <v>125</v>
      </c>
      <c r="M17" t="s">
        <v>31</v>
      </c>
      <c r="N17">
        <v>6</v>
      </c>
      <c r="O17">
        <v>3965.76</v>
      </c>
      <c r="P17">
        <v>0</v>
      </c>
      <c r="Q17" s="7">
        <f>IF(P17="", 0, P17)</f>
        <v>0</v>
      </c>
      <c r="R17">
        <v>23794.560000000001</v>
      </c>
      <c r="S17">
        <v>15698.47</v>
      </c>
      <c r="T17" s="7">
        <f>N17*O17*(1-Q17)</f>
        <v>23794.560000000001</v>
      </c>
      <c r="U17" s="7">
        <f t="shared" si="0"/>
        <v>8096.090000000002</v>
      </c>
      <c r="V17">
        <v>8096.09</v>
      </c>
      <c r="W17" s="12">
        <f t="shared" si="1"/>
        <v>0.34024962008122872</v>
      </c>
      <c r="X17" t="s">
        <v>32</v>
      </c>
      <c r="Y17" t="str">
        <f t="shared" si="2"/>
        <v>Paid</v>
      </c>
      <c r="Z17" t="s">
        <v>33</v>
      </c>
      <c r="AA17">
        <f>C17-B17</f>
        <v>-27</v>
      </c>
      <c r="AB17" t="str">
        <f>IF(B17="","Missing Order Date",
IF(C17="","Missing Ship Date","OK"))</f>
        <v>OK</v>
      </c>
      <c r="AC17" s="7" t="str">
        <f>IF(C17&lt;B17, "Invalid", "Valid")</f>
        <v>Invalid</v>
      </c>
      <c r="AD17" s="7" t="str">
        <f>IF(COUNTIF($A:$A, A17)&gt;1, "Duplicate", "Unique")</f>
        <v>Unique</v>
      </c>
      <c r="AE17" s="7" t="str">
        <f>IF(G17="","Unknown",G17)</f>
        <v>North</v>
      </c>
      <c r="AF17" s="7" t="str">
        <f>IF(M17="","Unknown",M17)</f>
        <v>Second Class</v>
      </c>
      <c r="AG17" s="7" t="str">
        <f>IF(P17&lt;0,"Invalid",
IF(P17&gt;1,"Invalid","Valid"))</f>
        <v>Valid</v>
      </c>
      <c r="AH17" s="7" t="str">
        <f>TEXT(B17,"mmmm")</f>
        <v>September</v>
      </c>
      <c r="AI17" s="7">
        <f t="shared" si="3"/>
        <v>2024</v>
      </c>
      <c r="AJ17" s="7" t="str">
        <f>IF(OR(R17&lt;0,C17&lt;B17),"Invalid",
IF(OR(G17="Unknown",M17="Unknown"),"Warning","Clean"))</f>
        <v>Invalid</v>
      </c>
      <c r="AK17" s="7" t="str">
        <f>IF(C17&lt;B17,"Ship Before Order","OK")</f>
        <v>Ship Before Order</v>
      </c>
      <c r="AL17" s="7" t="str">
        <f>IF(ISNUMBER(B17),"Valid","Invalid")</f>
        <v>Valid</v>
      </c>
      <c r="AM17" s="7" t="str">
        <f t="shared" si="4"/>
        <v>Ok</v>
      </c>
      <c r="AN17" s="7" t="str">
        <f t="shared" si="5"/>
        <v>Ok</v>
      </c>
    </row>
    <row r="18" spans="1:42">
      <c r="A18" t="s">
        <v>126</v>
      </c>
      <c r="B18" s="6">
        <v>45509</v>
      </c>
      <c r="C18" s="4">
        <v>45516</v>
      </c>
      <c r="D18" t="s">
        <v>127</v>
      </c>
      <c r="E18" t="s">
        <v>128</v>
      </c>
      <c r="F18" t="s">
        <v>24</v>
      </c>
      <c r="G18" t="s">
        <v>54</v>
      </c>
      <c r="H18" t="s">
        <v>55</v>
      </c>
      <c r="I18" t="s">
        <v>56</v>
      </c>
      <c r="J18" t="s">
        <v>28</v>
      </c>
      <c r="K18" t="s">
        <v>48</v>
      </c>
      <c r="L18" t="s">
        <v>129</v>
      </c>
      <c r="M18" t="s">
        <v>50</v>
      </c>
      <c r="N18">
        <v>4</v>
      </c>
      <c r="O18">
        <v>3323.51</v>
      </c>
      <c r="P18">
        <v>0.25</v>
      </c>
      <c r="Q18" s="7">
        <f>IF(P18="", 0, P18)</f>
        <v>0.25</v>
      </c>
      <c r="R18">
        <v>9970.5300000000007</v>
      </c>
      <c r="S18">
        <v>5668.17</v>
      </c>
      <c r="T18" s="7">
        <f>N18*O18*(1-Q18)</f>
        <v>9970.5300000000007</v>
      </c>
      <c r="U18" s="7">
        <f t="shared" si="0"/>
        <v>4302.3600000000006</v>
      </c>
      <c r="V18">
        <v>4302.3599999999997</v>
      </c>
      <c r="W18" s="12">
        <f t="shared" si="1"/>
        <v>0.43150765305354882</v>
      </c>
      <c r="X18" t="s">
        <v>32</v>
      </c>
      <c r="Y18" t="str">
        <f t="shared" si="2"/>
        <v>Paid</v>
      </c>
      <c r="Z18" t="s">
        <v>33</v>
      </c>
      <c r="AA18">
        <f>C18-B18</f>
        <v>7</v>
      </c>
      <c r="AB18" t="str">
        <f>IF(B18="","Missing Order Date",
IF(C18="","Missing Ship Date","OK"))</f>
        <v>OK</v>
      </c>
      <c r="AC18" s="7" t="str">
        <f>IF(C18&lt;B18, "Invalid", "Valid")</f>
        <v>Valid</v>
      </c>
      <c r="AD18" s="7" t="str">
        <f>IF(COUNTIF($A:$A, A18)&gt;1, "Duplicate", "Unique")</f>
        <v>Unique</v>
      </c>
      <c r="AE18" s="7" t="str">
        <f>IF(G18="","Unknown",G18)</f>
        <v>South</v>
      </c>
      <c r="AF18" s="7" t="str">
        <f>IF(M18="","Unknown",M18)</f>
        <v>First Class</v>
      </c>
      <c r="AG18" s="7" t="str">
        <f>IF(P18&lt;0,"Invalid",
IF(P18&gt;1,"Invalid","Valid"))</f>
        <v>Valid</v>
      </c>
      <c r="AH18" s="7" t="str">
        <f>TEXT(B18,"mmmm")</f>
        <v>August</v>
      </c>
      <c r="AI18" s="7">
        <f t="shared" si="3"/>
        <v>2024</v>
      </c>
      <c r="AJ18" s="7" t="str">
        <f>IF(OR(R18&lt;0,C18&lt;B18),"Invalid",
IF(OR(G18="Unknown",M18="Unknown"),"Warning","Clean"))</f>
        <v>Clean</v>
      </c>
      <c r="AK18" s="7" t="str">
        <f>IF(C18&lt;B18,"Ship Before Order","OK")</f>
        <v>OK</v>
      </c>
      <c r="AL18" s="7" t="str">
        <f>IF(ISNUMBER(B18),"Valid","Invalid")</f>
        <v>Valid</v>
      </c>
      <c r="AM18" s="7" t="str">
        <f t="shared" si="4"/>
        <v>Ok</v>
      </c>
      <c r="AN18" s="7" t="str">
        <f t="shared" si="5"/>
        <v>Ok</v>
      </c>
      <c r="AO18" s="8" t="s">
        <v>2811</v>
      </c>
      <c r="AP18">
        <f>COUNTIF(AM2:AM933, "Missmatched")</f>
        <v>538</v>
      </c>
    </row>
    <row r="19" spans="1:42">
      <c r="A19" t="s">
        <v>130</v>
      </c>
      <c r="B19" s="6">
        <v>45474</v>
      </c>
      <c r="C19" s="4">
        <v>45517</v>
      </c>
      <c r="D19" t="s">
        <v>131</v>
      </c>
      <c r="E19" t="s">
        <v>132</v>
      </c>
      <c r="F19" t="s">
        <v>37</v>
      </c>
      <c r="G19" t="s">
        <v>25</v>
      </c>
      <c r="H19" t="s">
        <v>26</v>
      </c>
      <c r="I19" t="s">
        <v>27</v>
      </c>
      <c r="J19" t="s">
        <v>41</v>
      </c>
      <c r="K19" t="s">
        <v>57</v>
      </c>
      <c r="L19" t="s">
        <v>133</v>
      </c>
      <c r="M19" t="s">
        <v>44</v>
      </c>
      <c r="N19">
        <v>5</v>
      </c>
      <c r="O19">
        <v>1526.78</v>
      </c>
      <c r="P19">
        <v>0</v>
      </c>
      <c r="Q19" s="7">
        <f>IF(P19="", 0, P19)</f>
        <v>0</v>
      </c>
      <c r="R19">
        <v>7633.9</v>
      </c>
      <c r="S19">
        <v>4706.91</v>
      </c>
      <c r="T19" s="7">
        <f>N19*O19*(1-Q19)</f>
        <v>7633.9</v>
      </c>
      <c r="U19" s="7">
        <f t="shared" si="0"/>
        <v>2926.99</v>
      </c>
      <c r="V19">
        <v>2926.99</v>
      </c>
      <c r="W19" s="12">
        <f t="shared" si="1"/>
        <v>0.38342000812166782</v>
      </c>
      <c r="X19" t="s">
        <v>32</v>
      </c>
      <c r="Y19" t="str">
        <f t="shared" si="2"/>
        <v>Paid</v>
      </c>
      <c r="Z19" t="s">
        <v>33</v>
      </c>
      <c r="AA19">
        <f>C19-B19</f>
        <v>43</v>
      </c>
      <c r="AB19" t="str">
        <f>IF(B19="","Missing Order Date",
IF(C19="","Missing Ship Date","OK"))</f>
        <v>OK</v>
      </c>
      <c r="AC19" s="7" t="str">
        <f>IF(C19&lt;B19, "Invalid", "Valid")</f>
        <v>Valid</v>
      </c>
      <c r="AD19" s="7" t="str">
        <f>IF(COUNTIF($A:$A, A19)&gt;1, "Duplicate", "Unique")</f>
        <v>Unique</v>
      </c>
      <c r="AE19" s="7" t="str">
        <f>IF(G19="","Unknown",G19)</f>
        <v>North</v>
      </c>
      <c r="AF19" s="7" t="str">
        <f>IF(M19="","Unknown",M19)</f>
        <v>Same Day</v>
      </c>
      <c r="AG19" s="7" t="str">
        <f>IF(P19&lt;0,"Invalid",
IF(P19&gt;1,"Invalid","Valid"))</f>
        <v>Valid</v>
      </c>
      <c r="AH19" s="7" t="str">
        <f>TEXT(B19,"mmmm")</f>
        <v>July</v>
      </c>
      <c r="AI19" s="7">
        <f t="shared" si="3"/>
        <v>2024</v>
      </c>
      <c r="AJ19" s="7" t="str">
        <f>IF(OR(R19&lt;0,C19&lt;B19),"Invalid",
IF(OR(G19="Unknown",M19="Unknown"),"Warning","Clean"))</f>
        <v>Clean</v>
      </c>
      <c r="AK19" s="7" t="str">
        <f>IF(C19&lt;B19,"Ship Before Order","OK")</f>
        <v>OK</v>
      </c>
      <c r="AL19" s="7" t="str">
        <f>IF(ISNUMBER(B19),"Valid","Invalid")</f>
        <v>Valid</v>
      </c>
      <c r="AM19" s="7" t="str">
        <f t="shared" si="4"/>
        <v>Ok</v>
      </c>
      <c r="AN19" s="7" t="str">
        <f t="shared" si="5"/>
        <v>Ok</v>
      </c>
      <c r="AO19" s="8" t="s">
        <v>2812</v>
      </c>
      <c r="AP19">
        <f>COUNTIF(AN2:AN933, "Missmatched")</f>
        <v>541</v>
      </c>
    </row>
    <row r="20" spans="1:42">
      <c r="A20" t="s">
        <v>134</v>
      </c>
      <c r="B20" s="6">
        <v>45853</v>
      </c>
      <c r="C20" s="4">
        <v>45518</v>
      </c>
      <c r="D20" t="s">
        <v>135</v>
      </c>
      <c r="E20" t="s">
        <v>128</v>
      </c>
      <c r="F20" t="s">
        <v>95</v>
      </c>
      <c r="G20" t="s">
        <v>25</v>
      </c>
      <c r="H20" t="s">
        <v>136</v>
      </c>
      <c r="I20" t="s">
        <v>137</v>
      </c>
      <c r="J20" t="s">
        <v>74</v>
      </c>
      <c r="K20" t="s">
        <v>80</v>
      </c>
      <c r="L20" t="s">
        <v>138</v>
      </c>
      <c r="M20" t="s">
        <v>50</v>
      </c>
      <c r="N20">
        <v>2</v>
      </c>
      <c r="O20">
        <v>1997.99</v>
      </c>
      <c r="P20">
        <v>0</v>
      </c>
      <c r="Q20" s="7">
        <f>IF(P20="", 0, P20)</f>
        <v>0</v>
      </c>
      <c r="R20">
        <v>3995.98</v>
      </c>
      <c r="S20">
        <v>2633.2</v>
      </c>
      <c r="T20" s="7">
        <f>N20*O20*(1-Q20)</f>
        <v>3995.98</v>
      </c>
      <c r="U20" s="7">
        <f t="shared" si="0"/>
        <v>1362.7800000000002</v>
      </c>
      <c r="V20">
        <v>1362.78</v>
      </c>
      <c r="W20" s="12">
        <f t="shared" si="1"/>
        <v>0.34103774293164635</v>
      </c>
      <c r="X20" t="s">
        <v>102</v>
      </c>
      <c r="Y20" t="str">
        <f t="shared" si="2"/>
        <v>Refunded</v>
      </c>
      <c r="Z20" t="s">
        <v>68</v>
      </c>
      <c r="AA20">
        <f>C20-B20</f>
        <v>-335</v>
      </c>
      <c r="AB20" t="str">
        <f>IF(B20="","Missing Order Date",
IF(C20="","Missing Ship Date","OK"))</f>
        <v>OK</v>
      </c>
      <c r="AC20" s="7" t="str">
        <f>IF(C20&lt;B20, "Invalid", "Valid")</f>
        <v>Invalid</v>
      </c>
      <c r="AD20" s="7" t="str">
        <f>IF(COUNTIF($A:$A, A20)&gt;1, "Duplicate", "Unique")</f>
        <v>Unique</v>
      </c>
      <c r="AE20" s="7" t="str">
        <f>IF(G20="","Unknown",G20)</f>
        <v>North</v>
      </c>
      <c r="AF20" s="7" t="str">
        <f>IF(M20="","Unknown",M20)</f>
        <v>First Class</v>
      </c>
      <c r="AG20" s="7" t="str">
        <f>IF(P20&lt;0,"Invalid",
IF(P20&gt;1,"Invalid","Valid"))</f>
        <v>Valid</v>
      </c>
      <c r="AH20" s="7" t="str">
        <f>TEXT(B20,"mmmm")</f>
        <v>July</v>
      </c>
      <c r="AI20" s="7">
        <f t="shared" si="3"/>
        <v>2025</v>
      </c>
      <c r="AJ20" s="7" t="str">
        <f>IF(OR(R20&lt;0,C20&lt;B20),"Invalid",
IF(OR(G20="Unknown",M20="Unknown"),"Warning","Clean"))</f>
        <v>Invalid</v>
      </c>
      <c r="AK20" s="7" t="str">
        <f>IF(C20&lt;B20,"Ship Before Order","OK")</f>
        <v>Ship Before Order</v>
      </c>
      <c r="AL20" s="7" t="str">
        <f>IF(ISNUMBER(B20),"Valid","Invalid")</f>
        <v>Valid</v>
      </c>
      <c r="AM20" s="7" t="str">
        <f t="shared" si="4"/>
        <v>Ok</v>
      </c>
      <c r="AN20" s="7" t="str">
        <f t="shared" si="5"/>
        <v>Ok</v>
      </c>
    </row>
    <row r="21" spans="1:42">
      <c r="A21" t="s">
        <v>139</v>
      </c>
      <c r="B21" s="6">
        <v>45500</v>
      </c>
      <c r="C21" s="4">
        <v>45519</v>
      </c>
      <c r="D21" t="s">
        <v>140</v>
      </c>
      <c r="E21" t="s">
        <v>141</v>
      </c>
      <c r="F21" t="s">
        <v>95</v>
      </c>
      <c r="G21" t="s">
        <v>63</v>
      </c>
      <c r="H21" t="s">
        <v>72</v>
      </c>
      <c r="I21" t="s">
        <v>73</v>
      </c>
      <c r="J21" t="s">
        <v>28</v>
      </c>
      <c r="K21" t="s">
        <v>124</v>
      </c>
      <c r="L21" t="s">
        <v>142</v>
      </c>
      <c r="M21" t="s">
        <v>31</v>
      </c>
      <c r="N21">
        <v>3</v>
      </c>
      <c r="O21">
        <v>3887.94</v>
      </c>
      <c r="P21">
        <v>-0.19</v>
      </c>
      <c r="Q21" s="7">
        <f>IF(P21="", 0, P21)</f>
        <v>-0.19</v>
      </c>
      <c r="R21">
        <v>9331.06</v>
      </c>
      <c r="S21">
        <v>7529.31</v>
      </c>
      <c r="T21" s="7">
        <f>N21*O21*(1-Q21)</f>
        <v>13879.9458</v>
      </c>
      <c r="U21" s="7">
        <f t="shared" si="0"/>
        <v>6350.6357999999991</v>
      </c>
      <c r="V21">
        <v>1801.75</v>
      </c>
      <c r="W21" s="12">
        <f t="shared" si="1"/>
        <v>0.45754038895454474</v>
      </c>
      <c r="X21" t="s">
        <v>32</v>
      </c>
      <c r="Y21" t="str">
        <f t="shared" si="2"/>
        <v>Paid</v>
      </c>
      <c r="Z21" t="s">
        <v>33</v>
      </c>
      <c r="AA21">
        <f>C21-B21</f>
        <v>19</v>
      </c>
      <c r="AB21" t="str">
        <f>IF(B21="","Missing Order Date",
IF(C21="","Missing Ship Date","OK"))</f>
        <v>OK</v>
      </c>
      <c r="AC21" s="7" t="str">
        <f>IF(C21&lt;B21, "Invalid", "Valid")</f>
        <v>Valid</v>
      </c>
      <c r="AD21" s="7" t="str">
        <f>IF(COUNTIF($A:$A, A21)&gt;1, "Duplicate", "Unique")</f>
        <v>Unique</v>
      </c>
      <c r="AE21" s="7" t="str">
        <f>IF(G21="","Unknown",G21)</f>
        <v>West</v>
      </c>
      <c r="AF21" s="7" t="str">
        <f>IF(M21="","Unknown",M21)</f>
        <v>Second Class</v>
      </c>
      <c r="AG21" s="7" t="str">
        <f>IF(P21&lt;0,"Invalid",
IF(P21&gt;1,"Invalid","Valid"))</f>
        <v>Invalid</v>
      </c>
      <c r="AH21" s="7" t="str">
        <f>TEXT(B21,"mmmm")</f>
        <v>July</v>
      </c>
      <c r="AI21" s="7">
        <f t="shared" si="3"/>
        <v>2024</v>
      </c>
      <c r="AJ21" s="7" t="str">
        <f>IF(OR(R21&lt;0,C21&lt;B21),"Invalid",
IF(OR(G21="Unknown",M21="Unknown"),"Warning","Clean"))</f>
        <v>Clean</v>
      </c>
      <c r="AK21" s="7" t="str">
        <f>IF(C21&lt;B21,"Ship Before Order","OK")</f>
        <v>OK</v>
      </c>
      <c r="AL21" s="7" t="str">
        <f>IF(ISNUMBER(B21),"Valid","Invalid")</f>
        <v>Valid</v>
      </c>
      <c r="AM21" s="7" t="str">
        <f t="shared" si="4"/>
        <v>Missmatched</v>
      </c>
      <c r="AN21" s="7" t="str">
        <f t="shared" si="5"/>
        <v>Missmatched</v>
      </c>
      <c r="AO21" s="8" t="s">
        <v>2814</v>
      </c>
      <c r="AP21">
        <f>COUNTIF(AJ2:AJ933, "Clean")</f>
        <v>761</v>
      </c>
    </row>
    <row r="22" spans="1:42">
      <c r="A22" t="s">
        <v>143</v>
      </c>
      <c r="B22" s="6">
        <v>45678</v>
      </c>
      <c r="C22" s="4">
        <v>45520</v>
      </c>
      <c r="D22" t="s">
        <v>144</v>
      </c>
      <c r="E22" t="s">
        <v>89</v>
      </c>
      <c r="F22" t="s">
        <v>95</v>
      </c>
      <c r="G22" t="s">
        <v>38</v>
      </c>
      <c r="H22" t="s">
        <v>145</v>
      </c>
      <c r="I22" t="s">
        <v>146</v>
      </c>
      <c r="J22" t="s">
        <v>74</v>
      </c>
      <c r="K22" t="s">
        <v>80</v>
      </c>
      <c r="L22" t="s">
        <v>147</v>
      </c>
      <c r="M22" t="s">
        <v>50</v>
      </c>
      <c r="N22">
        <v>5</v>
      </c>
      <c r="O22">
        <v>4373.0600000000004</v>
      </c>
      <c r="P22">
        <v>0.25</v>
      </c>
      <c r="Q22" s="7">
        <f>IF(P22="", 0, P22)</f>
        <v>0.25</v>
      </c>
      <c r="R22">
        <v>16398.98</v>
      </c>
      <c r="S22">
        <v>9556.52</v>
      </c>
      <c r="T22" s="7">
        <f>N22*O22*(1-Q22)</f>
        <v>16398.975000000002</v>
      </c>
      <c r="U22" s="7">
        <f t="shared" si="0"/>
        <v>6842.4550000000017</v>
      </c>
      <c r="V22">
        <v>6842.46</v>
      </c>
      <c r="W22" s="12">
        <f t="shared" si="1"/>
        <v>0.4172489439126531</v>
      </c>
      <c r="X22" t="s">
        <v>32</v>
      </c>
      <c r="Y22" t="str">
        <f t="shared" si="2"/>
        <v>Paid</v>
      </c>
      <c r="Z22" t="s">
        <v>33</v>
      </c>
      <c r="AA22">
        <f>C22-B22</f>
        <v>-158</v>
      </c>
      <c r="AB22" t="str">
        <f>IF(B22="","Missing Order Date",
IF(C22="","Missing Ship Date","OK"))</f>
        <v>OK</v>
      </c>
      <c r="AC22" s="7" t="str">
        <f>IF(C22&lt;B22, "Invalid", "Valid")</f>
        <v>Invalid</v>
      </c>
      <c r="AD22" s="7" t="str">
        <f>IF(COUNTIF($A:$A, A22)&gt;1, "Duplicate", "Unique")</f>
        <v>Unique</v>
      </c>
      <c r="AE22" s="7" t="str">
        <f>IF(G22="","Unknown",G22)</f>
        <v>East</v>
      </c>
      <c r="AF22" s="7" t="str">
        <f>IF(M22="","Unknown",M22)</f>
        <v>First Class</v>
      </c>
      <c r="AG22" s="7" t="str">
        <f>IF(P22&lt;0,"Invalid",
IF(P22&gt;1,"Invalid","Valid"))</f>
        <v>Valid</v>
      </c>
      <c r="AH22" s="7" t="str">
        <f>TEXT(B22,"mmmm")</f>
        <v>January</v>
      </c>
      <c r="AI22" s="7">
        <f t="shared" si="3"/>
        <v>2025</v>
      </c>
      <c r="AJ22" s="7" t="str">
        <f>IF(OR(R22&lt;0,C22&lt;B22),"Invalid",
IF(OR(G22="Unknown",M22="Unknown"),"Warning","Clean"))</f>
        <v>Invalid</v>
      </c>
      <c r="AK22" s="7" t="str">
        <f>IF(C22&lt;B22,"Ship Before Order","OK")</f>
        <v>Ship Before Order</v>
      </c>
      <c r="AL22" s="7" t="str">
        <f>IF(ISNUMBER(B22),"Valid","Invalid")</f>
        <v>Valid</v>
      </c>
      <c r="AM22" s="7" t="str">
        <f t="shared" si="4"/>
        <v>Missmatched</v>
      </c>
      <c r="AN22" s="7" t="str">
        <f t="shared" si="5"/>
        <v>Missmatched</v>
      </c>
      <c r="AO22" s="8" t="s">
        <v>2815</v>
      </c>
      <c r="AP22">
        <f>COUNTIF(AJ2:AJ933, "Warning")</f>
        <v>0</v>
      </c>
    </row>
    <row r="23" spans="1:42">
      <c r="A23" t="s">
        <v>148</v>
      </c>
      <c r="B23" s="6">
        <v>45681</v>
      </c>
      <c r="C23" s="4">
        <v>45521</v>
      </c>
      <c r="D23" t="s">
        <v>149</v>
      </c>
      <c r="E23" t="s">
        <v>132</v>
      </c>
      <c r="F23" t="s">
        <v>24</v>
      </c>
      <c r="G23" t="s">
        <v>63</v>
      </c>
      <c r="H23" t="s">
        <v>72</v>
      </c>
      <c r="I23" t="s">
        <v>73</v>
      </c>
      <c r="J23" t="s">
        <v>41</v>
      </c>
      <c r="K23" t="s">
        <v>57</v>
      </c>
      <c r="L23" t="s">
        <v>150</v>
      </c>
      <c r="M23" t="s">
        <v>31</v>
      </c>
      <c r="N23">
        <v>4</v>
      </c>
      <c r="O23">
        <v>697.69</v>
      </c>
      <c r="P23">
        <v>-0.23</v>
      </c>
      <c r="Q23" s="7">
        <f>IF(P23="", 0, P23)</f>
        <v>-0.23</v>
      </c>
      <c r="R23">
        <v>2790.76</v>
      </c>
      <c r="S23">
        <v>2037.71</v>
      </c>
      <c r="T23" s="7">
        <f>N23*O23*(1-Q23)</f>
        <v>3432.6348000000003</v>
      </c>
      <c r="U23" s="7">
        <f t="shared" si="0"/>
        <v>1394.9248000000002</v>
      </c>
      <c r="V23">
        <v>753.05</v>
      </c>
      <c r="W23" s="12">
        <f t="shared" si="1"/>
        <v>0.40637145553613807</v>
      </c>
      <c r="X23" t="s">
        <v>32</v>
      </c>
      <c r="Y23" t="str">
        <f t="shared" si="2"/>
        <v>Paid</v>
      </c>
      <c r="Z23" t="s">
        <v>33</v>
      </c>
      <c r="AA23">
        <f>C23-B23</f>
        <v>-160</v>
      </c>
      <c r="AB23" t="str">
        <f>IF(B23="","Missing Order Date",
IF(C23="","Missing Ship Date","OK"))</f>
        <v>OK</v>
      </c>
      <c r="AC23" s="7" t="str">
        <f>IF(C23&lt;B23, "Invalid", "Valid")</f>
        <v>Invalid</v>
      </c>
      <c r="AD23" s="7" t="str">
        <f>IF(COUNTIF($A:$A, A23)&gt;1, "Duplicate", "Unique")</f>
        <v>Unique</v>
      </c>
      <c r="AE23" s="7" t="str">
        <f>IF(G23="","Unknown",G23)</f>
        <v>West</v>
      </c>
      <c r="AF23" s="7" t="str">
        <f>IF(M23="","Unknown",M23)</f>
        <v>Second Class</v>
      </c>
      <c r="AG23" s="7" t="str">
        <f>IF(P23&lt;0,"Invalid",
IF(P23&gt;1,"Invalid","Valid"))</f>
        <v>Invalid</v>
      </c>
      <c r="AH23" s="7" t="str">
        <f>TEXT(B23,"mmmm")</f>
        <v>January</v>
      </c>
      <c r="AI23" s="7">
        <f t="shared" si="3"/>
        <v>2025</v>
      </c>
      <c r="AJ23" s="7" t="str">
        <f>IF(OR(R23&lt;0,C23&lt;B23),"Invalid",
IF(OR(G23="Unknown",M23="Unknown"),"Warning","Clean"))</f>
        <v>Invalid</v>
      </c>
      <c r="AK23" s="7" t="str">
        <f>IF(C23&lt;B23,"Ship Before Order","OK")</f>
        <v>Ship Before Order</v>
      </c>
      <c r="AL23" s="7" t="str">
        <f>IF(ISNUMBER(B23),"Valid","Invalid")</f>
        <v>Valid</v>
      </c>
      <c r="AM23" s="7" t="str">
        <f t="shared" si="4"/>
        <v>Missmatched</v>
      </c>
      <c r="AN23" s="7" t="str">
        <f t="shared" si="5"/>
        <v>Missmatched</v>
      </c>
      <c r="AO23" s="8" t="s">
        <v>2816</v>
      </c>
      <c r="AP23">
        <f>COUNTIF(AJ2:AJ933,"Invalid")</f>
        <v>171</v>
      </c>
    </row>
    <row r="24" spans="1:42">
      <c r="A24" t="s">
        <v>151</v>
      </c>
      <c r="B24" s="6">
        <v>45676</v>
      </c>
      <c r="C24" s="4">
        <v>45522</v>
      </c>
      <c r="D24" t="s">
        <v>152</v>
      </c>
      <c r="E24" t="s">
        <v>36</v>
      </c>
      <c r="F24" t="s">
        <v>24</v>
      </c>
      <c r="G24" t="s">
        <v>54</v>
      </c>
      <c r="H24" t="s">
        <v>55</v>
      </c>
      <c r="I24" t="s">
        <v>56</v>
      </c>
      <c r="J24" t="s">
        <v>28</v>
      </c>
      <c r="K24" t="s">
        <v>153</v>
      </c>
      <c r="L24" t="s">
        <v>154</v>
      </c>
      <c r="M24" t="s">
        <v>59</v>
      </c>
      <c r="N24">
        <v>8</v>
      </c>
      <c r="O24">
        <v>1219.3399999999999</v>
      </c>
      <c r="P24">
        <v>0.15</v>
      </c>
      <c r="Q24" s="7">
        <f>IF(P24="", 0, P24)</f>
        <v>0.15</v>
      </c>
      <c r="R24">
        <v>8291.51</v>
      </c>
      <c r="S24">
        <v>6685.03</v>
      </c>
      <c r="T24" s="7">
        <f>N24*O24*(1-Q24)</f>
        <v>8291.5119999999988</v>
      </c>
      <c r="U24" s="7">
        <f t="shared" si="0"/>
        <v>1606.4819999999991</v>
      </c>
      <c r="V24">
        <v>1606.48</v>
      </c>
      <c r="W24" s="12">
        <f t="shared" si="1"/>
        <v>0.19375018693816029</v>
      </c>
      <c r="X24" t="s">
        <v>155</v>
      </c>
      <c r="Y24" t="str">
        <f t="shared" si="2"/>
        <v>Failed</v>
      </c>
      <c r="Z24" t="s">
        <v>103</v>
      </c>
      <c r="AA24">
        <f>C24-B24</f>
        <v>-154</v>
      </c>
      <c r="AB24" t="str">
        <f>IF(B24="","Missing Order Date",
IF(C24="","Missing Ship Date","OK"))</f>
        <v>OK</v>
      </c>
      <c r="AC24" s="7" t="str">
        <f>IF(C24&lt;B24, "Invalid", "Valid")</f>
        <v>Invalid</v>
      </c>
      <c r="AD24" s="7" t="str">
        <f>IF(COUNTIF($A:$A, A24)&gt;1, "Duplicate", "Unique")</f>
        <v>Unique</v>
      </c>
      <c r="AE24" s="7" t="str">
        <f>IF(G24="","Unknown",G24)</f>
        <v>South</v>
      </c>
      <c r="AF24" s="7" t="str">
        <f>IF(M24="","Unknown",M24)</f>
        <v>Standard Class</v>
      </c>
      <c r="AG24" s="7" t="str">
        <f>IF(P24&lt;0,"Invalid",
IF(P24&gt;1,"Invalid","Valid"))</f>
        <v>Valid</v>
      </c>
      <c r="AH24" s="7" t="str">
        <f>TEXT(B24,"mmmm")</f>
        <v>January</v>
      </c>
      <c r="AI24" s="7">
        <f t="shared" si="3"/>
        <v>2025</v>
      </c>
      <c r="AJ24" s="7" t="str">
        <f>IF(OR(R24&lt;0,C24&lt;B24),"Invalid",
IF(OR(G24="Unknown",M24="Unknown"),"Warning","Clean"))</f>
        <v>Invalid</v>
      </c>
      <c r="AK24" s="7" t="str">
        <f>IF(C24&lt;B24,"Ship Before Order","OK")</f>
        <v>Ship Before Order</v>
      </c>
      <c r="AL24" s="7" t="str">
        <f>IF(ISNUMBER(B24),"Valid","Invalid")</f>
        <v>Valid</v>
      </c>
      <c r="AM24" s="7" t="str">
        <f t="shared" si="4"/>
        <v>Missmatched</v>
      </c>
      <c r="AN24" s="7" t="str">
        <f t="shared" si="5"/>
        <v>Missmatched</v>
      </c>
      <c r="AO24" s="8" t="s">
        <v>2817</v>
      </c>
      <c r="AP24">
        <v>932</v>
      </c>
    </row>
    <row r="25" spans="1:42">
      <c r="A25" t="s">
        <v>156</v>
      </c>
      <c r="B25" s="6">
        <v>45898</v>
      </c>
      <c r="C25" s="4">
        <v>45523</v>
      </c>
      <c r="D25" t="s">
        <v>157</v>
      </c>
      <c r="E25" t="s">
        <v>118</v>
      </c>
      <c r="F25" t="s">
        <v>95</v>
      </c>
      <c r="G25" t="s">
        <v>38</v>
      </c>
      <c r="H25" t="s">
        <v>145</v>
      </c>
      <c r="I25" t="s">
        <v>146</v>
      </c>
      <c r="J25" t="s">
        <v>41</v>
      </c>
      <c r="K25" t="s">
        <v>158</v>
      </c>
      <c r="L25" t="s">
        <v>159</v>
      </c>
      <c r="M25" t="s">
        <v>50</v>
      </c>
      <c r="N25">
        <v>4</v>
      </c>
      <c r="O25">
        <v>1958.01</v>
      </c>
      <c r="P25">
        <v>0.2</v>
      </c>
      <c r="Q25" s="7">
        <f>IF(P25="", 0, P25)</f>
        <v>0.2</v>
      </c>
      <c r="R25">
        <v>6265.63</v>
      </c>
      <c r="S25">
        <v>4321.8599999999997</v>
      </c>
      <c r="T25" s="7">
        <f>N25*O25*(1-Q25)</f>
        <v>6265.6320000000005</v>
      </c>
      <c r="U25" s="7">
        <f t="shared" si="0"/>
        <v>1943.7720000000008</v>
      </c>
      <c r="V25">
        <v>1943.77</v>
      </c>
      <c r="W25" s="12">
        <f t="shared" si="1"/>
        <v>0.31022760353624351</v>
      </c>
      <c r="X25" t="s">
        <v>32</v>
      </c>
      <c r="Y25" t="str">
        <f t="shared" si="2"/>
        <v>Paid</v>
      </c>
      <c r="Z25" t="s">
        <v>33</v>
      </c>
      <c r="AA25">
        <f>C25-B25</f>
        <v>-375</v>
      </c>
      <c r="AB25" t="str">
        <f>IF(B25="","Missing Order Date",
IF(C25="","Missing Ship Date","OK"))</f>
        <v>OK</v>
      </c>
      <c r="AC25" s="7" t="str">
        <f>IF(C25&lt;B25, "Invalid", "Valid")</f>
        <v>Invalid</v>
      </c>
      <c r="AD25" s="7" t="str">
        <f>IF(COUNTIF($A:$A, A25)&gt;1, "Duplicate", "Unique")</f>
        <v>Unique</v>
      </c>
      <c r="AE25" s="7" t="str">
        <f>IF(G25="","Unknown",G25)</f>
        <v>East</v>
      </c>
      <c r="AF25" s="7" t="str">
        <f>IF(M25="","Unknown",M25)</f>
        <v>First Class</v>
      </c>
      <c r="AG25" s="7" t="str">
        <f>IF(P25&lt;0,"Invalid",
IF(P25&gt;1,"Invalid","Valid"))</f>
        <v>Valid</v>
      </c>
      <c r="AH25" s="7" t="str">
        <f>TEXT(B25,"mmmm")</f>
        <v>August</v>
      </c>
      <c r="AI25" s="7">
        <f t="shared" si="3"/>
        <v>2025</v>
      </c>
      <c r="AJ25" s="7" t="str">
        <f>IF(OR(R25&lt;0,C25&lt;B25),"Invalid",
IF(OR(G25="Unknown",M25="Unknown"),"Warning","Clean"))</f>
        <v>Invalid</v>
      </c>
      <c r="AK25" s="7" t="str">
        <f>IF(C25&lt;B25,"Ship Before Order","OK")</f>
        <v>Ship Before Order</v>
      </c>
      <c r="AL25" s="7" t="str">
        <f>IF(ISNUMBER(B25),"Valid","Invalid")</f>
        <v>Valid</v>
      </c>
      <c r="AM25" s="7" t="str">
        <f t="shared" si="4"/>
        <v>Missmatched</v>
      </c>
      <c r="AN25" s="7" t="str">
        <f t="shared" si="5"/>
        <v>Missmatched</v>
      </c>
    </row>
    <row r="26" spans="1:42">
      <c r="A26" t="s">
        <v>160</v>
      </c>
      <c r="B26" s="6">
        <v>45385</v>
      </c>
      <c r="C26" s="4">
        <v>45524</v>
      </c>
      <c r="D26" t="s">
        <v>161</v>
      </c>
      <c r="E26" t="s">
        <v>162</v>
      </c>
      <c r="F26" t="s">
        <v>24</v>
      </c>
      <c r="G26" t="s">
        <v>25</v>
      </c>
      <c r="H26" t="s">
        <v>122</v>
      </c>
      <c r="I26" t="s">
        <v>123</v>
      </c>
      <c r="J26" t="s">
        <v>28</v>
      </c>
      <c r="K26" t="s">
        <v>48</v>
      </c>
      <c r="L26" t="s">
        <v>163</v>
      </c>
      <c r="M26" t="s">
        <v>59</v>
      </c>
      <c r="N26">
        <v>4</v>
      </c>
      <c r="O26">
        <v>4492.9399999999996</v>
      </c>
      <c r="P26">
        <v>0.25</v>
      </c>
      <c r="Q26" s="7">
        <f>IF(P26="", 0, P26)</f>
        <v>0.25</v>
      </c>
      <c r="R26">
        <v>13478.82</v>
      </c>
      <c r="S26">
        <v>10937.35</v>
      </c>
      <c r="T26" s="7">
        <f>N26*O26*(1-Q26)</f>
        <v>13478.82</v>
      </c>
      <c r="U26" s="7">
        <f t="shared" si="0"/>
        <v>2541.4699999999993</v>
      </c>
      <c r="V26">
        <v>2541.4699999999998</v>
      </c>
      <c r="W26" s="12">
        <f t="shared" si="1"/>
        <v>0.18855285551702591</v>
      </c>
      <c r="X26" t="s">
        <v>111</v>
      </c>
      <c r="Y26" t="str">
        <f t="shared" si="2"/>
        <v>Pending</v>
      </c>
      <c r="Z26" t="s">
        <v>68</v>
      </c>
      <c r="AA26">
        <f>C26-B26</f>
        <v>139</v>
      </c>
      <c r="AB26" t="str">
        <f>IF(B26="","Missing Order Date",
IF(C26="","Missing Ship Date","OK"))</f>
        <v>OK</v>
      </c>
      <c r="AC26" s="7" t="str">
        <f>IF(C26&lt;B26, "Invalid", "Valid")</f>
        <v>Valid</v>
      </c>
      <c r="AD26" s="7" t="str">
        <f>IF(COUNTIF($A:$A, A26)&gt;1, "Duplicate", "Unique")</f>
        <v>Unique</v>
      </c>
      <c r="AE26" s="7" t="str">
        <f>IF(G26="","Unknown",G26)</f>
        <v>North</v>
      </c>
      <c r="AF26" s="7" t="str">
        <f>IF(M26="","Unknown",M26)</f>
        <v>Standard Class</v>
      </c>
      <c r="AG26" s="7" t="str">
        <f>IF(P26&lt;0,"Invalid",
IF(P26&gt;1,"Invalid","Valid"))</f>
        <v>Valid</v>
      </c>
      <c r="AH26" s="7" t="str">
        <f>TEXT(B26,"mmmm")</f>
        <v>April</v>
      </c>
      <c r="AI26" s="7">
        <f t="shared" si="3"/>
        <v>2024</v>
      </c>
      <c r="AJ26" s="7" t="str">
        <f>IF(OR(R26&lt;0,C26&lt;B26),"Invalid",
IF(OR(G26="Unknown",M26="Unknown"),"Warning","Clean"))</f>
        <v>Clean</v>
      </c>
      <c r="AK26" s="7" t="str">
        <f>IF(C26&lt;B26,"Ship Before Order","OK")</f>
        <v>OK</v>
      </c>
      <c r="AL26" s="7" t="str">
        <f>IF(ISNUMBER(B26),"Valid","Invalid")</f>
        <v>Valid</v>
      </c>
      <c r="AM26" s="7" t="str">
        <f t="shared" si="4"/>
        <v>Ok</v>
      </c>
      <c r="AN26" s="7" t="str">
        <f t="shared" si="5"/>
        <v>Ok</v>
      </c>
    </row>
    <row r="27" spans="1:42">
      <c r="A27" t="s">
        <v>164</v>
      </c>
      <c r="B27" s="6">
        <v>45576</v>
      </c>
      <c r="C27" s="4">
        <v>45525</v>
      </c>
      <c r="D27" t="s">
        <v>165</v>
      </c>
      <c r="E27" t="s">
        <v>53</v>
      </c>
      <c r="F27" t="s">
        <v>90</v>
      </c>
      <c r="G27" t="s">
        <v>38</v>
      </c>
      <c r="H27" t="s">
        <v>166</v>
      </c>
      <c r="I27" t="s">
        <v>167</v>
      </c>
      <c r="J27" t="s">
        <v>74</v>
      </c>
      <c r="K27" t="s">
        <v>75</v>
      </c>
      <c r="L27" t="s">
        <v>168</v>
      </c>
      <c r="M27" t="s">
        <v>50</v>
      </c>
      <c r="N27">
        <v>2</v>
      </c>
      <c r="O27">
        <v>4315.2</v>
      </c>
      <c r="P27">
        <v>0.15</v>
      </c>
      <c r="Q27" s="7">
        <f>IF(P27="", 0, P27)</f>
        <v>0.15</v>
      </c>
      <c r="R27">
        <v>7335.84</v>
      </c>
      <c r="S27">
        <v>4968.41</v>
      </c>
      <c r="T27" s="7">
        <f>N27*O27*(1-Q27)</f>
        <v>7335.8399999999992</v>
      </c>
      <c r="U27" s="7">
        <f t="shared" si="0"/>
        <v>2367.4299999999994</v>
      </c>
      <c r="V27">
        <v>2367.4299999999998</v>
      </c>
      <c r="W27" s="12">
        <f t="shared" si="1"/>
        <v>0.32272105171323251</v>
      </c>
      <c r="X27" t="s">
        <v>32</v>
      </c>
      <c r="Y27" t="str">
        <f t="shared" si="2"/>
        <v>Paid</v>
      </c>
      <c r="Z27" t="s">
        <v>33</v>
      </c>
      <c r="AA27">
        <f>C27-B27</f>
        <v>-51</v>
      </c>
      <c r="AB27" t="str">
        <f>IF(B27="","Missing Order Date",
IF(C27="","Missing Ship Date","OK"))</f>
        <v>OK</v>
      </c>
      <c r="AC27" s="7" t="str">
        <f>IF(C27&lt;B27, "Invalid", "Valid")</f>
        <v>Invalid</v>
      </c>
      <c r="AD27" s="7" t="str">
        <f>IF(COUNTIF($A:$A, A27)&gt;1, "Duplicate", "Unique")</f>
        <v>Unique</v>
      </c>
      <c r="AE27" s="7" t="str">
        <f>IF(G27="","Unknown",G27)</f>
        <v>East</v>
      </c>
      <c r="AF27" s="7" t="str">
        <f>IF(M27="","Unknown",M27)</f>
        <v>First Class</v>
      </c>
      <c r="AG27" s="7" t="str">
        <f>IF(P27&lt;0,"Invalid",
IF(P27&gt;1,"Invalid","Valid"))</f>
        <v>Valid</v>
      </c>
      <c r="AH27" s="7" t="str">
        <f>TEXT(B27,"mmmm")</f>
        <v>October</v>
      </c>
      <c r="AI27" s="7">
        <f t="shared" si="3"/>
        <v>2024</v>
      </c>
      <c r="AJ27" s="7" t="str">
        <f>IF(OR(R27&lt;0,C27&lt;B27),"Invalid",
IF(OR(G27="Unknown",M27="Unknown"),"Warning","Clean"))</f>
        <v>Invalid</v>
      </c>
      <c r="AK27" s="7" t="str">
        <f>IF(C27&lt;B27,"Ship Before Order","OK")</f>
        <v>Ship Before Order</v>
      </c>
      <c r="AL27" s="7" t="str">
        <f>IF(ISNUMBER(B27),"Valid","Invalid")</f>
        <v>Valid</v>
      </c>
      <c r="AM27" s="7" t="str">
        <f t="shared" si="4"/>
        <v>Ok</v>
      </c>
      <c r="AN27" s="7" t="str">
        <f t="shared" si="5"/>
        <v>Ok</v>
      </c>
    </row>
    <row r="28" spans="1:42">
      <c r="A28" t="s">
        <v>169</v>
      </c>
      <c r="B28" s="6">
        <v>45619</v>
      </c>
      <c r="C28" s="4">
        <v>45526</v>
      </c>
      <c r="D28" t="s">
        <v>170</v>
      </c>
      <c r="E28" t="s">
        <v>162</v>
      </c>
      <c r="F28" t="s">
        <v>90</v>
      </c>
      <c r="G28" t="s">
        <v>25</v>
      </c>
      <c r="H28" t="s">
        <v>136</v>
      </c>
      <c r="I28" t="s">
        <v>137</v>
      </c>
      <c r="J28" t="s">
        <v>74</v>
      </c>
      <c r="K28" t="s">
        <v>171</v>
      </c>
      <c r="L28" t="s">
        <v>172</v>
      </c>
      <c r="M28" t="s">
        <v>59</v>
      </c>
      <c r="N28">
        <v>4</v>
      </c>
      <c r="O28">
        <v>716.13</v>
      </c>
      <c r="P28">
        <v>0.1</v>
      </c>
      <c r="Q28" s="7">
        <f>IF(P28="", 0, P28)</f>
        <v>0.1</v>
      </c>
      <c r="R28">
        <v>2578.0700000000002</v>
      </c>
      <c r="S28">
        <v>1527.55</v>
      </c>
      <c r="T28" s="7">
        <f>N28*O28*(1-Q28)</f>
        <v>2578.0680000000002</v>
      </c>
      <c r="U28" s="7">
        <f t="shared" si="0"/>
        <v>1050.5180000000003</v>
      </c>
      <c r="V28">
        <v>1050.52</v>
      </c>
      <c r="W28" s="12">
        <f t="shared" si="1"/>
        <v>0.40748265755596835</v>
      </c>
      <c r="X28" t="s">
        <v>32</v>
      </c>
      <c r="Y28" t="str">
        <f t="shared" si="2"/>
        <v>Paid</v>
      </c>
      <c r="Z28" t="s">
        <v>103</v>
      </c>
      <c r="AA28">
        <f>C28-B28</f>
        <v>-93</v>
      </c>
      <c r="AB28" t="str">
        <f>IF(B28="","Missing Order Date",
IF(C28="","Missing Ship Date","OK"))</f>
        <v>OK</v>
      </c>
      <c r="AC28" s="7" t="str">
        <f>IF(C28&lt;B28, "Invalid", "Valid")</f>
        <v>Invalid</v>
      </c>
      <c r="AD28" s="7" t="str">
        <f>IF(COUNTIF($A:$A, A28)&gt;1, "Duplicate", "Unique")</f>
        <v>Unique</v>
      </c>
      <c r="AE28" s="7" t="str">
        <f>IF(G28="","Unknown",G28)</f>
        <v>North</v>
      </c>
      <c r="AF28" s="7" t="str">
        <f>IF(M28="","Unknown",M28)</f>
        <v>Standard Class</v>
      </c>
      <c r="AG28" s="7" t="str">
        <f>IF(P28&lt;0,"Invalid",
IF(P28&gt;1,"Invalid","Valid"))</f>
        <v>Valid</v>
      </c>
      <c r="AH28" s="7" t="str">
        <f>TEXT(B28,"mmmm")</f>
        <v>November</v>
      </c>
      <c r="AI28" s="7">
        <f t="shared" si="3"/>
        <v>2024</v>
      </c>
      <c r="AJ28" s="7" t="str">
        <f>IF(OR(R28&lt;0,C28&lt;B28),"Invalid",
IF(OR(G28="Unknown",M28="Unknown"),"Warning","Clean"))</f>
        <v>Invalid</v>
      </c>
      <c r="AK28" s="7" t="str">
        <f>IF(C28&lt;B28,"Ship Before Order","OK")</f>
        <v>Ship Before Order</v>
      </c>
      <c r="AL28" s="7" t="str">
        <f>IF(ISNUMBER(B28),"Valid","Invalid")</f>
        <v>Valid</v>
      </c>
      <c r="AM28" s="7" t="str">
        <f t="shared" si="4"/>
        <v>Missmatched</v>
      </c>
      <c r="AN28" s="7" t="str">
        <f t="shared" si="5"/>
        <v>Missmatched</v>
      </c>
    </row>
    <row r="29" spans="1:42">
      <c r="A29" t="s">
        <v>173</v>
      </c>
      <c r="B29" s="6">
        <v>45929</v>
      </c>
      <c r="C29" s="4">
        <v>45527</v>
      </c>
      <c r="D29" t="s">
        <v>174</v>
      </c>
      <c r="E29" t="s">
        <v>53</v>
      </c>
      <c r="F29" t="s">
        <v>37</v>
      </c>
      <c r="G29" t="s">
        <v>54</v>
      </c>
      <c r="H29" t="s">
        <v>175</v>
      </c>
      <c r="I29" t="s">
        <v>176</v>
      </c>
      <c r="J29" t="s">
        <v>28</v>
      </c>
      <c r="K29" t="s">
        <v>29</v>
      </c>
      <c r="L29" t="s">
        <v>177</v>
      </c>
      <c r="M29" t="s">
        <v>31</v>
      </c>
      <c r="N29">
        <v>5</v>
      </c>
      <c r="O29">
        <v>1806.51</v>
      </c>
      <c r="P29">
        <v>0.25</v>
      </c>
      <c r="Q29" s="7">
        <f>IF(P29="", 0, P29)</f>
        <v>0.25</v>
      </c>
      <c r="R29">
        <v>6774.41</v>
      </c>
      <c r="S29">
        <v>4710.3599999999997</v>
      </c>
      <c r="T29" s="7">
        <f>N29*O29*(1-Q29)</f>
        <v>6774.4124999999995</v>
      </c>
      <c r="U29" s="7">
        <f t="shared" si="0"/>
        <v>2064.0524999999998</v>
      </c>
      <c r="V29">
        <v>2064.0500000000002</v>
      </c>
      <c r="W29" s="12">
        <f t="shared" si="1"/>
        <v>0.30468361647596748</v>
      </c>
      <c r="X29" t="s">
        <v>155</v>
      </c>
      <c r="Y29" t="str">
        <f t="shared" si="2"/>
        <v>Failed</v>
      </c>
      <c r="Z29" t="s">
        <v>103</v>
      </c>
      <c r="AA29">
        <f>C29-B29</f>
        <v>-402</v>
      </c>
      <c r="AB29" t="str">
        <f>IF(B29="","Missing Order Date",
IF(C29="","Missing Ship Date","OK"))</f>
        <v>OK</v>
      </c>
      <c r="AC29" s="7" t="str">
        <f>IF(C29&lt;B29, "Invalid", "Valid")</f>
        <v>Invalid</v>
      </c>
      <c r="AD29" s="7" t="str">
        <f>IF(COUNTIF($A:$A, A29)&gt;1, "Duplicate", "Unique")</f>
        <v>Unique</v>
      </c>
      <c r="AE29" s="7" t="str">
        <f>IF(G29="","Unknown",G29)</f>
        <v>South</v>
      </c>
      <c r="AF29" s="7" t="str">
        <f>IF(M29="","Unknown",M29)</f>
        <v>Second Class</v>
      </c>
      <c r="AG29" s="7" t="str">
        <f>IF(P29&lt;0,"Invalid",
IF(P29&gt;1,"Invalid","Valid"))</f>
        <v>Valid</v>
      </c>
      <c r="AH29" s="7" t="str">
        <f>TEXT(B29,"mmmm")</f>
        <v>September</v>
      </c>
      <c r="AI29" s="7">
        <f t="shared" si="3"/>
        <v>2025</v>
      </c>
      <c r="AJ29" s="7" t="str">
        <f>IF(OR(R29&lt;0,C29&lt;B29),"Invalid",
IF(OR(G29="Unknown",M29="Unknown"),"Warning","Clean"))</f>
        <v>Invalid</v>
      </c>
      <c r="AK29" s="7" t="str">
        <f>IF(C29&lt;B29,"Ship Before Order","OK")</f>
        <v>Ship Before Order</v>
      </c>
      <c r="AL29" s="7" t="str">
        <f>IF(ISNUMBER(B29),"Valid","Invalid")</f>
        <v>Valid</v>
      </c>
      <c r="AM29" s="7" t="str">
        <f t="shared" si="4"/>
        <v>Missmatched</v>
      </c>
      <c r="AN29" s="7" t="str">
        <f t="shared" si="5"/>
        <v>Missmatched</v>
      </c>
    </row>
    <row r="30" spans="1:42">
      <c r="A30" t="s">
        <v>178</v>
      </c>
      <c r="B30" s="6">
        <v>45576</v>
      </c>
      <c r="C30" s="4">
        <v>45528</v>
      </c>
      <c r="D30" t="s">
        <v>179</v>
      </c>
      <c r="E30" t="s">
        <v>62</v>
      </c>
      <c r="F30" t="s">
        <v>95</v>
      </c>
      <c r="G30" t="s">
        <v>63</v>
      </c>
      <c r="H30" t="s">
        <v>180</v>
      </c>
      <c r="I30" t="s">
        <v>181</v>
      </c>
      <c r="J30" t="s">
        <v>74</v>
      </c>
      <c r="K30" t="s">
        <v>171</v>
      </c>
      <c r="L30" t="s">
        <v>182</v>
      </c>
      <c r="M30" t="s">
        <v>31</v>
      </c>
      <c r="N30">
        <v>2</v>
      </c>
      <c r="O30">
        <v>1942.22</v>
      </c>
      <c r="P30">
        <v>0.25</v>
      </c>
      <c r="Q30" s="7">
        <f>IF(P30="", 0, P30)</f>
        <v>0.25</v>
      </c>
      <c r="R30">
        <v>2913.33</v>
      </c>
      <c r="S30">
        <v>2122.33</v>
      </c>
      <c r="T30" s="7">
        <f>N30*O30*(1-Q30)</f>
        <v>2913.33</v>
      </c>
      <c r="U30" s="7">
        <f t="shared" si="0"/>
        <v>791</v>
      </c>
      <c r="V30">
        <v>791</v>
      </c>
      <c r="W30" s="12">
        <f t="shared" si="1"/>
        <v>0.27151060813570727</v>
      </c>
      <c r="X30" t="s">
        <v>102</v>
      </c>
      <c r="Y30" t="str">
        <f t="shared" si="2"/>
        <v>Refunded</v>
      </c>
      <c r="Z30" t="s">
        <v>68</v>
      </c>
      <c r="AA30">
        <f>C30-B30</f>
        <v>-48</v>
      </c>
      <c r="AB30" t="str">
        <f>IF(B30="","Missing Order Date",
IF(C30="","Missing Ship Date","OK"))</f>
        <v>OK</v>
      </c>
      <c r="AC30" s="7" t="str">
        <f>IF(C30&lt;B30, "Invalid", "Valid")</f>
        <v>Invalid</v>
      </c>
      <c r="AD30" s="7" t="str">
        <f>IF(COUNTIF($A:$A, A30)&gt;1, "Duplicate", "Unique")</f>
        <v>Unique</v>
      </c>
      <c r="AE30" s="7" t="str">
        <f>IF(G30="","Unknown",G30)</f>
        <v>West</v>
      </c>
      <c r="AF30" s="7" t="str">
        <f>IF(M30="","Unknown",M30)</f>
        <v>Second Class</v>
      </c>
      <c r="AG30" s="7" t="str">
        <f>IF(P30&lt;0,"Invalid",
IF(P30&gt;1,"Invalid","Valid"))</f>
        <v>Valid</v>
      </c>
      <c r="AH30" s="7" t="str">
        <f>TEXT(B30,"mmmm")</f>
        <v>October</v>
      </c>
      <c r="AI30" s="7">
        <f t="shared" si="3"/>
        <v>2024</v>
      </c>
      <c r="AJ30" s="7" t="str">
        <f>IF(OR(R30&lt;0,C30&lt;B30),"Invalid",
IF(OR(G30="Unknown",M30="Unknown"),"Warning","Clean"))</f>
        <v>Invalid</v>
      </c>
      <c r="AK30" s="7" t="str">
        <f>IF(C30&lt;B30,"Ship Before Order","OK")</f>
        <v>Ship Before Order</v>
      </c>
      <c r="AL30" s="7" t="str">
        <f>IF(ISNUMBER(B30),"Valid","Invalid")</f>
        <v>Valid</v>
      </c>
      <c r="AM30" s="7" t="str">
        <f t="shared" si="4"/>
        <v>Ok</v>
      </c>
      <c r="AN30" s="7" t="str">
        <f t="shared" si="5"/>
        <v>Ok</v>
      </c>
    </row>
    <row r="31" spans="1:42">
      <c r="A31" t="s">
        <v>183</v>
      </c>
      <c r="B31" s="6">
        <v>45882</v>
      </c>
      <c r="C31" s="4">
        <v>45529</v>
      </c>
      <c r="D31" t="s">
        <v>184</v>
      </c>
      <c r="E31" t="s">
        <v>141</v>
      </c>
      <c r="F31" t="s">
        <v>95</v>
      </c>
      <c r="G31" t="s">
        <v>54</v>
      </c>
      <c r="H31" t="s">
        <v>185</v>
      </c>
      <c r="I31" t="s">
        <v>186</v>
      </c>
      <c r="J31" t="s">
        <v>74</v>
      </c>
      <c r="K31" t="s">
        <v>171</v>
      </c>
      <c r="L31" t="s">
        <v>187</v>
      </c>
      <c r="M31" t="s">
        <v>59</v>
      </c>
      <c r="N31">
        <v>1</v>
      </c>
      <c r="O31">
        <v>256.01</v>
      </c>
      <c r="P31">
        <v>0.15</v>
      </c>
      <c r="Q31" s="7">
        <f>IF(P31="", 0, P31)</f>
        <v>0.15</v>
      </c>
      <c r="R31">
        <v>217.61</v>
      </c>
      <c r="S31">
        <v>119.77</v>
      </c>
      <c r="T31" s="7">
        <f>N31*O31*(1-Q31)</f>
        <v>217.60849999999999</v>
      </c>
      <c r="U31" s="7">
        <f t="shared" si="0"/>
        <v>97.838499999999996</v>
      </c>
      <c r="V31">
        <v>97.84</v>
      </c>
      <c r="W31" s="12">
        <f t="shared" si="1"/>
        <v>0.44960789675035673</v>
      </c>
      <c r="X31" t="s">
        <v>32</v>
      </c>
      <c r="Y31" t="str">
        <f t="shared" si="2"/>
        <v>Paid</v>
      </c>
      <c r="Z31" t="s">
        <v>33</v>
      </c>
      <c r="AA31">
        <f>C31-B31</f>
        <v>-353</v>
      </c>
      <c r="AB31" t="str">
        <f>IF(B31="","Missing Order Date",
IF(C31="","Missing Ship Date","OK"))</f>
        <v>OK</v>
      </c>
      <c r="AC31" s="7" t="str">
        <f>IF(C31&lt;B31, "Invalid", "Valid")</f>
        <v>Invalid</v>
      </c>
      <c r="AD31" s="7" t="str">
        <f>IF(COUNTIF($A:$A, A31)&gt;1, "Duplicate", "Unique")</f>
        <v>Unique</v>
      </c>
      <c r="AE31" s="7" t="str">
        <f>IF(G31="","Unknown",G31)</f>
        <v>South</v>
      </c>
      <c r="AF31" s="7" t="str">
        <f>IF(M31="","Unknown",M31)</f>
        <v>Standard Class</v>
      </c>
      <c r="AG31" s="7" t="str">
        <f>IF(P31&lt;0,"Invalid",
IF(P31&gt;1,"Invalid","Valid"))</f>
        <v>Valid</v>
      </c>
      <c r="AH31" s="7" t="str">
        <f>TEXT(B31,"mmmm")</f>
        <v>August</v>
      </c>
      <c r="AI31" s="7">
        <f t="shared" si="3"/>
        <v>2025</v>
      </c>
      <c r="AJ31" s="7" t="str">
        <f>IF(OR(R31&lt;0,C31&lt;B31),"Invalid",
IF(OR(G31="Unknown",M31="Unknown"),"Warning","Clean"))</f>
        <v>Invalid</v>
      </c>
      <c r="AK31" s="7" t="str">
        <f>IF(C31&lt;B31,"Ship Before Order","OK")</f>
        <v>Ship Before Order</v>
      </c>
      <c r="AL31" s="7" t="str">
        <f>IF(ISNUMBER(B31),"Valid","Invalid")</f>
        <v>Valid</v>
      </c>
      <c r="AM31" s="7" t="str">
        <f t="shared" si="4"/>
        <v>Missmatched</v>
      </c>
      <c r="AN31" s="7" t="str">
        <f t="shared" si="5"/>
        <v>Missmatched</v>
      </c>
    </row>
    <row r="32" spans="1:42">
      <c r="A32" t="s">
        <v>188</v>
      </c>
      <c r="B32" s="6">
        <v>45537</v>
      </c>
      <c r="C32" s="4">
        <v>45530</v>
      </c>
      <c r="D32" t="s">
        <v>189</v>
      </c>
      <c r="E32" t="s">
        <v>62</v>
      </c>
      <c r="F32" t="s">
        <v>90</v>
      </c>
      <c r="G32" t="s">
        <v>63</v>
      </c>
      <c r="H32" t="s">
        <v>190</v>
      </c>
      <c r="I32" t="s">
        <v>191</v>
      </c>
      <c r="J32" t="s">
        <v>28</v>
      </c>
      <c r="K32" t="s">
        <v>91</v>
      </c>
      <c r="L32" t="s">
        <v>192</v>
      </c>
      <c r="M32" t="s">
        <v>50</v>
      </c>
      <c r="N32">
        <v>1</v>
      </c>
      <c r="O32">
        <v>3421.77</v>
      </c>
      <c r="P32">
        <v>0.1</v>
      </c>
      <c r="Q32" s="7">
        <f>IF(P32="", 0, P32)</f>
        <v>0.1</v>
      </c>
      <c r="R32">
        <v>3079.59</v>
      </c>
      <c r="S32">
        <v>2001.89</v>
      </c>
      <c r="T32" s="7">
        <f>N32*O32*(1-Q32)</f>
        <v>3079.5929999999998</v>
      </c>
      <c r="U32" s="7">
        <f t="shared" si="0"/>
        <v>1077.7029999999997</v>
      </c>
      <c r="V32">
        <v>1077.7</v>
      </c>
      <c r="W32" s="12">
        <f t="shared" si="1"/>
        <v>0.34994981479695525</v>
      </c>
      <c r="X32" t="s">
        <v>32</v>
      </c>
      <c r="Y32" t="str">
        <f t="shared" si="2"/>
        <v>Paid</v>
      </c>
      <c r="Z32" t="s">
        <v>33</v>
      </c>
      <c r="AA32">
        <f>C32-B32</f>
        <v>-7</v>
      </c>
      <c r="AB32" t="str">
        <f>IF(B32="","Missing Order Date",
IF(C32="","Missing Ship Date","OK"))</f>
        <v>OK</v>
      </c>
      <c r="AC32" s="7" t="str">
        <f>IF(C32&lt;B32, "Invalid", "Valid")</f>
        <v>Invalid</v>
      </c>
      <c r="AD32" s="7" t="str">
        <f>IF(COUNTIF($A:$A, A32)&gt;1, "Duplicate", "Unique")</f>
        <v>Unique</v>
      </c>
      <c r="AE32" s="7" t="str">
        <f>IF(G32="","Unknown",G32)</f>
        <v>West</v>
      </c>
      <c r="AF32" s="7" t="str">
        <f>IF(M32="","Unknown",M32)</f>
        <v>First Class</v>
      </c>
      <c r="AG32" s="7" t="str">
        <f>IF(P32&lt;0,"Invalid",
IF(P32&gt;1,"Invalid","Valid"))</f>
        <v>Valid</v>
      </c>
      <c r="AH32" s="7" t="str">
        <f>TEXT(B32,"mmmm")</f>
        <v>September</v>
      </c>
      <c r="AI32" s="7">
        <f t="shared" si="3"/>
        <v>2024</v>
      </c>
      <c r="AJ32" s="7" t="str">
        <f>IF(OR(R32&lt;0,C32&lt;B32),"Invalid",
IF(OR(G32="Unknown",M32="Unknown"),"Warning","Clean"))</f>
        <v>Invalid</v>
      </c>
      <c r="AK32" s="7" t="str">
        <f>IF(C32&lt;B32,"Ship Before Order","OK")</f>
        <v>Ship Before Order</v>
      </c>
      <c r="AL32" s="7" t="str">
        <f>IF(ISNUMBER(B32),"Valid","Invalid")</f>
        <v>Valid</v>
      </c>
      <c r="AM32" s="7" t="str">
        <f t="shared" si="4"/>
        <v>Missmatched</v>
      </c>
      <c r="AN32" s="7" t="str">
        <f t="shared" si="5"/>
        <v>Missmatched</v>
      </c>
    </row>
    <row r="33" spans="1:40">
      <c r="A33" t="s">
        <v>193</v>
      </c>
      <c r="B33" s="6">
        <v>45823</v>
      </c>
      <c r="C33" s="4">
        <v>45531</v>
      </c>
      <c r="D33" t="s">
        <v>194</v>
      </c>
      <c r="E33" t="s">
        <v>23</v>
      </c>
      <c r="F33" t="s">
        <v>37</v>
      </c>
      <c r="G33" t="s">
        <v>63</v>
      </c>
      <c r="H33" t="s">
        <v>72</v>
      </c>
      <c r="I33" t="s">
        <v>73</v>
      </c>
      <c r="J33" t="s">
        <v>28</v>
      </c>
      <c r="K33" t="s">
        <v>29</v>
      </c>
      <c r="L33" t="s">
        <v>195</v>
      </c>
      <c r="M33" t="s">
        <v>31</v>
      </c>
      <c r="N33">
        <v>9</v>
      </c>
      <c r="O33">
        <v>3092.55</v>
      </c>
      <c r="P33">
        <v>0</v>
      </c>
      <c r="Q33" s="7">
        <f>IF(P33="", 0, P33)</f>
        <v>0</v>
      </c>
      <c r="R33">
        <v>27832.95</v>
      </c>
      <c r="S33">
        <v>17769.75</v>
      </c>
      <c r="T33" s="7">
        <f>N33*O33*(1-Q33)</f>
        <v>27832.95</v>
      </c>
      <c r="U33" s="7">
        <f t="shared" si="0"/>
        <v>10063.200000000001</v>
      </c>
      <c r="V33">
        <v>10063.200000000001</v>
      </c>
      <c r="W33" s="12">
        <f t="shared" si="1"/>
        <v>0.36155707533696574</v>
      </c>
      <c r="X33" t="s">
        <v>155</v>
      </c>
      <c r="Y33" t="str">
        <f t="shared" si="2"/>
        <v>Failed</v>
      </c>
      <c r="Z33" t="s">
        <v>103</v>
      </c>
      <c r="AA33">
        <f>C33-B33</f>
        <v>-292</v>
      </c>
      <c r="AB33" t="str">
        <f>IF(B33="","Missing Order Date",
IF(C33="","Missing Ship Date","OK"))</f>
        <v>OK</v>
      </c>
      <c r="AC33" s="7" t="str">
        <f>IF(C33&lt;B33, "Invalid", "Valid")</f>
        <v>Invalid</v>
      </c>
      <c r="AD33" s="7" t="str">
        <f>IF(COUNTIF($A:$A, A33)&gt;1, "Duplicate", "Unique")</f>
        <v>Unique</v>
      </c>
      <c r="AE33" s="7" t="str">
        <f>IF(G33="","Unknown",G33)</f>
        <v>West</v>
      </c>
      <c r="AF33" s="7" t="str">
        <f>IF(M33="","Unknown",M33)</f>
        <v>Second Class</v>
      </c>
      <c r="AG33" s="7" t="str">
        <f>IF(P33&lt;0,"Invalid",
IF(P33&gt;1,"Invalid","Valid"))</f>
        <v>Valid</v>
      </c>
      <c r="AH33" s="7" t="str">
        <f>TEXT(B33,"mmmm")</f>
        <v>June</v>
      </c>
      <c r="AI33" s="7">
        <f t="shared" si="3"/>
        <v>2025</v>
      </c>
      <c r="AJ33" s="7" t="str">
        <f>IF(OR(R33&lt;0,C33&lt;B33),"Invalid",
IF(OR(G33="Unknown",M33="Unknown"),"Warning","Clean"))</f>
        <v>Invalid</v>
      </c>
      <c r="AK33" s="7" t="str">
        <f>IF(C33&lt;B33,"Ship Before Order","OK")</f>
        <v>Ship Before Order</v>
      </c>
      <c r="AL33" s="7" t="str">
        <f>IF(ISNUMBER(B33),"Valid","Invalid")</f>
        <v>Valid</v>
      </c>
      <c r="AM33" s="7" t="str">
        <f t="shared" si="4"/>
        <v>Ok</v>
      </c>
      <c r="AN33" s="7" t="str">
        <f t="shared" si="5"/>
        <v>Ok</v>
      </c>
    </row>
    <row r="34" spans="1:40">
      <c r="A34" t="s">
        <v>196</v>
      </c>
      <c r="B34" s="6">
        <v>45618</v>
      </c>
      <c r="C34" s="4">
        <v>45532</v>
      </c>
      <c r="D34" t="s">
        <v>197</v>
      </c>
      <c r="E34" t="s">
        <v>128</v>
      </c>
      <c r="F34" t="s">
        <v>90</v>
      </c>
      <c r="G34" t="s">
        <v>54</v>
      </c>
      <c r="H34" t="s">
        <v>84</v>
      </c>
      <c r="I34" t="s">
        <v>85</v>
      </c>
      <c r="J34" t="s">
        <v>74</v>
      </c>
      <c r="K34" t="s">
        <v>171</v>
      </c>
      <c r="L34" t="s">
        <v>198</v>
      </c>
      <c r="M34" t="s">
        <v>31</v>
      </c>
      <c r="N34">
        <v>3</v>
      </c>
      <c r="O34">
        <v>4001.25</v>
      </c>
      <c r="Q34" s="7">
        <f>IF(P34="", 0, P34)</f>
        <v>0</v>
      </c>
      <c r="R34">
        <v>9002.81</v>
      </c>
      <c r="S34">
        <v>7529.92</v>
      </c>
      <c r="T34" s="7">
        <f>N34*O34*(1-Q34)</f>
        <v>12003.75</v>
      </c>
      <c r="U34" s="7">
        <f t="shared" si="0"/>
        <v>4473.83</v>
      </c>
      <c r="V34">
        <v>1472.89</v>
      </c>
      <c r="W34" s="12">
        <f t="shared" si="1"/>
        <v>0.37270269707383108</v>
      </c>
      <c r="X34" t="s">
        <v>32</v>
      </c>
      <c r="Y34" t="str">
        <f t="shared" si="2"/>
        <v>Paid</v>
      </c>
      <c r="Z34" t="s">
        <v>33</v>
      </c>
      <c r="AA34">
        <f>C34-B34</f>
        <v>-86</v>
      </c>
      <c r="AB34" t="str">
        <f>IF(B34="","Missing Order Date",
IF(C34="","Missing Ship Date","OK"))</f>
        <v>OK</v>
      </c>
      <c r="AC34" s="7" t="str">
        <f>IF(C34&lt;B34, "Invalid", "Valid")</f>
        <v>Invalid</v>
      </c>
      <c r="AD34" s="7" t="str">
        <f>IF(COUNTIF($A:$A, A34)&gt;1, "Duplicate", "Unique")</f>
        <v>Unique</v>
      </c>
      <c r="AE34" s="7" t="str">
        <f>IF(G34="","Unknown",G34)</f>
        <v>South</v>
      </c>
      <c r="AF34" s="7" t="str">
        <f>IF(M34="","Unknown",M34)</f>
        <v>Second Class</v>
      </c>
      <c r="AG34" s="7" t="str">
        <f>IF(P34&lt;0,"Invalid",
IF(P34&gt;1,"Invalid","Valid"))</f>
        <v>Valid</v>
      </c>
      <c r="AH34" s="7" t="str">
        <f>TEXT(B34,"mmmm")</f>
        <v>November</v>
      </c>
      <c r="AI34" s="7">
        <f t="shared" si="3"/>
        <v>2024</v>
      </c>
      <c r="AJ34" s="7" t="str">
        <f>IF(OR(R34&lt;0,C34&lt;B34),"Invalid",
IF(OR(G34="Unknown",M34="Unknown"),"Warning","Clean"))</f>
        <v>Invalid</v>
      </c>
      <c r="AK34" s="7" t="str">
        <f>IF(C34&lt;B34,"Ship Before Order","OK")</f>
        <v>Ship Before Order</v>
      </c>
      <c r="AL34" s="7" t="str">
        <f>IF(ISNUMBER(B34),"Valid","Invalid")</f>
        <v>Valid</v>
      </c>
      <c r="AM34" s="7" t="str">
        <f t="shared" si="4"/>
        <v>Missmatched</v>
      </c>
      <c r="AN34" s="7" t="str">
        <f t="shared" si="5"/>
        <v>Missmatched</v>
      </c>
    </row>
    <row r="35" spans="1:40">
      <c r="A35" t="s">
        <v>199</v>
      </c>
      <c r="B35" s="6">
        <v>45495</v>
      </c>
      <c r="C35" s="4">
        <v>45533</v>
      </c>
      <c r="D35" t="s">
        <v>200</v>
      </c>
      <c r="E35" t="s">
        <v>114</v>
      </c>
      <c r="F35" t="s">
        <v>95</v>
      </c>
      <c r="G35" t="s">
        <v>63</v>
      </c>
      <c r="H35" t="s">
        <v>190</v>
      </c>
      <c r="I35" t="s">
        <v>191</v>
      </c>
      <c r="J35" t="s">
        <v>41</v>
      </c>
      <c r="K35" t="s">
        <v>42</v>
      </c>
      <c r="L35" t="s">
        <v>201</v>
      </c>
      <c r="M35" t="s">
        <v>44</v>
      </c>
      <c r="N35">
        <v>7</v>
      </c>
      <c r="O35">
        <v>492.41</v>
      </c>
      <c r="P35">
        <v>0.25</v>
      </c>
      <c r="Q35" s="7">
        <f>IF(P35="", 0, P35)</f>
        <v>0.25</v>
      </c>
      <c r="R35">
        <v>2585.15</v>
      </c>
      <c r="S35">
        <v>2070.73</v>
      </c>
      <c r="T35" s="7">
        <f>N35*O35*(1-Q35)</f>
        <v>2585.1525000000001</v>
      </c>
      <c r="U35" s="7">
        <f t="shared" si="0"/>
        <v>514.42250000000013</v>
      </c>
      <c r="V35">
        <v>514.41999999999996</v>
      </c>
      <c r="W35" s="12">
        <f t="shared" si="1"/>
        <v>0.19899116203009304</v>
      </c>
      <c r="X35" t="s">
        <v>32</v>
      </c>
      <c r="Y35" t="str">
        <f t="shared" si="2"/>
        <v>Paid</v>
      </c>
      <c r="Z35" t="s">
        <v>33</v>
      </c>
      <c r="AA35">
        <f>C35-B35</f>
        <v>38</v>
      </c>
      <c r="AB35" t="str">
        <f>IF(B35="","Missing Order Date",
IF(C35="","Missing Ship Date","OK"))</f>
        <v>OK</v>
      </c>
      <c r="AC35" s="7" t="str">
        <f>IF(C35&lt;B35, "Invalid", "Valid")</f>
        <v>Valid</v>
      </c>
      <c r="AD35" s="7" t="str">
        <f>IF(COUNTIF($A:$A, A35)&gt;1, "Duplicate", "Unique")</f>
        <v>Unique</v>
      </c>
      <c r="AE35" s="7" t="str">
        <f>IF(G35="","Unknown",G35)</f>
        <v>West</v>
      </c>
      <c r="AF35" s="7" t="str">
        <f>IF(M35="","Unknown",M35)</f>
        <v>Same Day</v>
      </c>
      <c r="AG35" s="7" t="str">
        <f>IF(P35&lt;0,"Invalid",
IF(P35&gt;1,"Invalid","Valid"))</f>
        <v>Valid</v>
      </c>
      <c r="AH35" s="7" t="str">
        <f>TEXT(B35,"mmmm")</f>
        <v>July</v>
      </c>
      <c r="AI35" s="7">
        <f t="shared" si="3"/>
        <v>2024</v>
      </c>
      <c r="AJ35" s="7" t="str">
        <f>IF(OR(R35&lt;0,C35&lt;B35),"Invalid",
IF(OR(G35="Unknown",M35="Unknown"),"Warning","Clean"))</f>
        <v>Clean</v>
      </c>
      <c r="AK35" s="7" t="str">
        <f>IF(C35&lt;B35,"Ship Before Order","OK")</f>
        <v>OK</v>
      </c>
      <c r="AL35" s="7" t="str">
        <f>IF(ISNUMBER(B35),"Valid","Invalid")</f>
        <v>Valid</v>
      </c>
      <c r="AM35" s="7" t="str">
        <f t="shared" si="4"/>
        <v>Missmatched</v>
      </c>
      <c r="AN35" s="7" t="str">
        <f t="shared" si="5"/>
        <v>Missmatched</v>
      </c>
    </row>
    <row r="36" spans="1:40">
      <c r="A36" t="s">
        <v>202</v>
      </c>
      <c r="B36" s="6">
        <v>45688</v>
      </c>
      <c r="C36" s="4">
        <v>45534</v>
      </c>
      <c r="D36" t="s">
        <v>203</v>
      </c>
      <c r="E36" t="s">
        <v>114</v>
      </c>
      <c r="F36" t="s">
        <v>95</v>
      </c>
      <c r="G36" t="s">
        <v>38</v>
      </c>
      <c r="H36" t="s">
        <v>99</v>
      </c>
      <c r="I36" t="s">
        <v>100</v>
      </c>
      <c r="J36" t="s">
        <v>41</v>
      </c>
      <c r="K36" t="s">
        <v>66</v>
      </c>
      <c r="L36" t="s">
        <v>204</v>
      </c>
      <c r="M36" t="s">
        <v>2785</v>
      </c>
      <c r="N36">
        <v>2</v>
      </c>
      <c r="O36">
        <v>4159.6899999999996</v>
      </c>
      <c r="P36">
        <v>0.2</v>
      </c>
      <c r="Q36" s="7">
        <f>IF(P36="", 0, P36)</f>
        <v>0.2</v>
      </c>
      <c r="R36">
        <v>6655.5</v>
      </c>
      <c r="S36">
        <v>4340.21</v>
      </c>
      <c r="T36" s="7">
        <f>N36*O36*(1-Q36)</f>
        <v>6655.5039999999999</v>
      </c>
      <c r="U36" s="7">
        <f t="shared" si="0"/>
        <v>2315.2939999999999</v>
      </c>
      <c r="V36">
        <v>2607.3200000000002</v>
      </c>
      <c r="W36" s="12">
        <f t="shared" si="1"/>
        <v>0.34787658455317583</v>
      </c>
      <c r="X36" t="s">
        <v>32</v>
      </c>
      <c r="Y36" t="str">
        <f t="shared" si="2"/>
        <v>Paid</v>
      </c>
      <c r="Z36" t="s">
        <v>33</v>
      </c>
      <c r="AA36">
        <f>C36-B36</f>
        <v>-154</v>
      </c>
      <c r="AB36" t="str">
        <f>IF(B36="","Missing Order Date",
IF(C36="","Missing Ship Date","OK"))</f>
        <v>OK</v>
      </c>
      <c r="AC36" s="7" t="str">
        <f>IF(C36&lt;B36, "Invalid", "Valid")</f>
        <v>Invalid</v>
      </c>
      <c r="AD36" s="7" t="str">
        <f>IF(COUNTIF($A:$A, A36)&gt;1, "Duplicate", "Unique")</f>
        <v>Unique</v>
      </c>
      <c r="AE36" s="7" t="str">
        <f>IF(G36="","Unknown",G36)</f>
        <v>East</v>
      </c>
      <c r="AF36" s="7" t="str">
        <f>IF(M36="","Unknown",M36)</f>
        <v>Unknown</v>
      </c>
      <c r="AG36" s="7" t="str">
        <f>IF(P36&lt;0,"Invalid",
IF(P36&gt;1,"Invalid","Valid"))</f>
        <v>Valid</v>
      </c>
      <c r="AH36" s="7" t="str">
        <f>TEXT(B36,"mmmm")</f>
        <v>January</v>
      </c>
      <c r="AI36" s="7">
        <f t="shared" si="3"/>
        <v>2025</v>
      </c>
      <c r="AJ36" s="7" t="str">
        <f>IF(OR(R36&lt;0,C36&lt;B36),"Invalid",
IF(OR(G36="Unknown",M36="Unknown"),"Warning","Clean"))</f>
        <v>Invalid</v>
      </c>
      <c r="AK36" s="7" t="str">
        <f>IF(C36&lt;B36,"Ship Before Order","OK")</f>
        <v>Ship Before Order</v>
      </c>
      <c r="AL36" s="7" t="str">
        <f>IF(ISNUMBER(B36),"Valid","Invalid")</f>
        <v>Valid</v>
      </c>
      <c r="AM36" s="7" t="str">
        <f t="shared" si="4"/>
        <v>Missmatched</v>
      </c>
      <c r="AN36" s="7" t="str">
        <f t="shared" si="5"/>
        <v>Missmatched</v>
      </c>
    </row>
    <row r="37" spans="1:40">
      <c r="A37" t="s">
        <v>205</v>
      </c>
      <c r="B37" s="6">
        <v>45441</v>
      </c>
      <c r="C37" s="4">
        <v>45535</v>
      </c>
      <c r="D37" t="s">
        <v>206</v>
      </c>
      <c r="E37" t="s">
        <v>132</v>
      </c>
      <c r="F37" t="s">
        <v>37</v>
      </c>
      <c r="G37" t="s">
        <v>63</v>
      </c>
      <c r="H37" t="s">
        <v>180</v>
      </c>
      <c r="I37" t="s">
        <v>181</v>
      </c>
      <c r="J37" t="s">
        <v>41</v>
      </c>
      <c r="K37" t="s">
        <v>158</v>
      </c>
      <c r="L37" t="s">
        <v>207</v>
      </c>
      <c r="M37" t="s">
        <v>31</v>
      </c>
      <c r="N37">
        <v>8</v>
      </c>
      <c r="O37">
        <v>2507.12</v>
      </c>
      <c r="P37">
        <v>0.05</v>
      </c>
      <c r="Q37" s="7">
        <f>IF(P37="", 0, P37)</f>
        <v>0.05</v>
      </c>
      <c r="R37">
        <v>19054.11</v>
      </c>
      <c r="S37">
        <v>15313.83</v>
      </c>
      <c r="T37" s="7">
        <f>N37*O37*(1-Q37)</f>
        <v>19054.111999999997</v>
      </c>
      <c r="U37" s="7">
        <f t="shared" si="0"/>
        <v>3740.2819999999974</v>
      </c>
      <c r="V37">
        <v>3740.28</v>
      </c>
      <c r="W37" s="12">
        <f t="shared" si="1"/>
        <v>0.19629789097492437</v>
      </c>
      <c r="X37" t="s">
        <v>111</v>
      </c>
      <c r="Y37" t="str">
        <f t="shared" si="2"/>
        <v>Pending</v>
      </c>
      <c r="Z37" t="s">
        <v>103</v>
      </c>
      <c r="AA37">
        <f>C37-B37</f>
        <v>94</v>
      </c>
      <c r="AB37" t="str">
        <f>IF(B37="","Missing Order Date",
IF(C37="","Missing Ship Date","OK"))</f>
        <v>OK</v>
      </c>
      <c r="AC37" s="7" t="str">
        <f>IF(C37&lt;B37, "Invalid", "Valid")</f>
        <v>Valid</v>
      </c>
      <c r="AD37" s="7" t="str">
        <f>IF(COUNTIF($A:$A, A37)&gt;1, "Duplicate", "Unique")</f>
        <v>Unique</v>
      </c>
      <c r="AE37" s="7" t="str">
        <f>IF(G37="","Unknown",G37)</f>
        <v>West</v>
      </c>
      <c r="AF37" s="7" t="str">
        <f>IF(M37="","Unknown",M37)</f>
        <v>Second Class</v>
      </c>
      <c r="AG37" s="7" t="str">
        <f>IF(P37&lt;0,"Invalid",
IF(P37&gt;1,"Invalid","Valid"))</f>
        <v>Valid</v>
      </c>
      <c r="AH37" s="7" t="str">
        <f>TEXT(B37,"mmmm")</f>
        <v>May</v>
      </c>
      <c r="AI37" s="7">
        <f t="shared" si="3"/>
        <v>2024</v>
      </c>
      <c r="AJ37" s="7" t="str">
        <f>IF(OR(R37&lt;0,C37&lt;B37),"Invalid",
IF(OR(G37="Unknown",M37="Unknown"),"Warning","Clean"))</f>
        <v>Clean</v>
      </c>
      <c r="AK37" s="7" t="str">
        <f>IF(C37&lt;B37,"Ship Before Order","OK")</f>
        <v>OK</v>
      </c>
      <c r="AL37" s="7" t="str">
        <f>IF(ISNUMBER(B37),"Valid","Invalid")</f>
        <v>Valid</v>
      </c>
      <c r="AM37" s="7" t="str">
        <f t="shared" si="4"/>
        <v>Missmatched</v>
      </c>
      <c r="AN37" s="7" t="str">
        <f t="shared" si="5"/>
        <v>Missmatched</v>
      </c>
    </row>
    <row r="38" spans="1:40">
      <c r="A38" t="s">
        <v>208</v>
      </c>
      <c r="B38" s="6">
        <v>45590</v>
      </c>
      <c r="C38" s="4">
        <v>45536</v>
      </c>
      <c r="D38" t="s">
        <v>209</v>
      </c>
      <c r="E38" t="s">
        <v>141</v>
      </c>
      <c r="F38" t="s">
        <v>90</v>
      </c>
      <c r="G38" t="s">
        <v>63</v>
      </c>
      <c r="H38" t="s">
        <v>64</v>
      </c>
      <c r="I38" t="s">
        <v>65</v>
      </c>
      <c r="J38" t="s">
        <v>41</v>
      </c>
      <c r="K38" t="s">
        <v>158</v>
      </c>
      <c r="L38" t="s">
        <v>210</v>
      </c>
      <c r="M38" t="s">
        <v>31</v>
      </c>
      <c r="N38">
        <v>3</v>
      </c>
      <c r="O38">
        <v>3126.47</v>
      </c>
      <c r="P38">
        <v>0</v>
      </c>
      <c r="Q38" s="7">
        <f>IF(P38="", 0, P38)</f>
        <v>0</v>
      </c>
      <c r="R38">
        <v>9379.41</v>
      </c>
      <c r="S38">
        <v>6670.85</v>
      </c>
      <c r="T38" s="7">
        <f>N38*O38*(1-Q38)</f>
        <v>9379.41</v>
      </c>
      <c r="U38" s="7">
        <f t="shared" si="0"/>
        <v>2708.5599999999995</v>
      </c>
      <c r="V38">
        <v>2708.56</v>
      </c>
      <c r="W38" s="12">
        <f t="shared" si="1"/>
        <v>0.28877722585962223</v>
      </c>
      <c r="X38" t="s">
        <v>32</v>
      </c>
      <c r="Y38" t="str">
        <f t="shared" si="2"/>
        <v>Paid</v>
      </c>
      <c r="Z38" t="s">
        <v>103</v>
      </c>
      <c r="AA38">
        <f>C38-B38</f>
        <v>-54</v>
      </c>
      <c r="AB38" t="str">
        <f>IF(B38="","Missing Order Date",
IF(C38="","Missing Ship Date","OK"))</f>
        <v>OK</v>
      </c>
      <c r="AC38" s="7" t="str">
        <f>IF(C38&lt;B38, "Invalid", "Valid")</f>
        <v>Invalid</v>
      </c>
      <c r="AD38" s="7" t="str">
        <f>IF(COUNTIF($A:$A, A38)&gt;1, "Duplicate", "Unique")</f>
        <v>Unique</v>
      </c>
      <c r="AE38" s="7" t="str">
        <f>IF(G38="","Unknown",G38)</f>
        <v>West</v>
      </c>
      <c r="AF38" s="7" t="str">
        <f>IF(M38="","Unknown",M38)</f>
        <v>Second Class</v>
      </c>
      <c r="AG38" s="7" t="str">
        <f>IF(P38&lt;0,"Invalid",
IF(P38&gt;1,"Invalid","Valid"))</f>
        <v>Valid</v>
      </c>
      <c r="AH38" s="7" t="str">
        <f>TEXT(B38,"mmmm")</f>
        <v>October</v>
      </c>
      <c r="AI38" s="7">
        <f t="shared" si="3"/>
        <v>2024</v>
      </c>
      <c r="AJ38" s="7" t="str">
        <f>IF(OR(R38&lt;0,C38&lt;B38),"Invalid",
IF(OR(G38="Unknown",M38="Unknown"),"Warning","Clean"))</f>
        <v>Invalid</v>
      </c>
      <c r="AK38" s="7" t="str">
        <f>IF(C38&lt;B38,"Ship Before Order","OK")</f>
        <v>Ship Before Order</v>
      </c>
      <c r="AL38" s="7" t="str">
        <f>IF(ISNUMBER(B38),"Valid","Invalid")</f>
        <v>Valid</v>
      </c>
      <c r="AM38" s="7" t="str">
        <f t="shared" si="4"/>
        <v>Ok</v>
      </c>
      <c r="AN38" s="7" t="str">
        <f t="shared" si="5"/>
        <v>Ok</v>
      </c>
    </row>
    <row r="39" spans="1:40">
      <c r="A39" t="s">
        <v>211</v>
      </c>
      <c r="B39" s="6">
        <v>45867</v>
      </c>
      <c r="C39" s="4">
        <v>45537</v>
      </c>
      <c r="D39" t="s">
        <v>212</v>
      </c>
      <c r="E39" t="s">
        <v>162</v>
      </c>
      <c r="F39" t="s">
        <v>24</v>
      </c>
      <c r="G39" t="s">
        <v>63</v>
      </c>
      <c r="H39" t="s">
        <v>64</v>
      </c>
      <c r="I39" t="s">
        <v>65</v>
      </c>
      <c r="J39" t="s">
        <v>74</v>
      </c>
      <c r="K39" t="s">
        <v>80</v>
      </c>
      <c r="L39" t="s">
        <v>213</v>
      </c>
      <c r="M39" t="s">
        <v>59</v>
      </c>
      <c r="N39">
        <v>4</v>
      </c>
      <c r="O39">
        <v>1327.54</v>
      </c>
      <c r="P39">
        <v>0.2</v>
      </c>
      <c r="Q39" s="7">
        <f>IF(P39="", 0, P39)</f>
        <v>0.2</v>
      </c>
      <c r="R39">
        <v>4248.13</v>
      </c>
      <c r="S39">
        <v>3321.09</v>
      </c>
      <c r="T39" s="7">
        <f>N39*O39*(1-Q39)</f>
        <v>4248.1279999999997</v>
      </c>
      <c r="U39" s="7">
        <f t="shared" si="0"/>
        <v>927.03799999999956</v>
      </c>
      <c r="V39">
        <v>927.04</v>
      </c>
      <c r="W39" s="12">
        <f t="shared" si="1"/>
        <v>0.21822270892025844</v>
      </c>
      <c r="X39" t="s">
        <v>32</v>
      </c>
      <c r="Y39" t="str">
        <f t="shared" si="2"/>
        <v>Paid</v>
      </c>
      <c r="Z39" t="s">
        <v>33</v>
      </c>
      <c r="AA39">
        <f>C39-B39</f>
        <v>-330</v>
      </c>
      <c r="AB39" t="str">
        <f>IF(B39="","Missing Order Date",
IF(C39="","Missing Ship Date","OK"))</f>
        <v>OK</v>
      </c>
      <c r="AC39" s="7" t="str">
        <f>IF(C39&lt;B39, "Invalid", "Valid")</f>
        <v>Invalid</v>
      </c>
      <c r="AD39" s="7" t="str">
        <f>IF(COUNTIF($A:$A, A39)&gt;1, "Duplicate", "Unique")</f>
        <v>Unique</v>
      </c>
      <c r="AE39" s="7" t="str">
        <f>IF(G39="","Unknown",G39)</f>
        <v>West</v>
      </c>
      <c r="AF39" s="7" t="str">
        <f>IF(M39="","Unknown",M39)</f>
        <v>Standard Class</v>
      </c>
      <c r="AG39" s="7" t="str">
        <f>IF(P39&lt;0,"Invalid",
IF(P39&gt;1,"Invalid","Valid"))</f>
        <v>Valid</v>
      </c>
      <c r="AH39" s="7" t="str">
        <f>TEXT(B39,"mmmm")</f>
        <v>July</v>
      </c>
      <c r="AI39" s="7">
        <f t="shared" si="3"/>
        <v>2025</v>
      </c>
      <c r="AJ39" s="7" t="str">
        <f>IF(OR(R39&lt;0,C39&lt;B39),"Invalid",
IF(OR(G39="Unknown",M39="Unknown"),"Warning","Clean"))</f>
        <v>Invalid</v>
      </c>
      <c r="AK39" s="7" t="str">
        <f>IF(C39&lt;B39,"Ship Before Order","OK")</f>
        <v>Ship Before Order</v>
      </c>
      <c r="AL39" s="7" t="str">
        <f>IF(ISNUMBER(B39),"Valid","Invalid")</f>
        <v>Valid</v>
      </c>
      <c r="AM39" s="7" t="str">
        <f t="shared" si="4"/>
        <v>Missmatched</v>
      </c>
      <c r="AN39" s="7" t="str">
        <f t="shared" si="5"/>
        <v>Missmatched</v>
      </c>
    </row>
    <row r="40" spans="1:40">
      <c r="A40" t="s">
        <v>214</v>
      </c>
      <c r="B40" s="6">
        <v>45460</v>
      </c>
      <c r="C40" s="4">
        <v>45538</v>
      </c>
      <c r="D40" t="s">
        <v>215</v>
      </c>
      <c r="E40" t="s">
        <v>128</v>
      </c>
      <c r="F40" t="s">
        <v>90</v>
      </c>
      <c r="G40" t="s">
        <v>63</v>
      </c>
      <c r="H40" t="s">
        <v>180</v>
      </c>
      <c r="I40" t="s">
        <v>181</v>
      </c>
      <c r="J40" t="s">
        <v>74</v>
      </c>
      <c r="K40" t="s">
        <v>171</v>
      </c>
      <c r="L40" t="s">
        <v>216</v>
      </c>
      <c r="M40" t="s">
        <v>50</v>
      </c>
      <c r="N40">
        <v>7</v>
      </c>
      <c r="O40">
        <v>2210.6799999999998</v>
      </c>
      <c r="P40">
        <v>0.1</v>
      </c>
      <c r="Q40" s="7">
        <f>IF(P40="", 0, P40)</f>
        <v>0.1</v>
      </c>
      <c r="R40">
        <v>13927.28</v>
      </c>
      <c r="S40">
        <v>10504.87</v>
      </c>
      <c r="T40" s="7">
        <f>N40*O40*(1-Q40)</f>
        <v>13927.284</v>
      </c>
      <c r="U40" s="7">
        <f t="shared" si="0"/>
        <v>3422.4139999999989</v>
      </c>
      <c r="V40">
        <v>3422.41</v>
      </c>
      <c r="W40" s="12">
        <f t="shared" si="1"/>
        <v>0.24573448778670692</v>
      </c>
      <c r="X40" t="s">
        <v>32</v>
      </c>
      <c r="Y40" t="str">
        <f t="shared" si="2"/>
        <v>Paid</v>
      </c>
      <c r="Z40" t="s">
        <v>33</v>
      </c>
      <c r="AA40">
        <f>C40-B40</f>
        <v>78</v>
      </c>
      <c r="AB40" t="str">
        <f>IF(B40="","Missing Order Date",
IF(C40="","Missing Ship Date","OK"))</f>
        <v>OK</v>
      </c>
      <c r="AC40" s="7" t="str">
        <f>IF(C40&lt;B40, "Invalid", "Valid")</f>
        <v>Valid</v>
      </c>
      <c r="AD40" s="7" t="str">
        <f>IF(COUNTIF($A:$A, A40)&gt;1, "Duplicate", "Unique")</f>
        <v>Unique</v>
      </c>
      <c r="AE40" s="7" t="str">
        <f>IF(G40="","Unknown",G40)</f>
        <v>West</v>
      </c>
      <c r="AF40" s="7" t="str">
        <f>IF(M40="","Unknown",M40)</f>
        <v>First Class</v>
      </c>
      <c r="AG40" s="7" t="str">
        <f>IF(P40&lt;0,"Invalid",
IF(P40&gt;1,"Invalid","Valid"))</f>
        <v>Valid</v>
      </c>
      <c r="AH40" s="7" t="str">
        <f>TEXT(B40,"mmmm")</f>
        <v>June</v>
      </c>
      <c r="AI40" s="7">
        <f t="shared" si="3"/>
        <v>2024</v>
      </c>
      <c r="AJ40" s="7" t="str">
        <f>IF(OR(R40&lt;0,C40&lt;B40),"Invalid",
IF(OR(G40="Unknown",M40="Unknown"),"Warning","Clean"))</f>
        <v>Clean</v>
      </c>
      <c r="AK40" s="7" t="str">
        <f>IF(C40&lt;B40,"Ship Before Order","OK")</f>
        <v>OK</v>
      </c>
      <c r="AL40" s="7" t="str">
        <f>IF(ISNUMBER(B40),"Valid","Invalid")</f>
        <v>Valid</v>
      </c>
      <c r="AM40" s="7" t="str">
        <f t="shared" si="4"/>
        <v>Missmatched</v>
      </c>
      <c r="AN40" s="7" t="str">
        <f t="shared" si="5"/>
        <v>Missmatched</v>
      </c>
    </row>
    <row r="41" spans="1:40">
      <c r="A41" t="s">
        <v>217</v>
      </c>
      <c r="B41" s="6">
        <v>45608</v>
      </c>
      <c r="C41" s="4">
        <v>45539</v>
      </c>
      <c r="D41" t="s">
        <v>218</v>
      </c>
      <c r="E41" t="s">
        <v>36</v>
      </c>
      <c r="F41" t="s">
        <v>37</v>
      </c>
      <c r="G41" t="s">
        <v>63</v>
      </c>
      <c r="H41" t="s">
        <v>72</v>
      </c>
      <c r="I41" t="s">
        <v>73</v>
      </c>
      <c r="J41" t="s">
        <v>74</v>
      </c>
      <c r="K41" t="s">
        <v>80</v>
      </c>
      <c r="L41" t="s">
        <v>219</v>
      </c>
      <c r="M41" t="s">
        <v>50</v>
      </c>
      <c r="N41">
        <v>4</v>
      </c>
      <c r="O41">
        <v>1370.92</v>
      </c>
      <c r="P41">
        <v>0.1</v>
      </c>
      <c r="Q41" s="7">
        <f>IF(P41="", 0, P41)</f>
        <v>0.1</v>
      </c>
      <c r="R41">
        <v>4935.3100000000004</v>
      </c>
      <c r="S41">
        <v>3374.77</v>
      </c>
      <c r="T41" s="7">
        <f>N41*O41*(1-Q41)</f>
        <v>4935.3120000000008</v>
      </c>
      <c r="U41" s="7">
        <f t="shared" si="0"/>
        <v>1560.5420000000008</v>
      </c>
      <c r="V41">
        <v>1560.54</v>
      </c>
      <c r="W41" s="12">
        <f t="shared" si="1"/>
        <v>0.31619925954022776</v>
      </c>
      <c r="X41" t="s">
        <v>111</v>
      </c>
      <c r="Y41" t="str">
        <f t="shared" si="2"/>
        <v>Pending</v>
      </c>
      <c r="Z41" t="s">
        <v>103</v>
      </c>
      <c r="AA41">
        <f>C41-B41</f>
        <v>-69</v>
      </c>
      <c r="AB41" t="str">
        <f>IF(B41="","Missing Order Date",
IF(C41="","Missing Ship Date","OK"))</f>
        <v>OK</v>
      </c>
      <c r="AC41" s="7" t="str">
        <f>IF(C41&lt;B41, "Invalid", "Valid")</f>
        <v>Invalid</v>
      </c>
      <c r="AD41" s="7" t="str">
        <f>IF(COUNTIF($A:$A, A41)&gt;1, "Duplicate", "Unique")</f>
        <v>Unique</v>
      </c>
      <c r="AE41" s="7" t="str">
        <f>IF(G41="","Unknown",G41)</f>
        <v>West</v>
      </c>
      <c r="AF41" s="7" t="str">
        <f>IF(M41="","Unknown",M41)</f>
        <v>First Class</v>
      </c>
      <c r="AG41" s="7" t="str">
        <f>IF(P41&lt;0,"Invalid",
IF(P41&gt;1,"Invalid","Valid"))</f>
        <v>Valid</v>
      </c>
      <c r="AH41" s="7" t="str">
        <f>TEXT(B41,"mmmm")</f>
        <v>November</v>
      </c>
      <c r="AI41" s="7">
        <f t="shared" si="3"/>
        <v>2024</v>
      </c>
      <c r="AJ41" s="7" t="str">
        <f>IF(OR(R41&lt;0,C41&lt;B41),"Invalid",
IF(OR(G41="Unknown",M41="Unknown"),"Warning","Clean"))</f>
        <v>Invalid</v>
      </c>
      <c r="AK41" s="7" t="str">
        <f>IF(C41&lt;B41,"Ship Before Order","OK")</f>
        <v>Ship Before Order</v>
      </c>
      <c r="AL41" s="7" t="str">
        <f>IF(ISNUMBER(B41),"Valid","Invalid")</f>
        <v>Valid</v>
      </c>
      <c r="AM41" s="7" t="str">
        <f t="shared" si="4"/>
        <v>Missmatched</v>
      </c>
      <c r="AN41" s="7" t="str">
        <f t="shared" si="5"/>
        <v>Missmatched</v>
      </c>
    </row>
    <row r="42" spans="1:40">
      <c r="A42" t="s">
        <v>220</v>
      </c>
      <c r="B42" s="6">
        <v>45575</v>
      </c>
      <c r="C42" s="4">
        <v>45540</v>
      </c>
      <c r="D42" t="s">
        <v>221</v>
      </c>
      <c r="E42" t="s">
        <v>47</v>
      </c>
      <c r="F42" t="s">
        <v>95</v>
      </c>
      <c r="G42" t="s">
        <v>63</v>
      </c>
      <c r="H42" t="s">
        <v>26</v>
      </c>
      <c r="I42" t="s">
        <v>109</v>
      </c>
      <c r="J42" t="s">
        <v>74</v>
      </c>
      <c r="K42" t="s">
        <v>80</v>
      </c>
      <c r="L42" t="s">
        <v>222</v>
      </c>
      <c r="M42" t="s">
        <v>59</v>
      </c>
      <c r="N42">
        <v>7</v>
      </c>
      <c r="O42">
        <v>2509.27</v>
      </c>
      <c r="P42">
        <v>0.2</v>
      </c>
      <c r="Q42" s="7">
        <f>IF(P42="", 0, P42)</f>
        <v>0.2</v>
      </c>
      <c r="R42">
        <v>14051.91</v>
      </c>
      <c r="S42">
        <v>11990.37</v>
      </c>
      <c r="T42" s="7">
        <f>N42*O42*(1-Q42)</f>
        <v>14051.912</v>
      </c>
      <c r="U42" s="7">
        <f t="shared" si="0"/>
        <v>2061.5419999999995</v>
      </c>
      <c r="V42">
        <v>2061.54</v>
      </c>
      <c r="W42" s="12">
        <f t="shared" si="1"/>
        <v>0.14670900301681361</v>
      </c>
      <c r="X42" t="s">
        <v>32</v>
      </c>
      <c r="Y42" t="str">
        <f t="shared" si="2"/>
        <v>Paid</v>
      </c>
      <c r="Z42" t="s">
        <v>33</v>
      </c>
      <c r="AA42">
        <f>C42-B42</f>
        <v>-35</v>
      </c>
      <c r="AB42" t="str">
        <f>IF(B42="","Missing Order Date",
IF(C42="","Missing Ship Date","OK"))</f>
        <v>OK</v>
      </c>
      <c r="AC42" s="7" t="str">
        <f>IF(C42&lt;B42, "Invalid", "Valid")</f>
        <v>Invalid</v>
      </c>
      <c r="AD42" s="7" t="str">
        <f>IF(COUNTIF($A:$A, A42)&gt;1, "Duplicate", "Unique")</f>
        <v>Unique</v>
      </c>
      <c r="AE42" s="7" t="str">
        <f>IF(G42="","Unknown",G42)</f>
        <v>West</v>
      </c>
      <c r="AF42" s="7" t="str">
        <f>IF(M42="","Unknown",M42)</f>
        <v>Standard Class</v>
      </c>
      <c r="AG42" s="7" t="str">
        <f>IF(P42&lt;0,"Invalid",
IF(P42&gt;1,"Invalid","Valid"))</f>
        <v>Valid</v>
      </c>
      <c r="AH42" s="7" t="str">
        <f>TEXT(B42,"mmmm")</f>
        <v>October</v>
      </c>
      <c r="AI42" s="7">
        <f t="shared" si="3"/>
        <v>2024</v>
      </c>
      <c r="AJ42" s="7" t="str">
        <f>IF(OR(R42&lt;0,C42&lt;B42),"Invalid",
IF(OR(G42="Unknown",M42="Unknown"),"Warning","Clean"))</f>
        <v>Invalid</v>
      </c>
      <c r="AK42" s="7" t="str">
        <f>IF(C42&lt;B42,"Ship Before Order","OK")</f>
        <v>Ship Before Order</v>
      </c>
      <c r="AL42" s="7" t="str">
        <f>IF(ISNUMBER(B42),"Valid","Invalid")</f>
        <v>Valid</v>
      </c>
      <c r="AM42" s="7" t="str">
        <f t="shared" si="4"/>
        <v>Missmatched</v>
      </c>
      <c r="AN42" s="7" t="str">
        <f t="shared" si="5"/>
        <v>Missmatched</v>
      </c>
    </row>
    <row r="43" spans="1:40">
      <c r="A43" t="s">
        <v>223</v>
      </c>
      <c r="B43" s="6">
        <v>45629</v>
      </c>
      <c r="C43" s="4">
        <v>45541</v>
      </c>
      <c r="D43" t="s">
        <v>224</v>
      </c>
      <c r="E43" t="s">
        <v>128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158</v>
      </c>
      <c r="L43" t="s">
        <v>225</v>
      </c>
      <c r="M43" t="s">
        <v>44</v>
      </c>
      <c r="N43">
        <v>8</v>
      </c>
      <c r="O43">
        <v>855.81</v>
      </c>
      <c r="P43">
        <v>0</v>
      </c>
      <c r="Q43" s="7">
        <f>IF(P43="", 0, P43)</f>
        <v>0</v>
      </c>
      <c r="R43">
        <v>6846.48</v>
      </c>
      <c r="S43">
        <v>4239.8900000000003</v>
      </c>
      <c r="T43" s="7">
        <f>N43*O43*(1-Q43)</f>
        <v>6846.48</v>
      </c>
      <c r="U43" s="7">
        <f t="shared" si="0"/>
        <v>2606.5899999999992</v>
      </c>
      <c r="V43">
        <v>2606.59</v>
      </c>
      <c r="W43" s="12">
        <f t="shared" si="1"/>
        <v>0.38071972750961069</v>
      </c>
      <c r="X43" t="s">
        <v>111</v>
      </c>
      <c r="Y43" t="str">
        <f t="shared" si="2"/>
        <v>Pending</v>
      </c>
      <c r="Z43" t="s">
        <v>68</v>
      </c>
      <c r="AA43">
        <f>C43-B43</f>
        <v>-88</v>
      </c>
      <c r="AB43" t="str">
        <f>IF(B43="","Missing Order Date",
IF(C43="","Missing Ship Date","OK"))</f>
        <v>OK</v>
      </c>
      <c r="AC43" s="7" t="str">
        <f>IF(C43&lt;B43, "Invalid", "Valid")</f>
        <v>Invalid</v>
      </c>
      <c r="AD43" s="7" t="str">
        <f>IF(COUNTIF($A:$A, A43)&gt;1, "Duplicate", "Unique")</f>
        <v>Unique</v>
      </c>
      <c r="AE43" s="7" t="str">
        <f>IF(G43="","Unknown",G43)</f>
        <v>East</v>
      </c>
      <c r="AF43" s="7" t="str">
        <f>IF(M43="","Unknown",M43)</f>
        <v>Same Day</v>
      </c>
      <c r="AG43" s="7" t="str">
        <f>IF(P43&lt;0,"Invalid",
IF(P43&gt;1,"Invalid","Valid"))</f>
        <v>Valid</v>
      </c>
      <c r="AH43" s="7" t="str">
        <f>TEXT(B43,"mmmm")</f>
        <v>December</v>
      </c>
      <c r="AI43" s="7">
        <f t="shared" si="3"/>
        <v>2024</v>
      </c>
      <c r="AJ43" s="7" t="str">
        <f>IF(OR(R43&lt;0,C43&lt;B43),"Invalid",
IF(OR(G43="Unknown",M43="Unknown"),"Warning","Clean"))</f>
        <v>Invalid</v>
      </c>
      <c r="AK43" s="7" t="str">
        <f>IF(C43&lt;B43,"Ship Before Order","OK")</f>
        <v>Ship Before Order</v>
      </c>
      <c r="AL43" s="7" t="str">
        <f>IF(ISNUMBER(B43),"Valid","Invalid")</f>
        <v>Valid</v>
      </c>
      <c r="AM43" s="7" t="str">
        <f t="shared" si="4"/>
        <v>Ok</v>
      </c>
      <c r="AN43" s="7" t="str">
        <f t="shared" si="5"/>
        <v>Ok</v>
      </c>
    </row>
    <row r="44" spans="1:40">
      <c r="A44" t="s">
        <v>226</v>
      </c>
      <c r="B44" s="6">
        <v>45940</v>
      </c>
      <c r="C44" s="4">
        <v>45542</v>
      </c>
      <c r="D44" t="s">
        <v>227</v>
      </c>
      <c r="E44" t="s">
        <v>53</v>
      </c>
      <c r="F44" t="s">
        <v>90</v>
      </c>
      <c r="G44" t="s">
        <v>38</v>
      </c>
      <c r="H44" t="s">
        <v>228</v>
      </c>
      <c r="I44" t="s">
        <v>229</v>
      </c>
      <c r="J44" t="s">
        <v>74</v>
      </c>
      <c r="K44" t="s">
        <v>171</v>
      </c>
      <c r="L44" t="s">
        <v>230</v>
      </c>
      <c r="M44" t="s">
        <v>59</v>
      </c>
      <c r="N44">
        <v>8</v>
      </c>
      <c r="O44">
        <v>979.87</v>
      </c>
      <c r="P44">
        <v>0.05</v>
      </c>
      <c r="Q44" s="7">
        <f>IF(P44="", 0, P44)</f>
        <v>0.05</v>
      </c>
      <c r="R44">
        <v>7447.01</v>
      </c>
      <c r="S44">
        <v>4496.22</v>
      </c>
      <c r="T44" s="7">
        <f>N44*O44*(1-Q44)</f>
        <v>7447.0119999999997</v>
      </c>
      <c r="U44" s="7">
        <f t="shared" si="0"/>
        <v>2950.7919999999995</v>
      </c>
      <c r="V44">
        <v>2950.79</v>
      </c>
      <c r="W44" s="12">
        <f t="shared" si="1"/>
        <v>0.39623838393170302</v>
      </c>
      <c r="X44" t="s">
        <v>32</v>
      </c>
      <c r="Y44" t="str">
        <f t="shared" si="2"/>
        <v>Paid</v>
      </c>
      <c r="Z44" t="s">
        <v>33</v>
      </c>
      <c r="AA44">
        <f>C44-B44</f>
        <v>-398</v>
      </c>
      <c r="AB44" t="str">
        <f>IF(B44="","Missing Order Date",
IF(C44="","Missing Ship Date","OK"))</f>
        <v>OK</v>
      </c>
      <c r="AC44" s="7" t="str">
        <f>IF(C44&lt;B44, "Invalid", "Valid")</f>
        <v>Invalid</v>
      </c>
      <c r="AD44" s="7" t="str">
        <f>IF(COUNTIF($A:$A, A44)&gt;1, "Duplicate", "Unique")</f>
        <v>Unique</v>
      </c>
      <c r="AE44" s="7" t="str">
        <f>IF(G44="","Unknown",G44)</f>
        <v>East</v>
      </c>
      <c r="AF44" s="7" t="str">
        <f>IF(M44="","Unknown",M44)</f>
        <v>Standard Class</v>
      </c>
      <c r="AG44" s="7" t="str">
        <f>IF(P44&lt;0,"Invalid",
IF(P44&gt;1,"Invalid","Valid"))</f>
        <v>Valid</v>
      </c>
      <c r="AH44" s="7" t="str">
        <f>TEXT(B44,"mmmm")</f>
        <v>October</v>
      </c>
      <c r="AI44" s="7">
        <f t="shared" si="3"/>
        <v>2025</v>
      </c>
      <c r="AJ44" s="7" t="str">
        <f>IF(OR(R44&lt;0,C44&lt;B44),"Invalid",
IF(OR(G44="Unknown",M44="Unknown"),"Warning","Clean"))</f>
        <v>Invalid</v>
      </c>
      <c r="AK44" s="7" t="str">
        <f>IF(C44&lt;B44,"Ship Before Order","OK")</f>
        <v>Ship Before Order</v>
      </c>
      <c r="AL44" s="7" t="str">
        <f>IF(ISNUMBER(B44),"Valid","Invalid")</f>
        <v>Valid</v>
      </c>
      <c r="AM44" s="7" t="str">
        <f t="shared" si="4"/>
        <v>Missmatched</v>
      </c>
      <c r="AN44" s="7" t="str">
        <f t="shared" si="5"/>
        <v>Missmatched</v>
      </c>
    </row>
    <row r="45" spans="1:40">
      <c r="A45" t="s">
        <v>231</v>
      </c>
      <c r="B45" s="6">
        <v>45511</v>
      </c>
      <c r="C45" s="4">
        <v>45543</v>
      </c>
      <c r="D45" t="s">
        <v>232</v>
      </c>
      <c r="E45" t="s">
        <v>114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57</v>
      </c>
      <c r="L45" t="s">
        <v>233</v>
      </c>
      <c r="M45" t="s">
        <v>44</v>
      </c>
      <c r="N45">
        <v>3</v>
      </c>
      <c r="O45">
        <v>1010.23</v>
      </c>
      <c r="P45">
        <v>0</v>
      </c>
      <c r="Q45" s="7">
        <f>IF(P45="", 0, P45)</f>
        <v>0</v>
      </c>
      <c r="R45">
        <v>3030.69</v>
      </c>
      <c r="S45">
        <v>1721.08</v>
      </c>
      <c r="T45" s="7">
        <f>N45*O45*(1-Q45)</f>
        <v>3030.69</v>
      </c>
      <c r="U45" s="7">
        <f t="shared" si="0"/>
        <v>1309.6100000000001</v>
      </c>
      <c r="V45">
        <v>1309.6099999999999</v>
      </c>
      <c r="W45" s="12">
        <f t="shared" si="1"/>
        <v>0.43211611877163292</v>
      </c>
      <c r="X45" t="s">
        <v>32</v>
      </c>
      <c r="Y45" t="str">
        <f t="shared" si="2"/>
        <v>Paid</v>
      </c>
      <c r="Z45" t="s">
        <v>33</v>
      </c>
      <c r="AA45">
        <f>C45-B45</f>
        <v>32</v>
      </c>
      <c r="AB45" t="str">
        <f>IF(B45="","Missing Order Date",
IF(C45="","Missing Ship Date","OK"))</f>
        <v>OK</v>
      </c>
      <c r="AC45" s="7" t="str">
        <f>IF(C45&lt;B45, "Invalid", "Valid")</f>
        <v>Valid</v>
      </c>
      <c r="AD45" s="7" t="str">
        <f>IF(COUNTIF($A:$A, A45)&gt;1, "Duplicate", "Unique")</f>
        <v>Unique</v>
      </c>
      <c r="AE45" s="7" t="str">
        <f>IF(G45="","Unknown",G45)</f>
        <v>East</v>
      </c>
      <c r="AF45" s="7" t="str">
        <f>IF(M45="","Unknown",M45)</f>
        <v>Same Day</v>
      </c>
      <c r="AG45" s="7" t="str">
        <f>IF(P45&lt;0,"Invalid",
IF(P45&gt;1,"Invalid","Valid"))</f>
        <v>Valid</v>
      </c>
      <c r="AH45" s="7" t="str">
        <f>TEXT(B45,"mmmm")</f>
        <v>August</v>
      </c>
      <c r="AI45" s="7">
        <f t="shared" si="3"/>
        <v>2024</v>
      </c>
      <c r="AJ45" s="7" t="str">
        <f>IF(OR(R45&lt;0,C45&lt;B45),"Invalid",
IF(OR(G45="Unknown",M45="Unknown"),"Warning","Clean"))</f>
        <v>Clean</v>
      </c>
      <c r="AK45" s="7" t="str">
        <f>IF(C45&lt;B45,"Ship Before Order","OK")</f>
        <v>OK</v>
      </c>
      <c r="AL45" s="7" t="str">
        <f>IF(ISNUMBER(B45),"Valid","Invalid")</f>
        <v>Valid</v>
      </c>
      <c r="AM45" s="7" t="str">
        <f t="shared" si="4"/>
        <v>Ok</v>
      </c>
      <c r="AN45" s="7" t="str">
        <f t="shared" si="5"/>
        <v>Ok</v>
      </c>
    </row>
    <row r="46" spans="1:40">
      <c r="A46" t="s">
        <v>234</v>
      </c>
      <c r="B46" s="6">
        <v>45465</v>
      </c>
      <c r="C46" s="4">
        <v>45544</v>
      </c>
      <c r="D46" t="s">
        <v>235</v>
      </c>
      <c r="E46" t="s">
        <v>141</v>
      </c>
      <c r="F46" t="s">
        <v>37</v>
      </c>
      <c r="G46" t="s">
        <v>25</v>
      </c>
      <c r="H46" t="s">
        <v>236</v>
      </c>
      <c r="I46" t="s">
        <v>237</v>
      </c>
      <c r="J46" t="s">
        <v>41</v>
      </c>
      <c r="K46" t="s">
        <v>66</v>
      </c>
      <c r="L46" t="s">
        <v>238</v>
      </c>
      <c r="M46" t="s">
        <v>59</v>
      </c>
      <c r="N46">
        <v>9</v>
      </c>
      <c r="O46">
        <v>3329.77</v>
      </c>
      <c r="P46">
        <v>0.1</v>
      </c>
      <c r="Q46" s="7">
        <f>IF(P46="", 0, P46)</f>
        <v>0.1</v>
      </c>
      <c r="R46">
        <v>26971.14</v>
      </c>
      <c r="S46">
        <v>17376.2</v>
      </c>
      <c r="T46" s="7">
        <f>N46*O46*(1-Q46)</f>
        <v>26971.137000000002</v>
      </c>
      <c r="U46" s="7">
        <f t="shared" si="0"/>
        <v>9594.9370000000017</v>
      </c>
      <c r="V46">
        <v>9594.94</v>
      </c>
      <c r="W46" s="12">
        <f t="shared" si="1"/>
        <v>0.35574833200394929</v>
      </c>
      <c r="X46" t="s">
        <v>32</v>
      </c>
      <c r="Y46" t="str">
        <f t="shared" si="2"/>
        <v>Paid</v>
      </c>
      <c r="Z46" t="s">
        <v>33</v>
      </c>
      <c r="AA46">
        <f>C46-B46</f>
        <v>79</v>
      </c>
      <c r="AB46" t="str">
        <f>IF(B46="","Missing Order Date",
IF(C46="","Missing Ship Date","OK"))</f>
        <v>OK</v>
      </c>
      <c r="AC46" s="7" t="str">
        <f>IF(C46&lt;B46, "Invalid", "Valid")</f>
        <v>Valid</v>
      </c>
      <c r="AD46" s="7" t="str">
        <f>IF(COUNTIF($A:$A, A46)&gt;1, "Duplicate", "Unique")</f>
        <v>Unique</v>
      </c>
      <c r="AE46" s="7" t="str">
        <f>IF(G46="","Unknown",G46)</f>
        <v>North</v>
      </c>
      <c r="AF46" s="7" t="str">
        <f>IF(M46="","Unknown",M46)</f>
        <v>Standard Class</v>
      </c>
      <c r="AG46" s="7" t="str">
        <f>IF(P46&lt;0,"Invalid",
IF(P46&gt;1,"Invalid","Valid"))</f>
        <v>Valid</v>
      </c>
      <c r="AH46" s="7" t="str">
        <f>TEXT(B46,"mmmm")</f>
        <v>June</v>
      </c>
      <c r="AI46" s="7">
        <f t="shared" si="3"/>
        <v>2024</v>
      </c>
      <c r="AJ46" s="7" t="str">
        <f>IF(OR(R46&lt;0,C46&lt;B46),"Invalid",
IF(OR(G46="Unknown",M46="Unknown"),"Warning","Clean"))</f>
        <v>Clean</v>
      </c>
      <c r="AK46" s="7" t="str">
        <f>IF(C46&lt;B46,"Ship Before Order","OK")</f>
        <v>OK</v>
      </c>
      <c r="AL46" s="7" t="str">
        <f>IF(ISNUMBER(B46),"Valid","Invalid")</f>
        <v>Valid</v>
      </c>
      <c r="AM46" s="7" t="str">
        <f t="shared" si="4"/>
        <v>Missmatched</v>
      </c>
      <c r="AN46" s="7" t="str">
        <f t="shared" si="5"/>
        <v>Missmatched</v>
      </c>
    </row>
    <row r="47" spans="1:40">
      <c r="A47" t="s">
        <v>239</v>
      </c>
      <c r="B47" s="6">
        <v>45309</v>
      </c>
      <c r="C47" s="4">
        <v>45545</v>
      </c>
      <c r="D47" t="s">
        <v>240</v>
      </c>
      <c r="E47" t="s">
        <v>47</v>
      </c>
      <c r="F47" t="s">
        <v>95</v>
      </c>
      <c r="G47" t="s">
        <v>38</v>
      </c>
      <c r="H47" t="s">
        <v>145</v>
      </c>
      <c r="I47" t="s">
        <v>146</v>
      </c>
      <c r="J47" t="s">
        <v>28</v>
      </c>
      <c r="K47" t="s">
        <v>48</v>
      </c>
      <c r="L47" t="s">
        <v>241</v>
      </c>
      <c r="M47" t="s">
        <v>31</v>
      </c>
      <c r="N47">
        <v>8</v>
      </c>
      <c r="O47">
        <v>3927.82</v>
      </c>
      <c r="P47">
        <v>0.05</v>
      </c>
      <c r="Q47" s="7">
        <f>IF(P47="", 0, P47)</f>
        <v>0.05</v>
      </c>
      <c r="R47">
        <v>29851.43</v>
      </c>
      <c r="S47">
        <v>17487.48</v>
      </c>
      <c r="T47" s="7">
        <f>N47*O47*(1-Q47)</f>
        <v>29851.432000000001</v>
      </c>
      <c r="U47" s="7">
        <f t="shared" si="0"/>
        <v>12363.952000000001</v>
      </c>
      <c r="V47">
        <v>12363.95</v>
      </c>
      <c r="W47" s="12">
        <f t="shared" si="1"/>
        <v>0.41418287739094062</v>
      </c>
      <c r="X47" t="s">
        <v>111</v>
      </c>
      <c r="Y47" t="str">
        <f t="shared" si="2"/>
        <v>Pending</v>
      </c>
      <c r="Z47" t="s">
        <v>103</v>
      </c>
      <c r="AA47">
        <f>C47-B47</f>
        <v>236</v>
      </c>
      <c r="AB47" t="str">
        <f>IF(B47="","Missing Order Date",
IF(C47="","Missing Ship Date","OK"))</f>
        <v>OK</v>
      </c>
      <c r="AC47" s="7" t="str">
        <f>IF(C47&lt;B47, "Invalid", "Valid")</f>
        <v>Valid</v>
      </c>
      <c r="AD47" s="7" t="str">
        <f>IF(COUNTIF($A:$A, A47)&gt;1, "Duplicate", "Unique")</f>
        <v>Unique</v>
      </c>
      <c r="AE47" s="7" t="str">
        <f>IF(G47="","Unknown",G47)</f>
        <v>East</v>
      </c>
      <c r="AF47" s="7" t="str">
        <f>IF(M47="","Unknown",M47)</f>
        <v>Second Class</v>
      </c>
      <c r="AG47" s="7" t="str">
        <f>IF(P47&lt;0,"Invalid",
IF(P47&gt;1,"Invalid","Valid"))</f>
        <v>Valid</v>
      </c>
      <c r="AH47" s="7" t="str">
        <f>TEXT(B47,"mmmm")</f>
        <v>January</v>
      </c>
      <c r="AI47" s="7">
        <f t="shared" si="3"/>
        <v>2024</v>
      </c>
      <c r="AJ47" s="7" t="str">
        <f>IF(OR(R47&lt;0,C47&lt;B47),"Invalid",
IF(OR(G47="Unknown",M47="Unknown"),"Warning","Clean"))</f>
        <v>Clean</v>
      </c>
      <c r="AK47" s="7" t="str">
        <f>IF(C47&lt;B47,"Ship Before Order","OK")</f>
        <v>OK</v>
      </c>
      <c r="AL47" s="7" t="str">
        <f>IF(ISNUMBER(B47),"Valid","Invalid")</f>
        <v>Valid</v>
      </c>
      <c r="AM47" s="7" t="str">
        <f t="shared" si="4"/>
        <v>Missmatched</v>
      </c>
      <c r="AN47" s="7" t="str">
        <f t="shared" si="5"/>
        <v>Missmatched</v>
      </c>
    </row>
    <row r="48" spans="1:40">
      <c r="A48" t="s">
        <v>242</v>
      </c>
      <c r="B48" s="6">
        <v>45492</v>
      </c>
      <c r="C48" s="4">
        <v>45546</v>
      </c>
      <c r="D48" t="s">
        <v>243</v>
      </c>
      <c r="E48" t="s">
        <v>62</v>
      </c>
      <c r="F48" t="s">
        <v>37</v>
      </c>
      <c r="G48" t="s">
        <v>54</v>
      </c>
      <c r="H48" t="s">
        <v>185</v>
      </c>
      <c r="I48" t="s">
        <v>186</v>
      </c>
      <c r="J48" t="s">
        <v>41</v>
      </c>
      <c r="K48" t="s">
        <v>158</v>
      </c>
      <c r="L48" t="s">
        <v>244</v>
      </c>
      <c r="M48" t="s">
        <v>59</v>
      </c>
      <c r="N48">
        <v>9</v>
      </c>
      <c r="O48">
        <v>2386.79</v>
      </c>
      <c r="P48">
        <v>0.25</v>
      </c>
      <c r="Q48" s="7">
        <f>IF(P48="", 0, P48)</f>
        <v>0.25</v>
      </c>
      <c r="R48">
        <v>16110.83</v>
      </c>
      <c r="S48">
        <v>10680.03</v>
      </c>
      <c r="T48" s="7">
        <f>N48*O48*(1-Q48)</f>
        <v>16110.8325</v>
      </c>
      <c r="U48" s="7">
        <f t="shared" si="0"/>
        <v>5430.8024999999998</v>
      </c>
      <c r="V48">
        <v>5430.8</v>
      </c>
      <c r="W48" s="12">
        <f t="shared" si="1"/>
        <v>0.33709012243780695</v>
      </c>
      <c r="X48" t="s">
        <v>102</v>
      </c>
      <c r="Y48" t="str">
        <f t="shared" si="2"/>
        <v>Refunded</v>
      </c>
      <c r="Z48" t="s">
        <v>103</v>
      </c>
      <c r="AA48">
        <f>C48-B48</f>
        <v>54</v>
      </c>
      <c r="AB48" t="str">
        <f>IF(B48="","Missing Order Date",
IF(C48="","Missing Ship Date","OK"))</f>
        <v>OK</v>
      </c>
      <c r="AC48" s="7" t="str">
        <f>IF(C48&lt;B48, "Invalid", "Valid")</f>
        <v>Valid</v>
      </c>
      <c r="AD48" s="7" t="str">
        <f>IF(COUNTIF($A:$A, A48)&gt;1, "Duplicate", "Unique")</f>
        <v>Unique</v>
      </c>
      <c r="AE48" s="7" t="str">
        <f>IF(G48="","Unknown",G48)</f>
        <v>South</v>
      </c>
      <c r="AF48" s="7" t="str">
        <f>IF(M48="","Unknown",M48)</f>
        <v>Standard Class</v>
      </c>
      <c r="AG48" s="7" t="str">
        <f>IF(P48&lt;0,"Invalid",
IF(P48&gt;1,"Invalid","Valid"))</f>
        <v>Valid</v>
      </c>
      <c r="AH48" s="7" t="str">
        <f>TEXT(B48,"mmmm")</f>
        <v>July</v>
      </c>
      <c r="AI48" s="7">
        <f t="shared" si="3"/>
        <v>2024</v>
      </c>
      <c r="AJ48" s="7" t="str">
        <f>IF(OR(R48&lt;0,C48&lt;B48),"Invalid",
IF(OR(G48="Unknown",M48="Unknown"),"Warning","Clean"))</f>
        <v>Clean</v>
      </c>
      <c r="AK48" s="7" t="str">
        <f>IF(C48&lt;B48,"Ship Before Order","OK")</f>
        <v>OK</v>
      </c>
      <c r="AL48" s="7" t="str">
        <f>IF(ISNUMBER(B48),"Valid","Invalid")</f>
        <v>Valid</v>
      </c>
      <c r="AM48" s="7" t="str">
        <f t="shared" si="4"/>
        <v>Missmatched</v>
      </c>
      <c r="AN48" s="7" t="str">
        <f t="shared" si="5"/>
        <v>Missmatched</v>
      </c>
    </row>
    <row r="49" spans="1:40">
      <c r="A49" t="s">
        <v>245</v>
      </c>
      <c r="B49" s="6">
        <v>45516</v>
      </c>
      <c r="C49" s="4">
        <v>45547</v>
      </c>
      <c r="D49" t="s">
        <v>246</v>
      </c>
      <c r="E49" t="s">
        <v>118</v>
      </c>
      <c r="F49" t="s">
        <v>90</v>
      </c>
      <c r="G49" t="s">
        <v>54</v>
      </c>
      <c r="H49" t="s">
        <v>247</v>
      </c>
      <c r="I49" t="s">
        <v>248</v>
      </c>
      <c r="J49" t="s">
        <v>28</v>
      </c>
      <c r="K49" t="s">
        <v>124</v>
      </c>
      <c r="L49" t="s">
        <v>249</v>
      </c>
      <c r="M49" t="s">
        <v>59</v>
      </c>
      <c r="N49">
        <v>8</v>
      </c>
      <c r="O49">
        <v>2445.31</v>
      </c>
      <c r="P49">
        <v>0.1</v>
      </c>
      <c r="Q49" s="7">
        <f>IF(P49="", 0, P49)</f>
        <v>0.1</v>
      </c>
      <c r="R49">
        <v>17606.23</v>
      </c>
      <c r="S49">
        <v>12438.96</v>
      </c>
      <c r="T49" s="7">
        <f>N49*O49*(1-Q49)</f>
        <v>17606.232</v>
      </c>
      <c r="U49" s="7">
        <f t="shared" si="0"/>
        <v>5167.2720000000008</v>
      </c>
      <c r="V49">
        <v>5167.2700000000004</v>
      </c>
      <c r="W49" s="12">
        <f t="shared" si="1"/>
        <v>0.29349107747756592</v>
      </c>
      <c r="X49" t="s">
        <v>32</v>
      </c>
      <c r="Y49" t="str">
        <f t="shared" si="2"/>
        <v>Paid</v>
      </c>
      <c r="Z49" t="s">
        <v>33</v>
      </c>
      <c r="AA49">
        <f>C49-B49</f>
        <v>31</v>
      </c>
      <c r="AB49" t="str">
        <f>IF(B49="","Missing Order Date",
IF(C49="","Missing Ship Date","OK"))</f>
        <v>OK</v>
      </c>
      <c r="AC49" s="7" t="str">
        <f>IF(C49&lt;B49, "Invalid", "Valid")</f>
        <v>Valid</v>
      </c>
      <c r="AD49" s="7" t="str">
        <f>IF(COUNTIF($A:$A, A49)&gt;1, "Duplicate", "Unique")</f>
        <v>Unique</v>
      </c>
      <c r="AE49" s="7" t="str">
        <f>IF(G49="","Unknown",G49)</f>
        <v>South</v>
      </c>
      <c r="AF49" s="7" t="str">
        <f>IF(M49="","Unknown",M49)</f>
        <v>Standard Class</v>
      </c>
      <c r="AG49" s="7" t="str">
        <f>IF(P49&lt;0,"Invalid",
IF(P49&gt;1,"Invalid","Valid"))</f>
        <v>Valid</v>
      </c>
      <c r="AH49" s="7" t="str">
        <f>TEXT(B49,"mmmm")</f>
        <v>August</v>
      </c>
      <c r="AI49" s="7">
        <f t="shared" si="3"/>
        <v>2024</v>
      </c>
      <c r="AJ49" s="7" t="str">
        <f>IF(OR(R49&lt;0,C49&lt;B49),"Invalid",
IF(OR(G49="Unknown",M49="Unknown"),"Warning","Clean"))</f>
        <v>Clean</v>
      </c>
      <c r="AK49" s="7" t="str">
        <f>IF(C49&lt;B49,"Ship Before Order","OK")</f>
        <v>OK</v>
      </c>
      <c r="AL49" s="7" t="str">
        <f>IF(ISNUMBER(B49),"Valid","Invalid")</f>
        <v>Valid</v>
      </c>
      <c r="AM49" s="7" t="str">
        <f t="shared" si="4"/>
        <v>Missmatched</v>
      </c>
      <c r="AN49" s="7" t="str">
        <f t="shared" si="5"/>
        <v>Missmatched</v>
      </c>
    </row>
    <row r="50" spans="1:40">
      <c r="A50" t="s">
        <v>250</v>
      </c>
      <c r="B50" s="6">
        <v>45687</v>
      </c>
      <c r="C50" s="4">
        <v>45548</v>
      </c>
      <c r="D50" t="s">
        <v>251</v>
      </c>
      <c r="E50" t="s">
        <v>79</v>
      </c>
      <c r="F50" t="s">
        <v>90</v>
      </c>
      <c r="G50" t="s">
        <v>63</v>
      </c>
      <c r="H50" t="s">
        <v>64</v>
      </c>
      <c r="I50" t="s">
        <v>65</v>
      </c>
      <c r="J50" t="s">
        <v>41</v>
      </c>
      <c r="K50" t="s">
        <v>66</v>
      </c>
      <c r="L50" t="s">
        <v>252</v>
      </c>
      <c r="M50" t="s">
        <v>31</v>
      </c>
      <c r="N50">
        <v>7</v>
      </c>
      <c r="O50">
        <v>4063.66</v>
      </c>
      <c r="P50">
        <v>0</v>
      </c>
      <c r="Q50" s="7">
        <f>IF(P50="", 0, P50)</f>
        <v>0</v>
      </c>
      <c r="R50">
        <v>28445.62</v>
      </c>
      <c r="S50">
        <v>20938.59</v>
      </c>
      <c r="T50" s="7">
        <f>N50*O50*(1-Q50)</f>
        <v>28445.62</v>
      </c>
      <c r="U50" s="7">
        <f t="shared" si="0"/>
        <v>7507.0299999999988</v>
      </c>
      <c r="V50">
        <v>7507.03</v>
      </c>
      <c r="W50" s="12">
        <f t="shared" si="1"/>
        <v>0.26390811660986818</v>
      </c>
      <c r="X50" t="s">
        <v>32</v>
      </c>
      <c r="Y50" t="str">
        <f t="shared" si="2"/>
        <v>Paid</v>
      </c>
      <c r="Z50" t="s">
        <v>33</v>
      </c>
      <c r="AA50">
        <f>C50-B50</f>
        <v>-139</v>
      </c>
      <c r="AB50" t="str">
        <f>IF(B50="","Missing Order Date",
IF(C50="","Missing Ship Date","OK"))</f>
        <v>OK</v>
      </c>
      <c r="AC50" s="7" t="str">
        <f>IF(C50&lt;B50, "Invalid", "Valid")</f>
        <v>Invalid</v>
      </c>
      <c r="AD50" s="7" t="str">
        <f>IF(COUNTIF($A:$A, A50)&gt;1, "Duplicate", "Unique")</f>
        <v>Unique</v>
      </c>
      <c r="AE50" s="7" t="str">
        <f>IF(G50="","Unknown",G50)</f>
        <v>West</v>
      </c>
      <c r="AF50" s="7" t="str">
        <f>IF(M50="","Unknown",M50)</f>
        <v>Second Class</v>
      </c>
      <c r="AG50" s="7" t="str">
        <f>IF(P50&lt;0,"Invalid",
IF(P50&gt;1,"Invalid","Valid"))</f>
        <v>Valid</v>
      </c>
      <c r="AH50" s="7" t="str">
        <f>TEXT(B50,"mmmm")</f>
        <v>January</v>
      </c>
      <c r="AI50" s="7">
        <f t="shared" si="3"/>
        <v>2025</v>
      </c>
      <c r="AJ50" s="7" t="str">
        <f>IF(OR(R50&lt;0,C50&lt;B50),"Invalid",
IF(OR(G50="Unknown",M50="Unknown"),"Warning","Clean"))</f>
        <v>Invalid</v>
      </c>
      <c r="AK50" s="7" t="str">
        <f>IF(C50&lt;B50,"Ship Before Order","OK")</f>
        <v>Ship Before Order</v>
      </c>
      <c r="AL50" s="7" t="str">
        <f>IF(ISNUMBER(B50),"Valid","Invalid")</f>
        <v>Valid</v>
      </c>
      <c r="AM50" s="7" t="str">
        <f t="shared" si="4"/>
        <v>Ok</v>
      </c>
      <c r="AN50" s="7" t="str">
        <f t="shared" si="5"/>
        <v>Ok</v>
      </c>
    </row>
    <row r="51" spans="1:40">
      <c r="A51" t="s">
        <v>253</v>
      </c>
      <c r="B51" s="6">
        <v>45447</v>
      </c>
      <c r="C51" s="4">
        <v>45549</v>
      </c>
      <c r="D51" t="s">
        <v>254</v>
      </c>
      <c r="E51" t="s">
        <v>128</v>
      </c>
      <c r="F51" t="s">
        <v>95</v>
      </c>
      <c r="G51" t="s">
        <v>25</v>
      </c>
      <c r="H51" t="s">
        <v>136</v>
      </c>
      <c r="I51" t="s">
        <v>137</v>
      </c>
      <c r="J51" t="s">
        <v>74</v>
      </c>
      <c r="K51" t="s">
        <v>80</v>
      </c>
      <c r="L51" t="s">
        <v>255</v>
      </c>
      <c r="M51" t="s">
        <v>31</v>
      </c>
      <c r="N51">
        <v>9</v>
      </c>
      <c r="O51">
        <v>792.11</v>
      </c>
      <c r="P51">
        <v>0.05</v>
      </c>
      <c r="Q51" s="7">
        <f>IF(P51="", 0, P51)</f>
        <v>0.05</v>
      </c>
      <c r="R51">
        <v>6772.54</v>
      </c>
      <c r="S51">
        <v>5755.46</v>
      </c>
      <c r="T51" s="7">
        <f>N51*O51*(1-Q51)</f>
        <v>6772.5404999999992</v>
      </c>
      <c r="U51" s="7">
        <f t="shared" si="0"/>
        <v>1017.0804999999991</v>
      </c>
      <c r="V51">
        <v>1017.08</v>
      </c>
      <c r="W51" s="12">
        <f t="shared" si="1"/>
        <v>0.15017710119267641</v>
      </c>
      <c r="X51" t="s">
        <v>32</v>
      </c>
      <c r="Y51" t="str">
        <f t="shared" si="2"/>
        <v>Paid</v>
      </c>
      <c r="Z51" t="s">
        <v>33</v>
      </c>
      <c r="AA51">
        <f>C51-B51</f>
        <v>102</v>
      </c>
      <c r="AB51" t="str">
        <f>IF(B51="","Missing Order Date",
IF(C51="","Missing Ship Date","OK"))</f>
        <v>OK</v>
      </c>
      <c r="AC51" s="7" t="str">
        <f>IF(C51&lt;B51, "Invalid", "Valid")</f>
        <v>Valid</v>
      </c>
      <c r="AD51" s="7" t="str">
        <f>IF(COUNTIF($A:$A, A51)&gt;1, "Duplicate", "Unique")</f>
        <v>Unique</v>
      </c>
      <c r="AE51" s="7" t="str">
        <f>IF(G51="","Unknown",G51)</f>
        <v>North</v>
      </c>
      <c r="AF51" s="7" t="str">
        <f>IF(M51="","Unknown",M51)</f>
        <v>Second Class</v>
      </c>
      <c r="AG51" s="7" t="str">
        <f>IF(P51&lt;0,"Invalid",
IF(P51&gt;1,"Invalid","Valid"))</f>
        <v>Valid</v>
      </c>
      <c r="AH51" s="7" t="str">
        <f>TEXT(B51,"mmmm")</f>
        <v>June</v>
      </c>
      <c r="AI51" s="7">
        <f t="shared" si="3"/>
        <v>2024</v>
      </c>
      <c r="AJ51" s="7" t="str">
        <f>IF(OR(R51&lt;0,C51&lt;B51),"Invalid",
IF(OR(G51="Unknown",M51="Unknown"),"Warning","Clean"))</f>
        <v>Clean</v>
      </c>
      <c r="AK51" s="7" t="str">
        <f>IF(C51&lt;B51,"Ship Before Order","OK")</f>
        <v>OK</v>
      </c>
      <c r="AL51" s="7" t="str">
        <f>IF(ISNUMBER(B51),"Valid","Invalid")</f>
        <v>Valid</v>
      </c>
      <c r="AM51" s="7" t="str">
        <f t="shared" si="4"/>
        <v>Missmatched</v>
      </c>
      <c r="AN51" s="7" t="str">
        <f t="shared" si="5"/>
        <v>Missmatched</v>
      </c>
    </row>
    <row r="52" spans="1:40">
      <c r="A52" t="s">
        <v>256</v>
      </c>
      <c r="B52" s="6">
        <v>45966</v>
      </c>
      <c r="C52" s="4">
        <v>45550</v>
      </c>
      <c r="D52" t="s">
        <v>257</v>
      </c>
      <c r="E52" t="s">
        <v>132</v>
      </c>
      <c r="F52" t="s">
        <v>24</v>
      </c>
      <c r="G52" t="s">
        <v>38</v>
      </c>
      <c r="H52" t="s">
        <v>99</v>
      </c>
      <c r="I52" t="s">
        <v>100</v>
      </c>
      <c r="J52" t="s">
        <v>74</v>
      </c>
      <c r="K52" t="s">
        <v>80</v>
      </c>
      <c r="L52" t="s">
        <v>258</v>
      </c>
      <c r="M52" t="s">
        <v>59</v>
      </c>
      <c r="N52">
        <v>1</v>
      </c>
      <c r="O52">
        <v>2382.8000000000002</v>
      </c>
      <c r="P52">
        <v>0.15</v>
      </c>
      <c r="Q52" s="7">
        <f>IF(P52="", 0, P52)</f>
        <v>0.15</v>
      </c>
      <c r="R52">
        <v>2025.38</v>
      </c>
      <c r="S52">
        <v>1140.6500000000001</v>
      </c>
      <c r="T52" s="7">
        <f>N52*O52*(1-Q52)</f>
        <v>2025.38</v>
      </c>
      <c r="U52" s="7">
        <f t="shared" si="0"/>
        <v>884.73</v>
      </c>
      <c r="V52">
        <v>884.73</v>
      </c>
      <c r="W52" s="12">
        <f t="shared" si="1"/>
        <v>0.43682173221815163</v>
      </c>
      <c r="X52" t="s">
        <v>32</v>
      </c>
      <c r="Y52" t="str">
        <f t="shared" si="2"/>
        <v>Paid</v>
      </c>
      <c r="Z52" t="s">
        <v>33</v>
      </c>
      <c r="AA52">
        <f>C52-B52</f>
        <v>-416</v>
      </c>
      <c r="AB52" t="str">
        <f>IF(B52="","Missing Order Date",
IF(C52="","Missing Ship Date","OK"))</f>
        <v>OK</v>
      </c>
      <c r="AC52" s="7" t="str">
        <f>IF(C52&lt;B52, "Invalid", "Valid")</f>
        <v>Invalid</v>
      </c>
      <c r="AD52" s="7" t="str">
        <f>IF(COUNTIF($A:$A, A52)&gt;1, "Duplicate", "Unique")</f>
        <v>Unique</v>
      </c>
      <c r="AE52" s="7" t="str">
        <f>IF(G52="","Unknown",G52)</f>
        <v>East</v>
      </c>
      <c r="AF52" s="7" t="str">
        <f>IF(M52="","Unknown",M52)</f>
        <v>Standard Class</v>
      </c>
      <c r="AG52" s="7" t="str">
        <f>IF(P52&lt;0,"Invalid",
IF(P52&gt;1,"Invalid","Valid"))</f>
        <v>Valid</v>
      </c>
      <c r="AH52" s="7" t="str">
        <f>TEXT(B52,"mmmm")</f>
        <v>November</v>
      </c>
      <c r="AI52" s="7">
        <f t="shared" si="3"/>
        <v>2025</v>
      </c>
      <c r="AJ52" s="7" t="str">
        <f>IF(OR(R52&lt;0,C52&lt;B52),"Invalid",
IF(OR(G52="Unknown",M52="Unknown"),"Warning","Clean"))</f>
        <v>Invalid</v>
      </c>
      <c r="AK52" s="7" t="str">
        <f>IF(C52&lt;B52,"Ship Before Order","OK")</f>
        <v>Ship Before Order</v>
      </c>
      <c r="AL52" s="7" t="str">
        <f>IF(ISNUMBER(B52),"Valid","Invalid")</f>
        <v>Valid</v>
      </c>
      <c r="AM52" s="7" t="str">
        <f t="shared" si="4"/>
        <v>Ok</v>
      </c>
      <c r="AN52" s="7" t="str">
        <f t="shared" si="5"/>
        <v>Ok</v>
      </c>
    </row>
    <row r="53" spans="1:40">
      <c r="A53" t="s">
        <v>259</v>
      </c>
      <c r="B53" s="6">
        <v>45406</v>
      </c>
      <c r="C53" s="4">
        <v>45551</v>
      </c>
      <c r="D53" t="s">
        <v>260</v>
      </c>
      <c r="E53" t="s">
        <v>62</v>
      </c>
      <c r="F53" t="s">
        <v>90</v>
      </c>
      <c r="G53" t="s">
        <v>54</v>
      </c>
      <c r="H53" t="s">
        <v>55</v>
      </c>
      <c r="I53" t="s">
        <v>56</v>
      </c>
      <c r="J53" t="s">
        <v>28</v>
      </c>
      <c r="K53" t="s">
        <v>48</v>
      </c>
      <c r="L53" t="s">
        <v>261</v>
      </c>
      <c r="M53" t="s">
        <v>59</v>
      </c>
      <c r="N53">
        <v>6</v>
      </c>
      <c r="O53">
        <v>1528.08</v>
      </c>
      <c r="P53">
        <v>0</v>
      </c>
      <c r="Q53" s="7">
        <f>IF(P53="", 0, P53)</f>
        <v>0</v>
      </c>
      <c r="R53">
        <v>9168.48</v>
      </c>
      <c r="S53">
        <v>7439.77</v>
      </c>
      <c r="T53" s="7">
        <f>N53*O53*(1-Q53)</f>
        <v>9168.48</v>
      </c>
      <c r="U53" s="7">
        <f t="shared" si="0"/>
        <v>1728.7099999999991</v>
      </c>
      <c r="V53">
        <v>1728.71</v>
      </c>
      <c r="W53" s="12">
        <f t="shared" si="1"/>
        <v>0.18854924698532355</v>
      </c>
      <c r="X53" t="s">
        <v>32</v>
      </c>
      <c r="Y53" t="str">
        <f t="shared" si="2"/>
        <v>Paid</v>
      </c>
      <c r="Z53" t="s">
        <v>33</v>
      </c>
      <c r="AA53">
        <f>C53-B53</f>
        <v>145</v>
      </c>
      <c r="AB53" t="str">
        <f>IF(B53="","Missing Order Date",
IF(C53="","Missing Ship Date","OK"))</f>
        <v>OK</v>
      </c>
      <c r="AC53" s="7" t="str">
        <f>IF(C53&lt;B53, "Invalid", "Valid")</f>
        <v>Valid</v>
      </c>
      <c r="AD53" s="7" t="str">
        <f>IF(COUNTIF($A:$A, A53)&gt;1, "Duplicate", "Unique")</f>
        <v>Unique</v>
      </c>
      <c r="AE53" s="7" t="str">
        <f>IF(G53="","Unknown",G53)</f>
        <v>South</v>
      </c>
      <c r="AF53" s="7" t="str">
        <f>IF(M53="","Unknown",M53)</f>
        <v>Standard Class</v>
      </c>
      <c r="AG53" s="7" t="str">
        <f>IF(P53&lt;0,"Invalid",
IF(P53&gt;1,"Invalid","Valid"))</f>
        <v>Valid</v>
      </c>
      <c r="AH53" s="7" t="str">
        <f>TEXT(B53,"mmmm")</f>
        <v>April</v>
      </c>
      <c r="AI53" s="7">
        <f t="shared" si="3"/>
        <v>2024</v>
      </c>
      <c r="AJ53" s="7" t="str">
        <f>IF(OR(R53&lt;0,C53&lt;B53),"Invalid",
IF(OR(G53="Unknown",M53="Unknown"),"Warning","Clean"))</f>
        <v>Clean</v>
      </c>
      <c r="AK53" s="7" t="str">
        <f>IF(C53&lt;B53,"Ship Before Order","OK")</f>
        <v>OK</v>
      </c>
      <c r="AL53" s="7" t="str">
        <f>IF(ISNUMBER(B53),"Valid","Invalid")</f>
        <v>Valid</v>
      </c>
      <c r="AM53" s="7" t="str">
        <f t="shared" si="4"/>
        <v>Ok</v>
      </c>
      <c r="AN53" s="7" t="str">
        <f t="shared" si="5"/>
        <v>Ok</v>
      </c>
    </row>
    <row r="54" spans="1:40">
      <c r="A54" t="s">
        <v>262</v>
      </c>
      <c r="B54" s="6">
        <v>45591</v>
      </c>
      <c r="C54" s="4">
        <v>45552</v>
      </c>
      <c r="D54" t="s">
        <v>263</v>
      </c>
      <c r="E54" t="s">
        <v>264</v>
      </c>
      <c r="F54" t="s">
        <v>37</v>
      </c>
      <c r="G54" t="s">
        <v>25</v>
      </c>
      <c r="H54" t="s">
        <v>26</v>
      </c>
      <c r="I54" t="s">
        <v>27</v>
      </c>
      <c r="J54" t="s">
        <v>41</v>
      </c>
      <c r="K54" t="s">
        <v>66</v>
      </c>
      <c r="L54" t="s">
        <v>265</v>
      </c>
      <c r="M54" t="s">
        <v>50</v>
      </c>
      <c r="N54">
        <v>9</v>
      </c>
      <c r="O54">
        <v>1399.63</v>
      </c>
      <c r="P54">
        <v>0</v>
      </c>
      <c r="Q54" s="7">
        <f>IF(P54="", 0, P54)</f>
        <v>0</v>
      </c>
      <c r="R54">
        <v>12596.67</v>
      </c>
      <c r="S54">
        <v>10603.29</v>
      </c>
      <c r="T54" s="7">
        <f>N54*O54*(1-Q54)</f>
        <v>12596.670000000002</v>
      </c>
      <c r="U54" s="7">
        <f t="shared" si="0"/>
        <v>1993.380000000001</v>
      </c>
      <c r="V54">
        <v>1993.38</v>
      </c>
      <c r="W54" s="12">
        <f t="shared" si="1"/>
        <v>0.15824658421630483</v>
      </c>
      <c r="X54" t="s">
        <v>155</v>
      </c>
      <c r="Y54" t="str">
        <f t="shared" si="2"/>
        <v>Failed</v>
      </c>
      <c r="Z54" t="s">
        <v>68</v>
      </c>
      <c r="AA54">
        <f>C54-B54</f>
        <v>-39</v>
      </c>
      <c r="AB54" t="str">
        <f>IF(B54="","Missing Order Date",
IF(C54="","Missing Ship Date","OK"))</f>
        <v>OK</v>
      </c>
      <c r="AC54" s="7" t="str">
        <f>IF(C54&lt;B54, "Invalid", "Valid")</f>
        <v>Invalid</v>
      </c>
      <c r="AD54" s="7" t="str">
        <f>IF(COUNTIF($A:$A, A54)&gt;1, "Duplicate", "Unique")</f>
        <v>Unique</v>
      </c>
      <c r="AE54" s="7" t="str">
        <f>IF(G54="","Unknown",G54)</f>
        <v>North</v>
      </c>
      <c r="AF54" s="7" t="str">
        <f>IF(M54="","Unknown",M54)</f>
        <v>First Class</v>
      </c>
      <c r="AG54" s="7" t="str">
        <f>IF(P54&lt;0,"Invalid",
IF(P54&gt;1,"Invalid","Valid"))</f>
        <v>Valid</v>
      </c>
      <c r="AH54" s="7" t="str">
        <f>TEXT(B54,"mmmm")</f>
        <v>October</v>
      </c>
      <c r="AI54" s="7">
        <f t="shared" si="3"/>
        <v>2024</v>
      </c>
      <c r="AJ54" s="7" t="str">
        <f>IF(OR(R54&lt;0,C54&lt;B54),"Invalid",
IF(OR(G54="Unknown",M54="Unknown"),"Warning","Clean"))</f>
        <v>Invalid</v>
      </c>
      <c r="AK54" s="7" t="str">
        <f>IF(C54&lt;B54,"Ship Before Order","OK")</f>
        <v>Ship Before Order</v>
      </c>
      <c r="AL54" s="7" t="str">
        <f>IF(ISNUMBER(B54),"Valid","Invalid")</f>
        <v>Valid</v>
      </c>
      <c r="AM54" s="7" t="str">
        <f t="shared" si="4"/>
        <v>Ok</v>
      </c>
      <c r="AN54" s="7" t="str">
        <f t="shared" si="5"/>
        <v>Ok</v>
      </c>
    </row>
    <row r="55" spans="1:40">
      <c r="A55" t="s">
        <v>266</v>
      </c>
      <c r="B55" s="6">
        <v>45747</v>
      </c>
      <c r="C55" s="4">
        <v>45553</v>
      </c>
      <c r="D55" t="s">
        <v>267</v>
      </c>
      <c r="E55" t="s">
        <v>264</v>
      </c>
      <c r="F55" t="s">
        <v>95</v>
      </c>
      <c r="G55" t="s">
        <v>63</v>
      </c>
      <c r="H55" t="s">
        <v>180</v>
      </c>
      <c r="I55" t="s">
        <v>181</v>
      </c>
      <c r="J55" t="s">
        <v>28</v>
      </c>
      <c r="K55" t="s">
        <v>124</v>
      </c>
      <c r="L55" t="s">
        <v>268</v>
      </c>
      <c r="M55" t="s">
        <v>50</v>
      </c>
      <c r="N55">
        <v>5</v>
      </c>
      <c r="O55">
        <v>1207.47</v>
      </c>
      <c r="P55">
        <v>0.15</v>
      </c>
      <c r="Q55" s="7">
        <f>IF(P55="", 0, P55)</f>
        <v>0.15</v>
      </c>
      <c r="R55">
        <v>5131.75</v>
      </c>
      <c r="S55">
        <v>2838.68</v>
      </c>
      <c r="T55" s="7">
        <f>N55*O55*(1-Q55)</f>
        <v>5131.7475000000004</v>
      </c>
      <c r="U55" s="7">
        <f t="shared" si="0"/>
        <v>2293.0675000000006</v>
      </c>
      <c r="V55">
        <v>2293.0700000000002</v>
      </c>
      <c r="W55" s="12">
        <f t="shared" si="1"/>
        <v>0.44683950252813498</v>
      </c>
      <c r="X55" t="s">
        <v>32</v>
      </c>
      <c r="Y55" t="str">
        <f t="shared" si="2"/>
        <v>Paid</v>
      </c>
      <c r="Z55" t="s">
        <v>33</v>
      </c>
      <c r="AA55">
        <f>C55-B55</f>
        <v>-194</v>
      </c>
      <c r="AB55" t="str">
        <f>IF(B55="","Missing Order Date",
IF(C55="","Missing Ship Date","OK"))</f>
        <v>OK</v>
      </c>
      <c r="AC55" s="7" t="str">
        <f>IF(C55&lt;B55, "Invalid", "Valid")</f>
        <v>Invalid</v>
      </c>
      <c r="AD55" s="7" t="str">
        <f>IF(COUNTIF($A:$A, A55)&gt;1, "Duplicate", "Unique")</f>
        <v>Unique</v>
      </c>
      <c r="AE55" s="7" t="str">
        <f>IF(G55="","Unknown",G55)</f>
        <v>West</v>
      </c>
      <c r="AF55" s="7" t="str">
        <f>IF(M55="","Unknown",M55)</f>
        <v>First Class</v>
      </c>
      <c r="AG55" s="7" t="str">
        <f>IF(P55&lt;0,"Invalid",
IF(P55&gt;1,"Invalid","Valid"))</f>
        <v>Valid</v>
      </c>
      <c r="AH55" s="7" t="str">
        <f>TEXT(B55,"mmmm")</f>
        <v>March</v>
      </c>
      <c r="AI55" s="7">
        <f t="shared" si="3"/>
        <v>2025</v>
      </c>
      <c r="AJ55" s="7" t="str">
        <f>IF(OR(R55&lt;0,C55&lt;B55),"Invalid",
IF(OR(G55="Unknown",M55="Unknown"),"Warning","Clean"))</f>
        <v>Invalid</v>
      </c>
      <c r="AK55" s="7" t="str">
        <f>IF(C55&lt;B55,"Ship Before Order","OK")</f>
        <v>Ship Before Order</v>
      </c>
      <c r="AL55" s="7" t="str">
        <f>IF(ISNUMBER(B55),"Valid","Invalid")</f>
        <v>Valid</v>
      </c>
      <c r="AM55" s="7" t="str">
        <f t="shared" si="4"/>
        <v>Missmatched</v>
      </c>
      <c r="AN55" s="7" t="str">
        <f t="shared" si="5"/>
        <v>Missmatched</v>
      </c>
    </row>
    <row r="56" spans="1:40">
      <c r="A56" t="s">
        <v>269</v>
      </c>
      <c r="B56" s="6">
        <v>45807</v>
      </c>
      <c r="C56" s="4">
        <v>45554</v>
      </c>
      <c r="D56" t="s">
        <v>270</v>
      </c>
      <c r="E56" t="s">
        <v>53</v>
      </c>
      <c r="F56" t="s">
        <v>90</v>
      </c>
      <c r="G56" t="s">
        <v>54</v>
      </c>
      <c r="H56" t="s">
        <v>247</v>
      </c>
      <c r="I56" t="s">
        <v>248</v>
      </c>
      <c r="J56" t="s">
        <v>28</v>
      </c>
      <c r="K56" t="s">
        <v>91</v>
      </c>
      <c r="L56" t="s">
        <v>271</v>
      </c>
      <c r="M56" t="s">
        <v>44</v>
      </c>
      <c r="N56">
        <v>8</v>
      </c>
      <c r="O56">
        <v>474.37</v>
      </c>
      <c r="P56">
        <v>0.1</v>
      </c>
      <c r="Q56" s="7">
        <f>IF(P56="", 0, P56)</f>
        <v>0.1</v>
      </c>
      <c r="R56">
        <v>3415.46</v>
      </c>
      <c r="S56">
        <v>1993.23</v>
      </c>
      <c r="T56" s="7">
        <f>N56*O56*(1-Q56)</f>
        <v>3415.4639999999999</v>
      </c>
      <c r="U56" s="7">
        <f t="shared" si="0"/>
        <v>1422.2339999999999</v>
      </c>
      <c r="V56">
        <v>1422.23</v>
      </c>
      <c r="W56" s="12">
        <f t="shared" si="1"/>
        <v>0.4164101861416194</v>
      </c>
      <c r="X56" t="s">
        <v>155</v>
      </c>
      <c r="Y56" t="str">
        <f t="shared" si="2"/>
        <v>Failed</v>
      </c>
      <c r="Z56" t="s">
        <v>68</v>
      </c>
      <c r="AA56">
        <f>C56-B56</f>
        <v>-253</v>
      </c>
      <c r="AB56" t="str">
        <f>IF(B56="","Missing Order Date",
IF(C56="","Missing Ship Date","OK"))</f>
        <v>OK</v>
      </c>
      <c r="AC56" s="7" t="str">
        <f>IF(C56&lt;B56, "Invalid", "Valid")</f>
        <v>Invalid</v>
      </c>
      <c r="AD56" s="7" t="str">
        <f>IF(COUNTIF($A:$A, A56)&gt;1, "Duplicate", "Unique")</f>
        <v>Unique</v>
      </c>
      <c r="AE56" s="7" t="str">
        <f>IF(G56="","Unknown",G56)</f>
        <v>South</v>
      </c>
      <c r="AF56" s="7" t="str">
        <f>IF(M56="","Unknown",M56)</f>
        <v>Same Day</v>
      </c>
      <c r="AG56" s="7" t="str">
        <f>IF(P56&lt;0,"Invalid",
IF(P56&gt;1,"Invalid","Valid"))</f>
        <v>Valid</v>
      </c>
      <c r="AH56" s="7" t="str">
        <f>TEXT(B56,"mmmm")</f>
        <v>May</v>
      </c>
      <c r="AI56" s="7">
        <f t="shared" si="3"/>
        <v>2025</v>
      </c>
      <c r="AJ56" s="7" t="str">
        <f>IF(OR(R56&lt;0,C56&lt;B56),"Invalid",
IF(OR(G56="Unknown",M56="Unknown"),"Warning","Clean"))</f>
        <v>Invalid</v>
      </c>
      <c r="AK56" s="7" t="str">
        <f>IF(C56&lt;B56,"Ship Before Order","OK")</f>
        <v>Ship Before Order</v>
      </c>
      <c r="AL56" s="7" t="str">
        <f>IF(ISNUMBER(B56),"Valid","Invalid")</f>
        <v>Valid</v>
      </c>
      <c r="AM56" s="7" t="str">
        <f t="shared" si="4"/>
        <v>Missmatched</v>
      </c>
      <c r="AN56" s="7" t="str">
        <f t="shared" si="5"/>
        <v>Missmatched</v>
      </c>
    </row>
    <row r="57" spans="1:40">
      <c r="A57" t="s">
        <v>272</v>
      </c>
      <c r="B57" s="6">
        <v>45839</v>
      </c>
      <c r="C57" s="4">
        <v>45555</v>
      </c>
      <c r="D57" t="s">
        <v>273</v>
      </c>
      <c r="E57" t="s">
        <v>36</v>
      </c>
      <c r="F57" t="s">
        <v>37</v>
      </c>
      <c r="G57" t="s">
        <v>54</v>
      </c>
      <c r="H57" t="s">
        <v>84</v>
      </c>
      <c r="I57" t="s">
        <v>85</v>
      </c>
      <c r="J57" t="s">
        <v>74</v>
      </c>
      <c r="K57" t="s">
        <v>274</v>
      </c>
      <c r="L57" t="s">
        <v>275</v>
      </c>
      <c r="M57" t="s">
        <v>44</v>
      </c>
      <c r="N57">
        <v>3</v>
      </c>
      <c r="O57">
        <v>1516.24</v>
      </c>
      <c r="P57">
        <v>0.25</v>
      </c>
      <c r="Q57" s="7">
        <f>IF(P57="", 0, P57)</f>
        <v>0.25</v>
      </c>
      <c r="R57">
        <v>3411.54</v>
      </c>
      <c r="S57">
        <v>2803.13</v>
      </c>
      <c r="T57" s="7">
        <f>N57*O57*(1-Q57)</f>
        <v>3411.54</v>
      </c>
      <c r="U57" s="7">
        <f t="shared" si="0"/>
        <v>608.40999999999985</v>
      </c>
      <c r="V57">
        <v>608.41</v>
      </c>
      <c r="W57" s="12">
        <f t="shared" si="1"/>
        <v>0.17833881472883209</v>
      </c>
      <c r="X57" t="s">
        <v>32</v>
      </c>
      <c r="Y57" t="str">
        <f t="shared" si="2"/>
        <v>Paid</v>
      </c>
      <c r="Z57" t="s">
        <v>33</v>
      </c>
      <c r="AA57">
        <f>C57-B57</f>
        <v>-284</v>
      </c>
      <c r="AB57" t="str">
        <f>IF(B57="","Missing Order Date",
IF(C57="","Missing Ship Date","OK"))</f>
        <v>OK</v>
      </c>
      <c r="AC57" s="7" t="str">
        <f>IF(C57&lt;B57, "Invalid", "Valid")</f>
        <v>Invalid</v>
      </c>
      <c r="AD57" s="7" t="str">
        <f>IF(COUNTIF($A:$A, A57)&gt;1, "Duplicate", "Unique")</f>
        <v>Unique</v>
      </c>
      <c r="AE57" s="7" t="str">
        <f>IF(G57="","Unknown",G57)</f>
        <v>South</v>
      </c>
      <c r="AF57" s="7" t="str">
        <f>IF(M57="","Unknown",M57)</f>
        <v>Same Day</v>
      </c>
      <c r="AG57" s="7" t="str">
        <f>IF(P57&lt;0,"Invalid",
IF(P57&gt;1,"Invalid","Valid"))</f>
        <v>Valid</v>
      </c>
      <c r="AH57" s="7" t="str">
        <f>TEXT(B57,"mmmm")</f>
        <v>July</v>
      </c>
      <c r="AI57" s="7">
        <f t="shared" si="3"/>
        <v>2025</v>
      </c>
      <c r="AJ57" s="7" t="str">
        <f>IF(OR(R57&lt;0,C57&lt;B57),"Invalid",
IF(OR(G57="Unknown",M57="Unknown"),"Warning","Clean"))</f>
        <v>Invalid</v>
      </c>
      <c r="AK57" s="7" t="str">
        <f>IF(C57&lt;B57,"Ship Before Order","OK")</f>
        <v>Ship Before Order</v>
      </c>
      <c r="AL57" s="7" t="str">
        <f>IF(ISNUMBER(B57),"Valid","Invalid")</f>
        <v>Valid</v>
      </c>
      <c r="AM57" s="7" t="str">
        <f t="shared" si="4"/>
        <v>Ok</v>
      </c>
      <c r="AN57" s="7" t="str">
        <f t="shared" si="5"/>
        <v>Ok</v>
      </c>
    </row>
    <row r="58" spans="1:40">
      <c r="A58" t="s">
        <v>276</v>
      </c>
      <c r="B58" s="6">
        <v>45778</v>
      </c>
      <c r="C58" s="4">
        <v>45556</v>
      </c>
      <c r="D58" t="s">
        <v>277</v>
      </c>
      <c r="E58" t="s">
        <v>23</v>
      </c>
      <c r="F58" t="s">
        <v>24</v>
      </c>
      <c r="G58" t="s">
        <v>54</v>
      </c>
      <c r="H58" t="s">
        <v>175</v>
      </c>
      <c r="I58" t="s">
        <v>176</v>
      </c>
      <c r="J58" t="s">
        <v>28</v>
      </c>
      <c r="K58" t="s">
        <v>153</v>
      </c>
      <c r="L58" t="s">
        <v>278</v>
      </c>
      <c r="M58" t="s">
        <v>31</v>
      </c>
      <c r="N58">
        <v>3</v>
      </c>
      <c r="O58">
        <v>3155.61</v>
      </c>
      <c r="P58">
        <v>0</v>
      </c>
      <c r="Q58" s="7">
        <f>IF(P58="", 0, P58)</f>
        <v>0</v>
      </c>
      <c r="R58">
        <v>9466.83</v>
      </c>
      <c r="S58">
        <v>6557.83</v>
      </c>
      <c r="T58" s="7">
        <f>N58*O58*(1-Q58)</f>
        <v>9466.83</v>
      </c>
      <c r="U58" s="7">
        <f t="shared" si="0"/>
        <v>2909</v>
      </c>
      <c r="V58">
        <v>2909</v>
      </c>
      <c r="W58" s="12">
        <f t="shared" si="1"/>
        <v>0.30728343067320318</v>
      </c>
      <c r="X58" t="s">
        <v>102</v>
      </c>
      <c r="Y58" t="str">
        <f t="shared" si="2"/>
        <v>Refunded</v>
      </c>
      <c r="Z58" t="s">
        <v>68</v>
      </c>
      <c r="AA58">
        <f>C58-B58</f>
        <v>-222</v>
      </c>
      <c r="AB58" t="str">
        <f>IF(B58="","Missing Order Date",
IF(C58="","Missing Ship Date","OK"))</f>
        <v>OK</v>
      </c>
      <c r="AC58" s="7" t="str">
        <f>IF(C58&lt;B58, "Invalid", "Valid")</f>
        <v>Invalid</v>
      </c>
      <c r="AD58" s="7" t="str">
        <f>IF(COUNTIF($A:$A, A58)&gt;1, "Duplicate", "Unique")</f>
        <v>Unique</v>
      </c>
      <c r="AE58" s="7" t="str">
        <f>IF(G58="","Unknown",G58)</f>
        <v>South</v>
      </c>
      <c r="AF58" s="7" t="str">
        <f>IF(M58="","Unknown",M58)</f>
        <v>Second Class</v>
      </c>
      <c r="AG58" s="7" t="str">
        <f>IF(P58&lt;0,"Invalid",
IF(P58&gt;1,"Invalid","Valid"))</f>
        <v>Valid</v>
      </c>
      <c r="AH58" s="7" t="str">
        <f>TEXT(B58,"mmmm")</f>
        <v>May</v>
      </c>
      <c r="AI58" s="7">
        <f t="shared" si="3"/>
        <v>2025</v>
      </c>
      <c r="AJ58" s="7" t="str">
        <f>IF(OR(R58&lt;0,C58&lt;B58),"Invalid",
IF(OR(G58="Unknown",M58="Unknown"),"Warning","Clean"))</f>
        <v>Invalid</v>
      </c>
      <c r="AK58" s="7" t="str">
        <f>IF(C58&lt;B58,"Ship Before Order","OK")</f>
        <v>Ship Before Order</v>
      </c>
      <c r="AL58" s="7" t="str">
        <f>IF(ISNUMBER(B58),"Valid","Invalid")</f>
        <v>Valid</v>
      </c>
      <c r="AM58" s="7" t="str">
        <f t="shared" si="4"/>
        <v>Ok</v>
      </c>
      <c r="AN58" s="7" t="str">
        <f t="shared" si="5"/>
        <v>Ok</v>
      </c>
    </row>
    <row r="59" spans="1:40">
      <c r="A59" t="s">
        <v>279</v>
      </c>
      <c r="B59" s="6">
        <v>45475</v>
      </c>
      <c r="C59" s="4">
        <v>45557</v>
      </c>
      <c r="D59" t="s">
        <v>280</v>
      </c>
      <c r="E59" t="s">
        <v>114</v>
      </c>
      <c r="F59" t="s">
        <v>24</v>
      </c>
      <c r="G59" t="s">
        <v>63</v>
      </c>
      <c r="H59" t="s">
        <v>190</v>
      </c>
      <c r="I59" t="s">
        <v>191</v>
      </c>
      <c r="J59" t="s">
        <v>41</v>
      </c>
      <c r="K59" t="s">
        <v>66</v>
      </c>
      <c r="L59" t="s">
        <v>281</v>
      </c>
      <c r="M59" t="s">
        <v>44</v>
      </c>
      <c r="N59">
        <v>5</v>
      </c>
      <c r="O59">
        <v>255.87</v>
      </c>
      <c r="P59">
        <v>0</v>
      </c>
      <c r="Q59" s="7">
        <f>IF(P59="", 0, P59)</f>
        <v>0</v>
      </c>
      <c r="R59">
        <v>1279.3499999999999</v>
      </c>
      <c r="S59">
        <v>1091.54</v>
      </c>
      <c r="T59" s="7">
        <f>N59*O59*(1-Q59)</f>
        <v>1279.3499999999999</v>
      </c>
      <c r="U59" s="7">
        <f t="shared" si="0"/>
        <v>187.80999999999995</v>
      </c>
      <c r="V59">
        <v>187.81</v>
      </c>
      <c r="W59" s="12">
        <f t="shared" si="1"/>
        <v>0.14680110993864068</v>
      </c>
      <c r="X59" t="s">
        <v>32</v>
      </c>
      <c r="Y59" t="str">
        <f t="shared" si="2"/>
        <v>Paid</v>
      </c>
      <c r="Z59" t="s">
        <v>33</v>
      </c>
      <c r="AA59">
        <f>C59-B59</f>
        <v>82</v>
      </c>
      <c r="AB59" t="str">
        <f>IF(B59="","Missing Order Date",
IF(C59="","Missing Ship Date","OK"))</f>
        <v>OK</v>
      </c>
      <c r="AC59" s="7" t="str">
        <f>IF(C59&lt;B59, "Invalid", "Valid")</f>
        <v>Valid</v>
      </c>
      <c r="AD59" s="7" t="str">
        <f>IF(COUNTIF($A:$A, A59)&gt;1, "Duplicate", "Unique")</f>
        <v>Unique</v>
      </c>
      <c r="AE59" s="7" t="str">
        <f>IF(G59="","Unknown",G59)</f>
        <v>West</v>
      </c>
      <c r="AF59" s="7" t="str">
        <f>IF(M59="","Unknown",M59)</f>
        <v>Same Day</v>
      </c>
      <c r="AG59" s="7" t="str">
        <f>IF(P59&lt;0,"Invalid",
IF(P59&gt;1,"Invalid","Valid"))</f>
        <v>Valid</v>
      </c>
      <c r="AH59" s="7" t="str">
        <f>TEXT(B59,"mmmm")</f>
        <v>July</v>
      </c>
      <c r="AI59" s="7">
        <f t="shared" si="3"/>
        <v>2024</v>
      </c>
      <c r="AJ59" s="7" t="str">
        <f>IF(OR(R59&lt;0,C59&lt;B59),"Invalid",
IF(OR(G59="Unknown",M59="Unknown"),"Warning","Clean"))</f>
        <v>Clean</v>
      </c>
      <c r="AK59" s="7" t="str">
        <f>IF(C59&lt;B59,"Ship Before Order","OK")</f>
        <v>OK</v>
      </c>
      <c r="AL59" s="7" t="str">
        <f>IF(ISNUMBER(B59),"Valid","Invalid")</f>
        <v>Valid</v>
      </c>
      <c r="AM59" s="7" t="str">
        <f t="shared" si="4"/>
        <v>Ok</v>
      </c>
      <c r="AN59" s="7" t="str">
        <f t="shared" si="5"/>
        <v>Ok</v>
      </c>
    </row>
    <row r="60" spans="1:40">
      <c r="A60" t="s">
        <v>282</v>
      </c>
      <c r="B60" s="6">
        <v>45300</v>
      </c>
      <c r="C60" s="4">
        <v>45558</v>
      </c>
      <c r="D60" t="s">
        <v>283</v>
      </c>
      <c r="E60" t="s">
        <v>47</v>
      </c>
      <c r="F60" t="s">
        <v>95</v>
      </c>
      <c r="G60" t="s">
        <v>25</v>
      </c>
      <c r="H60" t="s">
        <v>26</v>
      </c>
      <c r="I60" t="s">
        <v>27</v>
      </c>
      <c r="J60" t="s">
        <v>28</v>
      </c>
      <c r="K60" t="s">
        <v>124</v>
      </c>
      <c r="L60" t="s">
        <v>284</v>
      </c>
      <c r="M60" t="s">
        <v>2785</v>
      </c>
      <c r="N60">
        <v>9</v>
      </c>
      <c r="O60">
        <v>1389.48</v>
      </c>
      <c r="P60">
        <v>0.1</v>
      </c>
      <c r="Q60" s="7">
        <f>IF(P60="", 0, P60)</f>
        <v>0.1</v>
      </c>
      <c r="R60">
        <v>11254.79</v>
      </c>
      <c r="S60">
        <v>6578.06</v>
      </c>
      <c r="T60" s="7">
        <f>N60*O60*(1-Q60)</f>
        <v>11254.788</v>
      </c>
      <c r="U60" s="7">
        <f t="shared" si="0"/>
        <v>4676.7280000000001</v>
      </c>
      <c r="V60">
        <v>4676.7299999999996</v>
      </c>
      <c r="W60" s="12">
        <f t="shared" si="1"/>
        <v>0.41553230500654476</v>
      </c>
      <c r="X60" t="s">
        <v>111</v>
      </c>
      <c r="Y60" t="str">
        <f t="shared" si="2"/>
        <v>Pending</v>
      </c>
      <c r="Z60" t="s">
        <v>103</v>
      </c>
      <c r="AA60">
        <f>C60-B60</f>
        <v>258</v>
      </c>
      <c r="AB60" t="str">
        <f>IF(B60="","Missing Order Date",
IF(C60="","Missing Ship Date","OK"))</f>
        <v>OK</v>
      </c>
      <c r="AC60" s="7" t="str">
        <f>IF(C60&lt;B60, "Invalid", "Valid")</f>
        <v>Valid</v>
      </c>
      <c r="AD60" s="7" t="str">
        <f>IF(COUNTIF($A:$A, A60)&gt;1, "Duplicate", "Unique")</f>
        <v>Unique</v>
      </c>
      <c r="AE60" s="7" t="str">
        <f>IF(G60="","Unknown",G60)</f>
        <v>North</v>
      </c>
      <c r="AF60" s="7" t="str">
        <f>IF(M60="","Unknown",M60)</f>
        <v>Unknown</v>
      </c>
      <c r="AG60" s="7" t="str">
        <f>IF(P60&lt;0,"Invalid",
IF(P60&gt;1,"Invalid","Valid"))</f>
        <v>Valid</v>
      </c>
      <c r="AH60" s="7" t="str">
        <f>TEXT(B60,"mmmm")</f>
        <v>January</v>
      </c>
      <c r="AI60" s="7">
        <f t="shared" si="3"/>
        <v>2024</v>
      </c>
      <c r="AJ60" s="7" t="str">
        <f>IF(OR(R60&lt;0,C60&lt;B60),"Invalid",
IF(OR(G60="Unknown",M60="Unknown"),"Warning","Clean"))</f>
        <v>Clean</v>
      </c>
      <c r="AK60" s="7" t="str">
        <f>IF(C60&lt;B60,"Ship Before Order","OK")</f>
        <v>OK</v>
      </c>
      <c r="AL60" s="7" t="str">
        <f>IF(ISNUMBER(B60),"Valid","Invalid")</f>
        <v>Valid</v>
      </c>
      <c r="AM60" s="7" t="str">
        <f t="shared" si="4"/>
        <v>Missmatched</v>
      </c>
      <c r="AN60" s="7" t="str">
        <f t="shared" si="5"/>
        <v>Missmatched</v>
      </c>
    </row>
    <row r="61" spans="1:40">
      <c r="A61" t="s">
        <v>285</v>
      </c>
      <c r="B61" s="6">
        <v>45493</v>
      </c>
      <c r="C61" s="4">
        <v>45559</v>
      </c>
      <c r="D61" t="s">
        <v>286</v>
      </c>
      <c r="E61" t="s">
        <v>114</v>
      </c>
      <c r="F61" t="s">
        <v>90</v>
      </c>
      <c r="G61" t="s">
        <v>38</v>
      </c>
      <c r="H61" t="s">
        <v>166</v>
      </c>
      <c r="I61" t="s">
        <v>167</v>
      </c>
      <c r="J61" t="s">
        <v>28</v>
      </c>
      <c r="K61" t="s">
        <v>91</v>
      </c>
      <c r="L61" t="s">
        <v>287</v>
      </c>
      <c r="M61" t="s">
        <v>44</v>
      </c>
      <c r="N61">
        <v>5</v>
      </c>
      <c r="O61">
        <v>4133.8500000000004</v>
      </c>
      <c r="P61">
        <v>0.2</v>
      </c>
      <c r="Q61" s="7">
        <f>IF(P61="", 0, P61)</f>
        <v>0.2</v>
      </c>
      <c r="R61">
        <v>16535.400000000001</v>
      </c>
      <c r="S61">
        <v>12990.21</v>
      </c>
      <c r="T61" s="7">
        <f>N61*O61*(1-Q61)</f>
        <v>16535.400000000001</v>
      </c>
      <c r="U61" s="7">
        <f t="shared" si="0"/>
        <v>3545.1900000000023</v>
      </c>
      <c r="V61">
        <v>3545.19</v>
      </c>
      <c r="W61" s="12">
        <f t="shared" si="1"/>
        <v>0.21440001451431487</v>
      </c>
      <c r="X61" t="s">
        <v>32</v>
      </c>
      <c r="Y61" t="str">
        <f t="shared" si="2"/>
        <v>Paid</v>
      </c>
      <c r="Z61" t="s">
        <v>68</v>
      </c>
      <c r="AA61">
        <f>C61-B61</f>
        <v>66</v>
      </c>
      <c r="AB61" t="str">
        <f>IF(B61="","Missing Order Date",
IF(C61="","Missing Ship Date","OK"))</f>
        <v>OK</v>
      </c>
      <c r="AC61" s="7" t="str">
        <f>IF(C61&lt;B61, "Invalid", "Valid")</f>
        <v>Valid</v>
      </c>
      <c r="AD61" s="7" t="str">
        <f>IF(COUNTIF($A:$A, A61)&gt;1, "Duplicate", "Unique")</f>
        <v>Unique</v>
      </c>
      <c r="AE61" s="7" t="str">
        <f>IF(G61="","Unknown",G61)</f>
        <v>East</v>
      </c>
      <c r="AF61" s="7" t="str">
        <f>IF(M61="","Unknown",M61)</f>
        <v>Same Day</v>
      </c>
      <c r="AG61" s="7" t="str">
        <f>IF(P61&lt;0,"Invalid",
IF(P61&gt;1,"Invalid","Valid"))</f>
        <v>Valid</v>
      </c>
      <c r="AH61" s="7" t="str">
        <f>TEXT(B61,"mmmm")</f>
        <v>July</v>
      </c>
      <c r="AI61" s="7">
        <f t="shared" si="3"/>
        <v>2024</v>
      </c>
      <c r="AJ61" s="7" t="str">
        <f>IF(OR(R61&lt;0,C61&lt;B61),"Invalid",
IF(OR(G61="Unknown",M61="Unknown"),"Warning","Clean"))</f>
        <v>Clean</v>
      </c>
      <c r="AK61" s="7" t="str">
        <f>IF(C61&lt;B61,"Ship Before Order","OK")</f>
        <v>OK</v>
      </c>
      <c r="AL61" s="7" t="str">
        <f>IF(ISNUMBER(B61),"Valid","Invalid")</f>
        <v>Valid</v>
      </c>
      <c r="AM61" s="7" t="str">
        <f t="shared" si="4"/>
        <v>Ok</v>
      </c>
      <c r="AN61" s="7" t="str">
        <f t="shared" si="5"/>
        <v>Ok</v>
      </c>
    </row>
    <row r="62" spans="1:40">
      <c r="A62" t="s">
        <v>288</v>
      </c>
      <c r="B62" s="6">
        <v>45486</v>
      </c>
      <c r="C62" s="4">
        <v>45560</v>
      </c>
      <c r="D62" t="s">
        <v>289</v>
      </c>
      <c r="E62" t="s">
        <v>62</v>
      </c>
      <c r="F62" t="s">
        <v>90</v>
      </c>
      <c r="G62" t="s">
        <v>38</v>
      </c>
      <c r="H62" t="s">
        <v>166</v>
      </c>
      <c r="I62" t="s">
        <v>167</v>
      </c>
      <c r="J62" t="s">
        <v>28</v>
      </c>
      <c r="K62" t="s">
        <v>91</v>
      </c>
      <c r="L62" t="s">
        <v>290</v>
      </c>
      <c r="M62" t="s">
        <v>44</v>
      </c>
      <c r="N62">
        <v>3</v>
      </c>
      <c r="O62">
        <v>275.76</v>
      </c>
      <c r="P62">
        <v>0.2</v>
      </c>
      <c r="Q62" s="7">
        <f>IF(P62="", 0, P62)</f>
        <v>0.2</v>
      </c>
      <c r="R62">
        <v>661.82</v>
      </c>
      <c r="S62">
        <v>481.47</v>
      </c>
      <c r="T62" s="7">
        <f>N62*O62*(1-Q62)</f>
        <v>661.82400000000007</v>
      </c>
      <c r="U62" s="7">
        <f t="shared" si="0"/>
        <v>180.35400000000004</v>
      </c>
      <c r="V62">
        <v>180.35</v>
      </c>
      <c r="W62" s="12">
        <f t="shared" si="1"/>
        <v>0.27251051639106472</v>
      </c>
      <c r="X62" t="s">
        <v>102</v>
      </c>
      <c r="Y62" t="str">
        <f t="shared" si="2"/>
        <v>Refunded</v>
      </c>
      <c r="Z62" t="s">
        <v>68</v>
      </c>
      <c r="AA62">
        <f>C62-B62</f>
        <v>74</v>
      </c>
      <c r="AB62" t="str">
        <f>IF(B62="","Missing Order Date",
IF(C62="","Missing Ship Date","OK"))</f>
        <v>OK</v>
      </c>
      <c r="AC62" s="7" t="str">
        <f>IF(C62&lt;B62, "Invalid", "Valid")</f>
        <v>Valid</v>
      </c>
      <c r="AD62" s="7" t="str">
        <f>IF(COUNTIF($A:$A, A62)&gt;1, "Duplicate", "Unique")</f>
        <v>Unique</v>
      </c>
      <c r="AE62" s="7" t="str">
        <f>IF(G62="","Unknown",G62)</f>
        <v>East</v>
      </c>
      <c r="AF62" s="7" t="str">
        <f>IF(M62="","Unknown",M62)</f>
        <v>Same Day</v>
      </c>
      <c r="AG62" s="7" t="str">
        <f>IF(P62&lt;0,"Invalid",
IF(P62&gt;1,"Invalid","Valid"))</f>
        <v>Valid</v>
      </c>
      <c r="AH62" s="7" t="str">
        <f>TEXT(B62,"mmmm")</f>
        <v>July</v>
      </c>
      <c r="AI62" s="7">
        <f t="shared" si="3"/>
        <v>2024</v>
      </c>
      <c r="AJ62" s="7" t="str">
        <f>IF(OR(R62&lt;0,C62&lt;B62),"Invalid",
IF(OR(G62="Unknown",M62="Unknown"),"Warning","Clean"))</f>
        <v>Clean</v>
      </c>
      <c r="AK62" s="7" t="str">
        <f>IF(C62&lt;B62,"Ship Before Order","OK")</f>
        <v>OK</v>
      </c>
      <c r="AL62" s="7" t="str">
        <f>IF(ISNUMBER(B62),"Valid","Invalid")</f>
        <v>Valid</v>
      </c>
      <c r="AM62" s="7" t="str">
        <f t="shared" si="4"/>
        <v>Missmatched</v>
      </c>
      <c r="AN62" s="7" t="str">
        <f t="shared" si="5"/>
        <v>Missmatched</v>
      </c>
    </row>
    <row r="63" spans="1:40">
      <c r="A63" t="s">
        <v>291</v>
      </c>
      <c r="B63" s="6">
        <v>45398</v>
      </c>
      <c r="C63" s="4">
        <v>45561</v>
      </c>
      <c r="D63" t="s">
        <v>292</v>
      </c>
      <c r="E63" t="s">
        <v>71</v>
      </c>
      <c r="F63" t="s">
        <v>95</v>
      </c>
      <c r="G63" t="s">
        <v>38</v>
      </c>
      <c r="H63" t="s">
        <v>145</v>
      </c>
      <c r="I63" t="s">
        <v>146</v>
      </c>
      <c r="J63" t="s">
        <v>41</v>
      </c>
      <c r="K63" t="s">
        <v>158</v>
      </c>
      <c r="L63" t="s">
        <v>293</v>
      </c>
      <c r="M63" t="s">
        <v>59</v>
      </c>
      <c r="N63">
        <v>1</v>
      </c>
      <c r="O63">
        <v>949.59</v>
      </c>
      <c r="P63">
        <v>0</v>
      </c>
      <c r="Q63" s="7">
        <f>IF(P63="", 0, P63)</f>
        <v>0</v>
      </c>
      <c r="R63">
        <v>949.59</v>
      </c>
      <c r="S63">
        <v>751.25</v>
      </c>
      <c r="T63" s="7">
        <f>N63*O63*(1-Q63)</f>
        <v>949.59</v>
      </c>
      <c r="U63" s="7">
        <f t="shared" si="0"/>
        <v>198.34000000000003</v>
      </c>
      <c r="V63">
        <v>198.34</v>
      </c>
      <c r="W63" s="12">
        <f t="shared" si="1"/>
        <v>0.20886909087079689</v>
      </c>
      <c r="X63" t="s">
        <v>32</v>
      </c>
      <c r="Y63" t="str">
        <f t="shared" si="2"/>
        <v>Paid</v>
      </c>
      <c r="Z63" t="s">
        <v>33</v>
      </c>
      <c r="AA63">
        <f>C63-B63</f>
        <v>163</v>
      </c>
      <c r="AB63" t="str">
        <f>IF(B63="","Missing Order Date",
IF(C63="","Missing Ship Date","OK"))</f>
        <v>OK</v>
      </c>
      <c r="AC63" s="7" t="str">
        <f>IF(C63&lt;B63, "Invalid", "Valid")</f>
        <v>Valid</v>
      </c>
      <c r="AD63" s="7" t="str">
        <f>IF(COUNTIF($A:$A, A63)&gt;1, "Duplicate", "Unique")</f>
        <v>Unique</v>
      </c>
      <c r="AE63" s="7" t="str">
        <f>IF(G63="","Unknown",G63)</f>
        <v>East</v>
      </c>
      <c r="AF63" s="7" t="str">
        <f>IF(M63="","Unknown",M63)</f>
        <v>Standard Class</v>
      </c>
      <c r="AG63" s="7" t="str">
        <f>IF(P63&lt;0,"Invalid",
IF(P63&gt;1,"Invalid","Valid"))</f>
        <v>Valid</v>
      </c>
      <c r="AH63" s="7" t="str">
        <f>TEXT(B63,"mmmm")</f>
        <v>April</v>
      </c>
      <c r="AI63" s="7">
        <f t="shared" si="3"/>
        <v>2024</v>
      </c>
      <c r="AJ63" s="7" t="str">
        <f>IF(OR(R63&lt;0,C63&lt;B63),"Invalid",
IF(OR(G63="Unknown",M63="Unknown"),"Warning","Clean"))</f>
        <v>Clean</v>
      </c>
      <c r="AK63" s="7" t="str">
        <f>IF(C63&lt;B63,"Ship Before Order","OK")</f>
        <v>OK</v>
      </c>
      <c r="AL63" s="7" t="str">
        <f>IF(ISNUMBER(B63),"Valid","Invalid")</f>
        <v>Valid</v>
      </c>
      <c r="AM63" s="7" t="str">
        <f t="shared" si="4"/>
        <v>Ok</v>
      </c>
      <c r="AN63" s="7" t="str">
        <f t="shared" si="5"/>
        <v>Ok</v>
      </c>
    </row>
    <row r="64" spans="1:40">
      <c r="A64" t="s">
        <v>294</v>
      </c>
      <c r="B64" s="6">
        <v>45595</v>
      </c>
      <c r="C64" s="4">
        <v>45562</v>
      </c>
      <c r="D64" t="s">
        <v>295</v>
      </c>
      <c r="E64" t="s">
        <v>132</v>
      </c>
      <c r="F64" t="s">
        <v>95</v>
      </c>
      <c r="G64" t="s">
        <v>25</v>
      </c>
      <c r="H64" t="s">
        <v>26</v>
      </c>
      <c r="I64" t="s">
        <v>27</v>
      </c>
      <c r="J64" t="s">
        <v>74</v>
      </c>
      <c r="K64" t="s">
        <v>171</v>
      </c>
      <c r="L64" t="s">
        <v>296</v>
      </c>
      <c r="M64" t="s">
        <v>59</v>
      </c>
      <c r="N64">
        <v>9</v>
      </c>
      <c r="O64">
        <v>3042.29</v>
      </c>
      <c r="P64">
        <v>0.2</v>
      </c>
      <c r="Q64" s="7">
        <f>IF(P64="", 0, P64)</f>
        <v>0.2</v>
      </c>
      <c r="R64">
        <v>21904.49</v>
      </c>
      <c r="S64">
        <v>13570.55</v>
      </c>
      <c r="T64" s="7">
        <f>N64*O64*(1-Q64)</f>
        <v>21904.488000000001</v>
      </c>
      <c r="U64" s="7">
        <f t="shared" si="0"/>
        <v>8333.9380000000019</v>
      </c>
      <c r="V64">
        <v>8333.94</v>
      </c>
      <c r="W64" s="12">
        <f t="shared" si="1"/>
        <v>0.38046714445003244</v>
      </c>
      <c r="X64" t="s">
        <v>32</v>
      </c>
      <c r="Y64" t="str">
        <f t="shared" si="2"/>
        <v>Paid</v>
      </c>
      <c r="Z64" t="s">
        <v>33</v>
      </c>
      <c r="AA64">
        <f>C64-B64</f>
        <v>-33</v>
      </c>
      <c r="AB64" t="str">
        <f>IF(B64="","Missing Order Date",
IF(C64="","Missing Ship Date","OK"))</f>
        <v>OK</v>
      </c>
      <c r="AC64" s="7" t="str">
        <f>IF(C64&lt;B64, "Invalid", "Valid")</f>
        <v>Invalid</v>
      </c>
      <c r="AD64" s="7" t="str">
        <f>IF(COUNTIF($A:$A, A64)&gt;1, "Duplicate", "Unique")</f>
        <v>Unique</v>
      </c>
      <c r="AE64" s="7" t="str">
        <f>IF(G64="","Unknown",G64)</f>
        <v>North</v>
      </c>
      <c r="AF64" s="7" t="str">
        <f>IF(M64="","Unknown",M64)</f>
        <v>Standard Class</v>
      </c>
      <c r="AG64" s="7" t="str">
        <f>IF(P64&lt;0,"Invalid",
IF(P64&gt;1,"Invalid","Valid"))</f>
        <v>Valid</v>
      </c>
      <c r="AH64" s="7" t="str">
        <f>TEXT(B64,"mmmm")</f>
        <v>October</v>
      </c>
      <c r="AI64" s="7">
        <f t="shared" si="3"/>
        <v>2024</v>
      </c>
      <c r="AJ64" s="7" t="str">
        <f>IF(OR(R64&lt;0,C64&lt;B64),"Invalid",
IF(OR(G64="Unknown",M64="Unknown"),"Warning","Clean"))</f>
        <v>Invalid</v>
      </c>
      <c r="AK64" s="7" t="str">
        <f>IF(C64&lt;B64,"Ship Before Order","OK")</f>
        <v>Ship Before Order</v>
      </c>
      <c r="AL64" s="7" t="str">
        <f>IF(ISNUMBER(B64),"Valid","Invalid")</f>
        <v>Valid</v>
      </c>
      <c r="AM64" s="7" t="str">
        <f t="shared" si="4"/>
        <v>Missmatched</v>
      </c>
      <c r="AN64" s="7" t="str">
        <f t="shared" si="5"/>
        <v>Missmatched</v>
      </c>
    </row>
    <row r="65" spans="1:40">
      <c r="A65" t="s">
        <v>297</v>
      </c>
      <c r="B65" s="6">
        <v>45316</v>
      </c>
      <c r="C65" s="4">
        <v>45563</v>
      </c>
      <c r="D65" t="s">
        <v>298</v>
      </c>
      <c r="E65" t="s">
        <v>132</v>
      </c>
      <c r="F65" t="s">
        <v>95</v>
      </c>
      <c r="G65" t="s">
        <v>25</v>
      </c>
      <c r="H65" t="s">
        <v>236</v>
      </c>
      <c r="I65" t="s">
        <v>237</v>
      </c>
      <c r="J65" t="s">
        <v>28</v>
      </c>
      <c r="K65" t="s">
        <v>153</v>
      </c>
      <c r="L65" t="s">
        <v>299</v>
      </c>
      <c r="M65" t="s">
        <v>44</v>
      </c>
      <c r="N65">
        <v>2</v>
      </c>
      <c r="O65">
        <v>2832.77</v>
      </c>
      <c r="P65">
        <v>0.15</v>
      </c>
      <c r="Q65" s="7">
        <f>IF(P65="", 0, P65)</f>
        <v>0.15</v>
      </c>
      <c r="R65">
        <v>4815.71</v>
      </c>
      <c r="S65">
        <v>3027.75</v>
      </c>
      <c r="T65" s="7">
        <f>N65*O65*(1-Q65)</f>
        <v>4815.7089999999998</v>
      </c>
      <c r="U65" s="7">
        <f t="shared" si="0"/>
        <v>1787.9589999999998</v>
      </c>
      <c r="V65">
        <v>1917.47</v>
      </c>
      <c r="W65" s="12">
        <f t="shared" si="1"/>
        <v>0.37127637903369992</v>
      </c>
      <c r="X65" t="s">
        <v>32</v>
      </c>
      <c r="Y65" t="str">
        <f t="shared" si="2"/>
        <v>Paid</v>
      </c>
      <c r="Z65" t="s">
        <v>33</v>
      </c>
      <c r="AA65">
        <f>C65-B65</f>
        <v>247</v>
      </c>
      <c r="AB65" t="str">
        <f>IF(B65="","Missing Order Date",
IF(C65="","Missing Ship Date","OK"))</f>
        <v>OK</v>
      </c>
      <c r="AC65" s="7" t="str">
        <f>IF(C65&lt;B65, "Invalid", "Valid")</f>
        <v>Valid</v>
      </c>
      <c r="AD65" s="7" t="str">
        <f>IF(COUNTIF($A:$A, A65)&gt;1, "Duplicate", "Unique")</f>
        <v>Unique</v>
      </c>
      <c r="AE65" s="7" t="str">
        <f>IF(G65="","Unknown",G65)</f>
        <v>North</v>
      </c>
      <c r="AF65" s="7" t="str">
        <f>IF(M65="","Unknown",M65)</f>
        <v>Same Day</v>
      </c>
      <c r="AG65" s="7" t="str">
        <f>IF(P65&lt;0,"Invalid",
IF(P65&gt;1,"Invalid","Valid"))</f>
        <v>Valid</v>
      </c>
      <c r="AH65" s="7" t="str">
        <f>TEXT(B65,"mmmm")</f>
        <v>January</v>
      </c>
      <c r="AI65" s="7">
        <f t="shared" si="3"/>
        <v>2024</v>
      </c>
      <c r="AJ65" s="7" t="str">
        <f>IF(OR(R65&lt;0,C65&lt;B65),"Invalid",
IF(OR(G65="Unknown",M65="Unknown"),"Warning","Clean"))</f>
        <v>Clean</v>
      </c>
      <c r="AK65" s="7" t="str">
        <f>IF(C65&lt;B65,"Ship Before Order","OK")</f>
        <v>OK</v>
      </c>
      <c r="AL65" s="7" t="str">
        <f>IF(ISNUMBER(B65),"Valid","Invalid")</f>
        <v>Valid</v>
      </c>
      <c r="AM65" s="7" t="str">
        <f t="shared" si="4"/>
        <v>Missmatched</v>
      </c>
      <c r="AN65" s="7" t="str">
        <f t="shared" si="5"/>
        <v>Missmatched</v>
      </c>
    </row>
    <row r="66" spans="1:40">
      <c r="A66" t="s">
        <v>300</v>
      </c>
      <c r="B66" s="6">
        <v>45649</v>
      </c>
      <c r="C66" s="4">
        <v>45564</v>
      </c>
      <c r="D66" t="s">
        <v>301</v>
      </c>
      <c r="E66" t="s">
        <v>128</v>
      </c>
      <c r="F66" t="s">
        <v>90</v>
      </c>
      <c r="G66" t="s">
        <v>38</v>
      </c>
      <c r="H66" t="s">
        <v>228</v>
      </c>
      <c r="I66" t="s">
        <v>229</v>
      </c>
      <c r="J66" t="s">
        <v>28</v>
      </c>
      <c r="K66" t="s">
        <v>29</v>
      </c>
      <c r="L66" t="s">
        <v>302</v>
      </c>
      <c r="M66" t="s">
        <v>50</v>
      </c>
      <c r="N66">
        <v>7</v>
      </c>
      <c r="O66">
        <v>447.84</v>
      </c>
      <c r="P66">
        <v>0</v>
      </c>
      <c r="Q66" s="7">
        <f>IF(P66="", 0, P66)</f>
        <v>0</v>
      </c>
      <c r="R66">
        <v>3134.88</v>
      </c>
      <c r="S66">
        <v>2367.63</v>
      </c>
      <c r="T66" s="7">
        <f>N66*O66*(1-Q66)</f>
        <v>3134.8799999999997</v>
      </c>
      <c r="U66" s="7">
        <f t="shared" ref="U66:U129" si="6">T66-S66</f>
        <v>767.24999999999955</v>
      </c>
      <c r="V66">
        <v>767.25</v>
      </c>
      <c r="W66" s="12">
        <f t="shared" ref="W66:W129" si="7">IF(T66=0,0,U66/T66)</f>
        <v>0.24474621038125849</v>
      </c>
      <c r="X66" t="s">
        <v>102</v>
      </c>
      <c r="Y66" t="str">
        <f t="shared" ref="Y66:Y129" si="8">PROPER(TRIM(X66))</f>
        <v>Refunded</v>
      </c>
      <c r="Z66" t="s">
        <v>103</v>
      </c>
      <c r="AA66">
        <f>C66-B66</f>
        <v>-85</v>
      </c>
      <c r="AB66" t="str">
        <f>IF(B66="","Missing Order Date",
IF(C66="","Missing Ship Date","OK"))</f>
        <v>OK</v>
      </c>
      <c r="AC66" s="7" t="str">
        <f>IF(C66&lt;B66, "Invalid", "Valid")</f>
        <v>Invalid</v>
      </c>
      <c r="AD66" s="7" t="str">
        <f>IF(COUNTIF($A:$A, A66)&gt;1, "Duplicate", "Unique")</f>
        <v>Unique</v>
      </c>
      <c r="AE66" s="7" t="str">
        <f>IF(G66="","Unknown",G66)</f>
        <v>East</v>
      </c>
      <c r="AF66" s="7" t="str">
        <f>IF(M66="","Unknown",M66)</f>
        <v>First Class</v>
      </c>
      <c r="AG66" s="7" t="str">
        <f>IF(P66&lt;0,"Invalid",
IF(P66&gt;1,"Invalid","Valid"))</f>
        <v>Valid</v>
      </c>
      <c r="AH66" s="7" t="str">
        <f>TEXT(B66,"mmmm")</f>
        <v>December</v>
      </c>
      <c r="AI66" s="7">
        <f t="shared" ref="AI66:AI129" si="9">YEAR(B66)</f>
        <v>2024</v>
      </c>
      <c r="AJ66" s="7" t="str">
        <f>IF(OR(R66&lt;0,C66&lt;B66),"Invalid",
IF(OR(G66="Unknown",M66="Unknown"),"Warning","Clean"))</f>
        <v>Invalid</v>
      </c>
      <c r="AK66" s="7" t="str">
        <f>IF(C66&lt;B66,"Ship Before Order","OK")</f>
        <v>Ship Before Order</v>
      </c>
      <c r="AL66" s="7" t="str">
        <f>IF(ISNUMBER(B66),"Valid","Invalid")</f>
        <v>Valid</v>
      </c>
      <c r="AM66" s="7" t="str">
        <f t="shared" ref="AM66:AM129" si="10">IF(R66&lt;&gt;T66, "Missmatched", "Ok")</f>
        <v>Ok</v>
      </c>
      <c r="AN66" s="7" t="str">
        <f t="shared" ref="AN66:AN129" si="11">IF(V66&lt;&gt;U66, "Missmatched", "Ok")</f>
        <v>Ok</v>
      </c>
    </row>
    <row r="67" spans="1:40">
      <c r="A67" t="s">
        <v>303</v>
      </c>
      <c r="B67" s="6">
        <v>45404</v>
      </c>
      <c r="C67" s="4">
        <v>45565</v>
      </c>
      <c r="D67" t="s">
        <v>304</v>
      </c>
      <c r="E67" t="s">
        <v>36</v>
      </c>
      <c r="F67" t="s">
        <v>95</v>
      </c>
      <c r="G67" t="s">
        <v>63</v>
      </c>
      <c r="H67" t="s">
        <v>64</v>
      </c>
      <c r="I67" t="s">
        <v>65</v>
      </c>
      <c r="J67" t="s">
        <v>28</v>
      </c>
      <c r="K67" t="s">
        <v>29</v>
      </c>
      <c r="L67" t="s">
        <v>305</v>
      </c>
      <c r="M67" t="s">
        <v>31</v>
      </c>
      <c r="N67">
        <v>1</v>
      </c>
      <c r="O67">
        <v>4280.1899999999996</v>
      </c>
      <c r="P67">
        <v>0.05</v>
      </c>
      <c r="Q67" s="7">
        <f>IF(P67="", 0, P67)</f>
        <v>0.05</v>
      </c>
      <c r="R67">
        <v>4066.18</v>
      </c>
      <c r="S67">
        <v>2628.92</v>
      </c>
      <c r="T67" s="7">
        <f>N67*O67*(1-Q67)</f>
        <v>4066.1804999999995</v>
      </c>
      <c r="U67" s="7">
        <f t="shared" si="6"/>
        <v>1437.2604999999994</v>
      </c>
      <c r="V67">
        <v>1437.26</v>
      </c>
      <c r="W67" s="12">
        <f t="shared" si="7"/>
        <v>0.35346696980126674</v>
      </c>
      <c r="X67" t="s">
        <v>32</v>
      </c>
      <c r="Y67" t="str">
        <f t="shared" si="8"/>
        <v>Paid</v>
      </c>
      <c r="Z67" t="s">
        <v>33</v>
      </c>
      <c r="AA67">
        <f>C67-B67</f>
        <v>161</v>
      </c>
      <c r="AB67" t="str">
        <f>IF(B67="","Missing Order Date",
IF(C67="","Missing Ship Date","OK"))</f>
        <v>OK</v>
      </c>
      <c r="AC67" s="7" t="str">
        <f>IF(C67&lt;B67, "Invalid", "Valid")</f>
        <v>Valid</v>
      </c>
      <c r="AD67" s="7" t="str">
        <f>IF(COUNTIF($A:$A, A67)&gt;1, "Duplicate", "Unique")</f>
        <v>Unique</v>
      </c>
      <c r="AE67" s="7" t="str">
        <f>IF(G67="","Unknown",G67)</f>
        <v>West</v>
      </c>
      <c r="AF67" s="7" t="str">
        <f>IF(M67="","Unknown",M67)</f>
        <v>Second Class</v>
      </c>
      <c r="AG67" s="7" t="str">
        <f>IF(P67&lt;0,"Invalid",
IF(P67&gt;1,"Invalid","Valid"))</f>
        <v>Valid</v>
      </c>
      <c r="AH67" s="7" t="str">
        <f>TEXT(B67,"mmmm")</f>
        <v>April</v>
      </c>
      <c r="AI67" s="7">
        <f t="shared" si="9"/>
        <v>2024</v>
      </c>
      <c r="AJ67" s="7" t="str">
        <f>IF(OR(R67&lt;0,C67&lt;B67),"Invalid",
IF(OR(G67="Unknown",M67="Unknown"),"Warning","Clean"))</f>
        <v>Clean</v>
      </c>
      <c r="AK67" s="7" t="str">
        <f>IF(C67&lt;B67,"Ship Before Order","OK")</f>
        <v>OK</v>
      </c>
      <c r="AL67" s="7" t="str">
        <f>IF(ISNUMBER(B67),"Valid","Invalid")</f>
        <v>Valid</v>
      </c>
      <c r="AM67" s="7" t="str">
        <f t="shared" si="10"/>
        <v>Missmatched</v>
      </c>
      <c r="AN67" s="7" t="str">
        <f t="shared" si="11"/>
        <v>Missmatched</v>
      </c>
    </row>
    <row r="68" spans="1:40">
      <c r="A68" t="s">
        <v>306</v>
      </c>
      <c r="B68" s="6">
        <v>45897</v>
      </c>
      <c r="C68" s="4">
        <v>45566</v>
      </c>
      <c r="D68" t="s">
        <v>307</v>
      </c>
      <c r="E68" t="s">
        <v>23</v>
      </c>
      <c r="F68" t="s">
        <v>37</v>
      </c>
      <c r="G68" t="s">
        <v>54</v>
      </c>
      <c r="H68" t="s">
        <v>247</v>
      </c>
      <c r="I68" t="s">
        <v>248</v>
      </c>
      <c r="J68" t="s">
        <v>74</v>
      </c>
      <c r="K68" t="s">
        <v>75</v>
      </c>
      <c r="L68" t="s">
        <v>308</v>
      </c>
      <c r="M68" t="s">
        <v>44</v>
      </c>
      <c r="N68">
        <v>7</v>
      </c>
      <c r="O68">
        <v>1057.46</v>
      </c>
      <c r="P68">
        <v>0.05</v>
      </c>
      <c r="Q68" s="7">
        <f>IF(P68="", 0, P68)</f>
        <v>0.05</v>
      </c>
      <c r="R68">
        <v>7032.11</v>
      </c>
      <c r="S68">
        <v>4610.34</v>
      </c>
      <c r="T68" s="7">
        <f>N68*O68*(1-Q68)</f>
        <v>7032.1089999999995</v>
      </c>
      <c r="U68" s="7">
        <f t="shared" si="6"/>
        <v>2421.7689999999993</v>
      </c>
      <c r="V68">
        <v>2421.77</v>
      </c>
      <c r="W68" s="12">
        <f t="shared" si="7"/>
        <v>0.34438729547565311</v>
      </c>
      <c r="X68" t="s">
        <v>32</v>
      </c>
      <c r="Y68" t="str">
        <f t="shared" si="8"/>
        <v>Paid</v>
      </c>
      <c r="Z68" t="s">
        <v>33</v>
      </c>
      <c r="AA68">
        <f>C68-B68</f>
        <v>-331</v>
      </c>
      <c r="AB68" t="str">
        <f>IF(B68="","Missing Order Date",
IF(C68="","Missing Ship Date","OK"))</f>
        <v>OK</v>
      </c>
      <c r="AC68" s="7" t="str">
        <f>IF(C68&lt;B68, "Invalid", "Valid")</f>
        <v>Invalid</v>
      </c>
      <c r="AD68" s="7" t="str">
        <f>IF(COUNTIF($A:$A, A68)&gt;1, "Duplicate", "Unique")</f>
        <v>Unique</v>
      </c>
      <c r="AE68" s="7" t="str">
        <f>IF(G68="","Unknown",G68)</f>
        <v>South</v>
      </c>
      <c r="AF68" s="7" t="str">
        <f>IF(M68="","Unknown",M68)</f>
        <v>Same Day</v>
      </c>
      <c r="AG68" s="7" t="str">
        <f>IF(P68&lt;0,"Invalid",
IF(P68&gt;1,"Invalid","Valid"))</f>
        <v>Valid</v>
      </c>
      <c r="AH68" s="7" t="str">
        <f>TEXT(B68,"mmmm")</f>
        <v>August</v>
      </c>
      <c r="AI68" s="7">
        <f t="shared" si="9"/>
        <v>2025</v>
      </c>
      <c r="AJ68" s="7" t="str">
        <f>IF(OR(R68&lt;0,C68&lt;B68),"Invalid",
IF(OR(G68="Unknown",M68="Unknown"),"Warning","Clean"))</f>
        <v>Invalid</v>
      </c>
      <c r="AK68" s="7" t="str">
        <f>IF(C68&lt;B68,"Ship Before Order","OK")</f>
        <v>Ship Before Order</v>
      </c>
      <c r="AL68" s="7" t="str">
        <f>IF(ISNUMBER(B68),"Valid","Invalid")</f>
        <v>Valid</v>
      </c>
      <c r="AM68" s="7" t="str">
        <f t="shared" si="10"/>
        <v>Missmatched</v>
      </c>
      <c r="AN68" s="7" t="str">
        <f t="shared" si="11"/>
        <v>Missmatched</v>
      </c>
    </row>
    <row r="69" spans="1:40">
      <c r="A69" t="s">
        <v>309</v>
      </c>
      <c r="B69" s="6">
        <v>45718</v>
      </c>
      <c r="C69" s="4">
        <v>45567</v>
      </c>
      <c r="D69" t="s">
        <v>310</v>
      </c>
      <c r="E69" t="s">
        <v>264</v>
      </c>
      <c r="F69" t="s">
        <v>24</v>
      </c>
      <c r="G69" t="s">
        <v>25</v>
      </c>
      <c r="H69" t="s">
        <v>236</v>
      </c>
      <c r="I69" t="s">
        <v>237</v>
      </c>
      <c r="J69" t="s">
        <v>28</v>
      </c>
      <c r="K69" t="s">
        <v>29</v>
      </c>
      <c r="L69" t="s">
        <v>311</v>
      </c>
      <c r="M69" t="s">
        <v>50</v>
      </c>
      <c r="N69">
        <v>7</v>
      </c>
      <c r="O69">
        <v>3609.34</v>
      </c>
      <c r="P69">
        <v>0.05</v>
      </c>
      <c r="Q69" s="7">
        <f>IF(P69="", 0, P69)</f>
        <v>0.05</v>
      </c>
      <c r="R69">
        <v>24002.11</v>
      </c>
      <c r="S69">
        <v>18707.57</v>
      </c>
      <c r="T69" s="7">
        <f>N69*O69*(1-Q69)</f>
        <v>24002.111000000001</v>
      </c>
      <c r="U69" s="7">
        <f t="shared" si="6"/>
        <v>5294.5410000000011</v>
      </c>
      <c r="V69">
        <v>5294.54</v>
      </c>
      <c r="W69" s="12">
        <f t="shared" si="7"/>
        <v>0.2205864725815159</v>
      </c>
      <c r="X69" t="s">
        <v>32</v>
      </c>
      <c r="Y69" t="str">
        <f t="shared" si="8"/>
        <v>Paid</v>
      </c>
      <c r="Z69" t="s">
        <v>33</v>
      </c>
      <c r="AA69">
        <f>C69-B69</f>
        <v>-151</v>
      </c>
      <c r="AB69" t="str">
        <f>IF(B69="","Missing Order Date",
IF(C69="","Missing Ship Date","OK"))</f>
        <v>OK</v>
      </c>
      <c r="AC69" s="7" t="str">
        <f>IF(C69&lt;B69, "Invalid", "Valid")</f>
        <v>Invalid</v>
      </c>
      <c r="AD69" s="7" t="str">
        <f>IF(COUNTIF($A:$A, A69)&gt;1, "Duplicate", "Unique")</f>
        <v>Unique</v>
      </c>
      <c r="AE69" s="7" t="str">
        <f>IF(G69="","Unknown",G69)</f>
        <v>North</v>
      </c>
      <c r="AF69" s="7" t="str">
        <f>IF(M69="","Unknown",M69)</f>
        <v>First Class</v>
      </c>
      <c r="AG69" s="7" t="str">
        <f>IF(P69&lt;0,"Invalid",
IF(P69&gt;1,"Invalid","Valid"))</f>
        <v>Valid</v>
      </c>
      <c r="AH69" s="7" t="str">
        <f>TEXT(B69,"mmmm")</f>
        <v>March</v>
      </c>
      <c r="AI69" s="7">
        <f t="shared" si="9"/>
        <v>2025</v>
      </c>
      <c r="AJ69" s="7" t="str">
        <f>IF(OR(R69&lt;0,C69&lt;B69),"Invalid",
IF(OR(G69="Unknown",M69="Unknown"),"Warning","Clean"))</f>
        <v>Invalid</v>
      </c>
      <c r="AK69" s="7" t="str">
        <f>IF(C69&lt;B69,"Ship Before Order","OK")</f>
        <v>Ship Before Order</v>
      </c>
      <c r="AL69" s="7" t="str">
        <f>IF(ISNUMBER(B69),"Valid","Invalid")</f>
        <v>Valid</v>
      </c>
      <c r="AM69" s="7" t="str">
        <f t="shared" si="10"/>
        <v>Missmatched</v>
      </c>
      <c r="AN69" s="7" t="str">
        <f t="shared" si="11"/>
        <v>Missmatched</v>
      </c>
    </row>
    <row r="70" spans="1:40">
      <c r="A70" t="s">
        <v>312</v>
      </c>
      <c r="B70" s="6">
        <v>45576</v>
      </c>
      <c r="C70" s="4">
        <v>45568</v>
      </c>
      <c r="D70" t="s">
        <v>313</v>
      </c>
      <c r="E70" t="s">
        <v>47</v>
      </c>
      <c r="F70" t="s">
        <v>90</v>
      </c>
      <c r="G70" t="s">
        <v>38</v>
      </c>
      <c r="H70" t="s">
        <v>228</v>
      </c>
      <c r="I70" t="s">
        <v>229</v>
      </c>
      <c r="J70" t="s">
        <v>28</v>
      </c>
      <c r="K70" t="s">
        <v>124</v>
      </c>
      <c r="L70" t="s">
        <v>314</v>
      </c>
      <c r="M70" t="s">
        <v>31</v>
      </c>
      <c r="N70">
        <v>9</v>
      </c>
      <c r="O70">
        <v>2211.12</v>
      </c>
      <c r="P70">
        <v>0</v>
      </c>
      <c r="Q70" s="7">
        <f>IF(P70="", 0, P70)</f>
        <v>0</v>
      </c>
      <c r="R70">
        <v>19900.080000000002</v>
      </c>
      <c r="S70">
        <v>10962.66</v>
      </c>
      <c r="T70" s="7">
        <f>N70*O70*(1-Q70)</f>
        <v>19900.079999999998</v>
      </c>
      <c r="U70" s="7">
        <f t="shared" si="6"/>
        <v>8937.4199999999983</v>
      </c>
      <c r="V70">
        <v>8937.42</v>
      </c>
      <c r="W70" s="12">
        <f t="shared" si="7"/>
        <v>0.44911477742803041</v>
      </c>
      <c r="X70" t="s">
        <v>155</v>
      </c>
      <c r="Y70" t="str">
        <f t="shared" si="8"/>
        <v>Failed</v>
      </c>
      <c r="Z70" t="s">
        <v>103</v>
      </c>
      <c r="AA70">
        <f>C70-B70</f>
        <v>-8</v>
      </c>
      <c r="AB70" t="str">
        <f>IF(B70="","Missing Order Date",
IF(C70="","Missing Ship Date","OK"))</f>
        <v>OK</v>
      </c>
      <c r="AC70" s="7" t="str">
        <f>IF(C70&lt;B70, "Invalid", "Valid")</f>
        <v>Invalid</v>
      </c>
      <c r="AD70" s="7" t="str">
        <f>IF(COUNTIF($A:$A, A70)&gt;1, "Duplicate", "Unique")</f>
        <v>Unique</v>
      </c>
      <c r="AE70" s="7" t="str">
        <f>IF(G70="","Unknown",G70)</f>
        <v>East</v>
      </c>
      <c r="AF70" s="7" t="str">
        <f>IF(M70="","Unknown",M70)</f>
        <v>Second Class</v>
      </c>
      <c r="AG70" s="7" t="str">
        <f>IF(P70&lt;0,"Invalid",
IF(P70&gt;1,"Invalid","Valid"))</f>
        <v>Valid</v>
      </c>
      <c r="AH70" s="7" t="str">
        <f>TEXT(B70,"mmmm")</f>
        <v>October</v>
      </c>
      <c r="AI70" s="7">
        <f t="shared" si="9"/>
        <v>2024</v>
      </c>
      <c r="AJ70" s="7" t="str">
        <f>IF(OR(R70&lt;0,C70&lt;B70),"Invalid",
IF(OR(G70="Unknown",M70="Unknown"),"Warning","Clean"))</f>
        <v>Invalid</v>
      </c>
      <c r="AK70" s="7" t="str">
        <f>IF(C70&lt;B70,"Ship Before Order","OK")</f>
        <v>Ship Before Order</v>
      </c>
      <c r="AL70" s="7" t="str">
        <f>IF(ISNUMBER(B70),"Valid","Invalid")</f>
        <v>Valid</v>
      </c>
      <c r="AM70" s="7" t="str">
        <f t="shared" si="10"/>
        <v>Ok</v>
      </c>
      <c r="AN70" s="7" t="str">
        <f t="shared" si="11"/>
        <v>Ok</v>
      </c>
    </row>
    <row r="71" spans="1:40">
      <c r="A71" t="s">
        <v>315</v>
      </c>
      <c r="B71" s="6">
        <v>45539</v>
      </c>
      <c r="C71" s="4">
        <v>45569</v>
      </c>
      <c r="D71" t="s">
        <v>316</v>
      </c>
      <c r="E71" t="s">
        <v>79</v>
      </c>
      <c r="F71" t="s">
        <v>37</v>
      </c>
      <c r="G71" t="s">
        <v>63</v>
      </c>
      <c r="H71" t="s">
        <v>180</v>
      </c>
      <c r="I71" t="s">
        <v>181</v>
      </c>
      <c r="J71" t="s">
        <v>74</v>
      </c>
      <c r="K71" t="s">
        <v>274</v>
      </c>
      <c r="L71" t="s">
        <v>317</v>
      </c>
      <c r="M71" t="s">
        <v>44</v>
      </c>
      <c r="N71">
        <v>7</v>
      </c>
      <c r="O71">
        <v>3417.09</v>
      </c>
      <c r="P71">
        <v>0.1</v>
      </c>
      <c r="Q71" s="7">
        <f>IF(P71="", 0, P71)</f>
        <v>0.1</v>
      </c>
      <c r="R71">
        <v>21527.67</v>
      </c>
      <c r="S71">
        <v>18287.580000000002</v>
      </c>
      <c r="T71" s="7">
        <f>N71*O71*(1-Q71)</f>
        <v>21527.667000000001</v>
      </c>
      <c r="U71" s="7">
        <f t="shared" si="6"/>
        <v>3240.0869999999995</v>
      </c>
      <c r="V71">
        <v>3240.09</v>
      </c>
      <c r="W71" s="12">
        <f t="shared" si="7"/>
        <v>0.15050804158202555</v>
      </c>
      <c r="X71" t="s">
        <v>102</v>
      </c>
      <c r="Y71" t="str">
        <f t="shared" si="8"/>
        <v>Refunded</v>
      </c>
      <c r="Z71" t="s">
        <v>103</v>
      </c>
      <c r="AA71">
        <f>C71-B71</f>
        <v>30</v>
      </c>
      <c r="AB71" t="str">
        <f>IF(B71="","Missing Order Date",
IF(C71="","Missing Ship Date","OK"))</f>
        <v>OK</v>
      </c>
      <c r="AC71" s="7" t="str">
        <f>IF(C71&lt;B71, "Invalid", "Valid")</f>
        <v>Valid</v>
      </c>
      <c r="AD71" s="7" t="str">
        <f>IF(COUNTIF($A:$A, A71)&gt;1, "Duplicate", "Unique")</f>
        <v>Unique</v>
      </c>
      <c r="AE71" s="7" t="str">
        <f>IF(G71="","Unknown",G71)</f>
        <v>West</v>
      </c>
      <c r="AF71" s="7" t="str">
        <f>IF(M71="","Unknown",M71)</f>
        <v>Same Day</v>
      </c>
      <c r="AG71" s="7" t="str">
        <f>IF(P71&lt;0,"Invalid",
IF(P71&gt;1,"Invalid","Valid"))</f>
        <v>Valid</v>
      </c>
      <c r="AH71" s="7" t="str">
        <f>TEXT(B71,"mmmm")</f>
        <v>September</v>
      </c>
      <c r="AI71" s="7">
        <f t="shared" si="9"/>
        <v>2024</v>
      </c>
      <c r="AJ71" s="7" t="str">
        <f>IF(OR(R71&lt;0,C71&lt;B71),"Invalid",
IF(OR(G71="Unknown",M71="Unknown"),"Warning","Clean"))</f>
        <v>Clean</v>
      </c>
      <c r="AK71" s="7" t="str">
        <f>IF(C71&lt;B71,"Ship Before Order","OK")</f>
        <v>OK</v>
      </c>
      <c r="AL71" s="7" t="str">
        <f>IF(ISNUMBER(B71),"Valid","Invalid")</f>
        <v>Valid</v>
      </c>
      <c r="AM71" s="7" t="str">
        <f t="shared" si="10"/>
        <v>Missmatched</v>
      </c>
      <c r="AN71" s="7" t="str">
        <f t="shared" si="11"/>
        <v>Missmatched</v>
      </c>
    </row>
    <row r="72" spans="1:40">
      <c r="A72" t="s">
        <v>318</v>
      </c>
      <c r="B72" s="6">
        <v>45891</v>
      </c>
      <c r="C72" s="4">
        <v>45570</v>
      </c>
      <c r="D72" t="s">
        <v>319</v>
      </c>
      <c r="E72" t="s">
        <v>23</v>
      </c>
      <c r="F72" t="s">
        <v>90</v>
      </c>
      <c r="G72" t="s">
        <v>54</v>
      </c>
      <c r="H72" t="s">
        <v>84</v>
      </c>
      <c r="I72" t="s">
        <v>85</v>
      </c>
      <c r="J72" t="s">
        <v>74</v>
      </c>
      <c r="K72" t="s">
        <v>171</v>
      </c>
      <c r="L72" t="s">
        <v>320</v>
      </c>
      <c r="M72" t="s">
        <v>50</v>
      </c>
      <c r="N72">
        <v>2</v>
      </c>
      <c r="O72">
        <v>905.87</v>
      </c>
      <c r="P72">
        <v>0.15</v>
      </c>
      <c r="Q72" s="7">
        <f>IF(P72="", 0, P72)</f>
        <v>0.15</v>
      </c>
      <c r="R72">
        <v>1539.98</v>
      </c>
      <c r="S72">
        <v>1070.2</v>
      </c>
      <c r="T72" s="7">
        <f>N72*O72*(1-Q72)</f>
        <v>1539.979</v>
      </c>
      <c r="U72" s="7">
        <f t="shared" si="6"/>
        <v>469.779</v>
      </c>
      <c r="V72">
        <v>469.78</v>
      </c>
      <c r="W72" s="12">
        <f t="shared" si="7"/>
        <v>0.30505545854846072</v>
      </c>
      <c r="X72" t="s">
        <v>32</v>
      </c>
      <c r="Y72" t="str">
        <f t="shared" si="8"/>
        <v>Paid</v>
      </c>
      <c r="Z72" t="s">
        <v>33</v>
      </c>
      <c r="AA72">
        <f>C72-B72</f>
        <v>-321</v>
      </c>
      <c r="AB72" t="str">
        <f>IF(B72="","Missing Order Date",
IF(C72="","Missing Ship Date","OK"))</f>
        <v>OK</v>
      </c>
      <c r="AC72" s="7" t="str">
        <f>IF(C72&lt;B72, "Invalid", "Valid")</f>
        <v>Invalid</v>
      </c>
      <c r="AD72" s="7" t="str">
        <f>IF(COUNTIF($A:$A, A72)&gt;1, "Duplicate", "Unique")</f>
        <v>Unique</v>
      </c>
      <c r="AE72" s="7" t="str">
        <f>IF(G72="","Unknown",G72)</f>
        <v>South</v>
      </c>
      <c r="AF72" s="7" t="str">
        <f>IF(M72="","Unknown",M72)</f>
        <v>First Class</v>
      </c>
      <c r="AG72" s="7" t="str">
        <f>IF(P72&lt;0,"Invalid",
IF(P72&gt;1,"Invalid","Valid"))</f>
        <v>Valid</v>
      </c>
      <c r="AH72" s="7" t="str">
        <f>TEXT(B72,"mmmm")</f>
        <v>August</v>
      </c>
      <c r="AI72" s="7">
        <f t="shared" si="9"/>
        <v>2025</v>
      </c>
      <c r="AJ72" s="7" t="str">
        <f>IF(OR(R72&lt;0,C72&lt;B72),"Invalid",
IF(OR(G72="Unknown",M72="Unknown"),"Warning","Clean"))</f>
        <v>Invalid</v>
      </c>
      <c r="AK72" s="7" t="str">
        <f>IF(C72&lt;B72,"Ship Before Order","OK")</f>
        <v>Ship Before Order</v>
      </c>
      <c r="AL72" s="7" t="str">
        <f>IF(ISNUMBER(B72),"Valid","Invalid")</f>
        <v>Valid</v>
      </c>
      <c r="AM72" s="7" t="str">
        <f t="shared" si="10"/>
        <v>Missmatched</v>
      </c>
      <c r="AN72" s="7" t="str">
        <f t="shared" si="11"/>
        <v>Missmatched</v>
      </c>
    </row>
    <row r="73" spans="1:40">
      <c r="A73" t="s">
        <v>321</v>
      </c>
      <c r="B73" s="6">
        <v>45763</v>
      </c>
      <c r="C73" s="4">
        <v>45571</v>
      </c>
      <c r="D73" t="s">
        <v>322</v>
      </c>
      <c r="E73" t="s">
        <v>36</v>
      </c>
      <c r="F73" t="s">
        <v>37</v>
      </c>
      <c r="G73" t="s">
        <v>63</v>
      </c>
      <c r="H73" t="s">
        <v>190</v>
      </c>
      <c r="I73" t="s">
        <v>191</v>
      </c>
      <c r="J73" t="s">
        <v>74</v>
      </c>
      <c r="K73" t="s">
        <v>274</v>
      </c>
      <c r="L73" t="s">
        <v>323</v>
      </c>
      <c r="M73" t="s">
        <v>59</v>
      </c>
      <c r="N73">
        <v>6</v>
      </c>
      <c r="O73">
        <v>2027.32</v>
      </c>
      <c r="P73">
        <v>0.1</v>
      </c>
      <c r="Q73" s="7">
        <f>IF(P73="", 0, P73)</f>
        <v>0.1</v>
      </c>
      <c r="R73">
        <v>10947.53</v>
      </c>
      <c r="S73">
        <v>6447.36</v>
      </c>
      <c r="T73" s="7">
        <f>N73*O73*(1-Q73)</f>
        <v>10947.528</v>
      </c>
      <c r="U73" s="7">
        <f t="shared" si="6"/>
        <v>4500.1680000000006</v>
      </c>
      <c r="V73">
        <v>4500.17</v>
      </c>
      <c r="W73" s="12">
        <f t="shared" si="7"/>
        <v>0.41106704636882413</v>
      </c>
      <c r="X73" t="s">
        <v>32</v>
      </c>
      <c r="Y73" t="str">
        <f t="shared" si="8"/>
        <v>Paid</v>
      </c>
      <c r="Z73" t="s">
        <v>33</v>
      </c>
      <c r="AA73">
        <f>C73-B73</f>
        <v>-192</v>
      </c>
      <c r="AB73" t="str">
        <f>IF(B73="","Missing Order Date",
IF(C73="","Missing Ship Date","OK"))</f>
        <v>OK</v>
      </c>
      <c r="AC73" s="7" t="str">
        <f>IF(C73&lt;B73, "Invalid", "Valid")</f>
        <v>Invalid</v>
      </c>
      <c r="AD73" s="7" t="str">
        <f>IF(COUNTIF($A:$A, A73)&gt;1, "Duplicate", "Unique")</f>
        <v>Unique</v>
      </c>
      <c r="AE73" s="7" t="str">
        <f>IF(G73="","Unknown",G73)</f>
        <v>West</v>
      </c>
      <c r="AF73" s="7" t="str">
        <f>IF(M73="","Unknown",M73)</f>
        <v>Standard Class</v>
      </c>
      <c r="AG73" s="7" t="str">
        <f>IF(P73&lt;0,"Invalid",
IF(P73&gt;1,"Invalid","Valid"))</f>
        <v>Valid</v>
      </c>
      <c r="AH73" s="7" t="str">
        <f>TEXT(B73,"mmmm")</f>
        <v>April</v>
      </c>
      <c r="AI73" s="7">
        <f t="shared" si="9"/>
        <v>2025</v>
      </c>
      <c r="AJ73" s="7" t="str">
        <f>IF(OR(R73&lt;0,C73&lt;B73),"Invalid",
IF(OR(G73="Unknown",M73="Unknown"),"Warning","Clean"))</f>
        <v>Invalid</v>
      </c>
      <c r="AK73" s="7" t="str">
        <f>IF(C73&lt;B73,"Ship Before Order","OK")</f>
        <v>Ship Before Order</v>
      </c>
      <c r="AL73" s="7" t="str">
        <f>IF(ISNUMBER(B73),"Valid","Invalid")</f>
        <v>Valid</v>
      </c>
      <c r="AM73" s="7" t="str">
        <f t="shared" si="10"/>
        <v>Missmatched</v>
      </c>
      <c r="AN73" s="7" t="str">
        <f t="shared" si="11"/>
        <v>Missmatched</v>
      </c>
    </row>
    <row r="74" spans="1:40">
      <c r="A74" t="s">
        <v>324</v>
      </c>
      <c r="B74" s="6">
        <v>45598</v>
      </c>
      <c r="C74" s="4">
        <v>45572</v>
      </c>
      <c r="D74" t="s">
        <v>325</v>
      </c>
      <c r="E74" t="s">
        <v>23</v>
      </c>
      <c r="F74" t="s">
        <v>95</v>
      </c>
      <c r="G74" t="s">
        <v>54</v>
      </c>
      <c r="H74" t="s">
        <v>247</v>
      </c>
      <c r="I74" t="s">
        <v>248</v>
      </c>
      <c r="J74" t="s">
        <v>41</v>
      </c>
      <c r="K74" t="s">
        <v>42</v>
      </c>
      <c r="L74" t="s">
        <v>326</v>
      </c>
      <c r="M74" t="s">
        <v>50</v>
      </c>
      <c r="N74">
        <v>7</v>
      </c>
      <c r="O74">
        <v>2287.4699999999998</v>
      </c>
      <c r="P74">
        <v>0.15</v>
      </c>
      <c r="Q74" s="7">
        <f>IF(P74="", 0, P74)</f>
        <v>0.15</v>
      </c>
      <c r="R74">
        <v>13610.45</v>
      </c>
      <c r="S74">
        <v>10039.049999999999</v>
      </c>
      <c r="T74" s="7">
        <f>N74*O74*(1-Q74)</f>
        <v>13610.446499999998</v>
      </c>
      <c r="U74" s="7">
        <f t="shared" si="6"/>
        <v>3571.3964999999989</v>
      </c>
      <c r="V74">
        <v>3571.4</v>
      </c>
      <c r="W74" s="12">
        <f t="shared" si="7"/>
        <v>0.26240112695788487</v>
      </c>
      <c r="X74" t="s">
        <v>32</v>
      </c>
      <c r="Y74" t="str">
        <f t="shared" si="8"/>
        <v>Paid</v>
      </c>
      <c r="Z74" t="s">
        <v>33</v>
      </c>
      <c r="AA74">
        <f>C74-B74</f>
        <v>-26</v>
      </c>
      <c r="AB74" t="str">
        <f>IF(B74="","Missing Order Date",
IF(C74="","Missing Ship Date","OK"))</f>
        <v>OK</v>
      </c>
      <c r="AC74" s="7" t="str">
        <f>IF(C74&lt;B74, "Invalid", "Valid")</f>
        <v>Invalid</v>
      </c>
      <c r="AD74" s="7" t="str">
        <f>IF(COUNTIF($A:$A, A74)&gt;1, "Duplicate", "Unique")</f>
        <v>Unique</v>
      </c>
      <c r="AE74" s="7" t="str">
        <f>IF(G74="","Unknown",G74)</f>
        <v>South</v>
      </c>
      <c r="AF74" s="7" t="str">
        <f>IF(M74="","Unknown",M74)</f>
        <v>First Class</v>
      </c>
      <c r="AG74" s="7" t="str">
        <f>IF(P74&lt;0,"Invalid",
IF(P74&gt;1,"Invalid","Valid"))</f>
        <v>Valid</v>
      </c>
      <c r="AH74" s="7" t="str">
        <f>TEXT(B74,"mmmm")</f>
        <v>November</v>
      </c>
      <c r="AI74" s="7">
        <f t="shared" si="9"/>
        <v>2024</v>
      </c>
      <c r="AJ74" s="7" t="str">
        <f>IF(OR(R74&lt;0,C74&lt;B74),"Invalid",
IF(OR(G74="Unknown",M74="Unknown"),"Warning","Clean"))</f>
        <v>Invalid</v>
      </c>
      <c r="AK74" s="7" t="str">
        <f>IF(C74&lt;B74,"Ship Before Order","OK")</f>
        <v>Ship Before Order</v>
      </c>
      <c r="AL74" s="7" t="str">
        <f>IF(ISNUMBER(B74),"Valid","Invalid")</f>
        <v>Valid</v>
      </c>
      <c r="AM74" s="7" t="str">
        <f t="shared" si="10"/>
        <v>Missmatched</v>
      </c>
      <c r="AN74" s="7" t="str">
        <f t="shared" si="11"/>
        <v>Missmatched</v>
      </c>
    </row>
    <row r="75" spans="1:40">
      <c r="A75" t="s">
        <v>327</v>
      </c>
      <c r="B75" s="6">
        <v>45745</v>
      </c>
      <c r="C75" s="4">
        <v>45573</v>
      </c>
      <c r="D75" t="s">
        <v>328</v>
      </c>
      <c r="E75" t="s">
        <v>132</v>
      </c>
      <c r="F75" t="s">
        <v>90</v>
      </c>
      <c r="G75" t="s">
        <v>38</v>
      </c>
      <c r="H75" t="s">
        <v>99</v>
      </c>
      <c r="I75" t="s">
        <v>100</v>
      </c>
      <c r="J75" t="s">
        <v>41</v>
      </c>
      <c r="K75" t="s">
        <v>158</v>
      </c>
      <c r="L75" t="s">
        <v>329</v>
      </c>
      <c r="M75" t="s">
        <v>50</v>
      </c>
      <c r="N75">
        <v>5</v>
      </c>
      <c r="O75">
        <v>1425.74</v>
      </c>
      <c r="P75">
        <v>0</v>
      </c>
      <c r="Q75" s="7">
        <f>IF(P75="", 0, P75)</f>
        <v>0</v>
      </c>
      <c r="R75">
        <v>7128.7</v>
      </c>
      <c r="S75">
        <v>4382.1499999999996</v>
      </c>
      <c r="T75" s="7">
        <f>N75*O75*(1-Q75)</f>
        <v>7128.7</v>
      </c>
      <c r="U75" s="7">
        <f t="shared" si="6"/>
        <v>2746.55</v>
      </c>
      <c r="V75">
        <v>2746.55</v>
      </c>
      <c r="W75" s="12">
        <f t="shared" si="7"/>
        <v>0.38528062620113068</v>
      </c>
      <c r="X75" t="s">
        <v>32</v>
      </c>
      <c r="Y75" t="str">
        <f t="shared" si="8"/>
        <v>Paid</v>
      </c>
      <c r="Z75" t="s">
        <v>33</v>
      </c>
      <c r="AA75">
        <f>C75-B75</f>
        <v>-172</v>
      </c>
      <c r="AB75" t="str">
        <f>IF(B75="","Missing Order Date",
IF(C75="","Missing Ship Date","OK"))</f>
        <v>OK</v>
      </c>
      <c r="AC75" s="7" t="str">
        <f>IF(C75&lt;B75, "Invalid", "Valid")</f>
        <v>Invalid</v>
      </c>
      <c r="AD75" s="7" t="str">
        <f>IF(COUNTIF($A:$A, A75)&gt;1, "Duplicate", "Unique")</f>
        <v>Unique</v>
      </c>
      <c r="AE75" s="7" t="str">
        <f>IF(G75="","Unknown",G75)</f>
        <v>East</v>
      </c>
      <c r="AF75" s="7" t="str">
        <f>IF(M75="","Unknown",M75)</f>
        <v>First Class</v>
      </c>
      <c r="AG75" s="7" t="str">
        <f>IF(P75&lt;0,"Invalid",
IF(P75&gt;1,"Invalid","Valid"))</f>
        <v>Valid</v>
      </c>
      <c r="AH75" s="7" t="str">
        <f>TEXT(B75,"mmmm")</f>
        <v>March</v>
      </c>
      <c r="AI75" s="7">
        <f t="shared" si="9"/>
        <v>2025</v>
      </c>
      <c r="AJ75" s="7" t="str">
        <f>IF(OR(R75&lt;0,C75&lt;B75),"Invalid",
IF(OR(G75="Unknown",M75="Unknown"),"Warning","Clean"))</f>
        <v>Invalid</v>
      </c>
      <c r="AK75" s="7" t="str">
        <f>IF(C75&lt;B75,"Ship Before Order","OK")</f>
        <v>Ship Before Order</v>
      </c>
      <c r="AL75" s="7" t="str">
        <f>IF(ISNUMBER(B75),"Valid","Invalid")</f>
        <v>Valid</v>
      </c>
      <c r="AM75" s="7" t="str">
        <f t="shared" si="10"/>
        <v>Ok</v>
      </c>
      <c r="AN75" s="7" t="str">
        <f t="shared" si="11"/>
        <v>Ok</v>
      </c>
    </row>
    <row r="76" spans="1:40">
      <c r="A76" t="s">
        <v>330</v>
      </c>
      <c r="B76" s="6">
        <v>45715</v>
      </c>
      <c r="C76" s="4">
        <v>45574</v>
      </c>
      <c r="D76" t="s">
        <v>331</v>
      </c>
      <c r="E76" t="s">
        <v>71</v>
      </c>
      <c r="F76" t="s">
        <v>37</v>
      </c>
      <c r="G76" t="s">
        <v>38</v>
      </c>
      <c r="H76" t="s">
        <v>99</v>
      </c>
      <c r="I76" t="s">
        <v>100</v>
      </c>
      <c r="J76" t="s">
        <v>41</v>
      </c>
      <c r="K76" t="s">
        <v>66</v>
      </c>
      <c r="L76" t="s">
        <v>332</v>
      </c>
      <c r="M76" t="s">
        <v>59</v>
      </c>
      <c r="N76">
        <v>6</v>
      </c>
      <c r="O76">
        <v>551.64</v>
      </c>
      <c r="P76">
        <v>0</v>
      </c>
      <c r="Q76" s="7">
        <f>IF(P76="", 0, P76)</f>
        <v>0</v>
      </c>
      <c r="R76">
        <v>3309.84</v>
      </c>
      <c r="S76">
        <v>2671.08</v>
      </c>
      <c r="T76" s="7">
        <f>N76*O76*(1-Q76)</f>
        <v>3309.84</v>
      </c>
      <c r="U76" s="7">
        <f t="shared" si="6"/>
        <v>638.76000000000022</v>
      </c>
      <c r="V76">
        <v>638.76</v>
      </c>
      <c r="W76" s="12">
        <f t="shared" si="7"/>
        <v>0.19298818069755644</v>
      </c>
      <c r="X76" t="s">
        <v>32</v>
      </c>
      <c r="Y76" t="str">
        <f t="shared" si="8"/>
        <v>Paid</v>
      </c>
      <c r="Z76" t="s">
        <v>33</v>
      </c>
      <c r="AA76">
        <f>C76-B76</f>
        <v>-141</v>
      </c>
      <c r="AB76" t="str">
        <f>IF(B76="","Missing Order Date",
IF(C76="","Missing Ship Date","OK"))</f>
        <v>OK</v>
      </c>
      <c r="AC76" s="7" t="str">
        <f>IF(C76&lt;B76, "Invalid", "Valid")</f>
        <v>Invalid</v>
      </c>
      <c r="AD76" s="7" t="str">
        <f>IF(COUNTIF($A:$A, A76)&gt;1, "Duplicate", "Unique")</f>
        <v>Unique</v>
      </c>
      <c r="AE76" s="7" t="str">
        <f>IF(G76="","Unknown",G76)</f>
        <v>East</v>
      </c>
      <c r="AF76" s="7" t="str">
        <f>IF(M76="","Unknown",M76)</f>
        <v>Standard Class</v>
      </c>
      <c r="AG76" s="7" t="str">
        <f>IF(P76&lt;0,"Invalid",
IF(P76&gt;1,"Invalid","Valid"))</f>
        <v>Valid</v>
      </c>
      <c r="AH76" s="7" t="str">
        <f>TEXT(B76,"mmmm")</f>
        <v>February</v>
      </c>
      <c r="AI76" s="7">
        <f t="shared" si="9"/>
        <v>2025</v>
      </c>
      <c r="AJ76" s="7" t="str">
        <f>IF(OR(R76&lt;0,C76&lt;B76),"Invalid",
IF(OR(G76="Unknown",M76="Unknown"),"Warning","Clean"))</f>
        <v>Invalid</v>
      </c>
      <c r="AK76" s="7" t="str">
        <f>IF(C76&lt;B76,"Ship Before Order","OK")</f>
        <v>Ship Before Order</v>
      </c>
      <c r="AL76" s="7" t="str">
        <f>IF(ISNUMBER(B76),"Valid","Invalid")</f>
        <v>Valid</v>
      </c>
      <c r="AM76" s="7" t="str">
        <f t="shared" si="10"/>
        <v>Ok</v>
      </c>
      <c r="AN76" s="7" t="str">
        <f t="shared" si="11"/>
        <v>Ok</v>
      </c>
    </row>
    <row r="77" spans="1:40">
      <c r="A77" t="s">
        <v>333</v>
      </c>
      <c r="B77" s="6">
        <v>45891</v>
      </c>
      <c r="C77" s="4">
        <v>45575</v>
      </c>
      <c r="D77" t="s">
        <v>334</v>
      </c>
      <c r="E77" t="s">
        <v>114</v>
      </c>
      <c r="F77" t="s">
        <v>37</v>
      </c>
      <c r="G77" t="s">
        <v>38</v>
      </c>
      <c r="H77" t="s">
        <v>39</v>
      </c>
      <c r="I77" t="s">
        <v>40</v>
      </c>
      <c r="J77" t="s">
        <v>28</v>
      </c>
      <c r="K77" t="s">
        <v>91</v>
      </c>
      <c r="L77" t="s">
        <v>335</v>
      </c>
      <c r="M77" t="s">
        <v>50</v>
      </c>
      <c r="N77">
        <v>3</v>
      </c>
      <c r="O77">
        <v>3294.82</v>
      </c>
      <c r="P77">
        <v>0.2</v>
      </c>
      <c r="Q77" s="7">
        <f>IF(P77="", 0, P77)</f>
        <v>0.2</v>
      </c>
      <c r="R77">
        <v>7907.57</v>
      </c>
      <c r="S77">
        <v>5391.18</v>
      </c>
      <c r="T77" s="7">
        <f>N77*O77*(1-Q77)</f>
        <v>7907.5680000000011</v>
      </c>
      <c r="U77" s="7">
        <f t="shared" si="6"/>
        <v>2516.3880000000008</v>
      </c>
      <c r="V77">
        <v>2516.39</v>
      </c>
      <c r="W77" s="12">
        <f t="shared" si="7"/>
        <v>0.31822527482533197</v>
      </c>
      <c r="X77" t="s">
        <v>32</v>
      </c>
      <c r="Y77" t="str">
        <f t="shared" si="8"/>
        <v>Paid</v>
      </c>
      <c r="Z77" t="s">
        <v>33</v>
      </c>
      <c r="AA77">
        <f>C77-B77</f>
        <v>-316</v>
      </c>
      <c r="AB77" t="str">
        <f>IF(B77="","Missing Order Date",
IF(C77="","Missing Ship Date","OK"))</f>
        <v>OK</v>
      </c>
      <c r="AC77" s="7" t="str">
        <f>IF(C77&lt;B77, "Invalid", "Valid")</f>
        <v>Invalid</v>
      </c>
      <c r="AD77" s="7" t="str">
        <f>IF(COUNTIF($A:$A, A77)&gt;1, "Duplicate", "Unique")</f>
        <v>Unique</v>
      </c>
      <c r="AE77" s="7" t="str">
        <f>IF(G77="","Unknown",G77)</f>
        <v>East</v>
      </c>
      <c r="AF77" s="7" t="str">
        <f>IF(M77="","Unknown",M77)</f>
        <v>First Class</v>
      </c>
      <c r="AG77" s="7" t="str">
        <f>IF(P77&lt;0,"Invalid",
IF(P77&gt;1,"Invalid","Valid"))</f>
        <v>Valid</v>
      </c>
      <c r="AH77" s="7" t="str">
        <f>TEXT(B77,"mmmm")</f>
        <v>August</v>
      </c>
      <c r="AI77" s="7">
        <f t="shared" si="9"/>
        <v>2025</v>
      </c>
      <c r="AJ77" s="7" t="str">
        <f>IF(OR(R77&lt;0,C77&lt;B77),"Invalid",
IF(OR(G77="Unknown",M77="Unknown"),"Warning","Clean"))</f>
        <v>Invalid</v>
      </c>
      <c r="AK77" s="7" t="str">
        <f>IF(C77&lt;B77,"Ship Before Order","OK")</f>
        <v>Ship Before Order</v>
      </c>
      <c r="AL77" s="7" t="str">
        <f>IF(ISNUMBER(B77),"Valid","Invalid")</f>
        <v>Valid</v>
      </c>
      <c r="AM77" s="7" t="str">
        <f t="shared" si="10"/>
        <v>Missmatched</v>
      </c>
      <c r="AN77" s="7" t="str">
        <f t="shared" si="11"/>
        <v>Missmatched</v>
      </c>
    </row>
    <row r="78" spans="1:40">
      <c r="A78" t="s">
        <v>336</v>
      </c>
      <c r="B78" s="6">
        <v>45362</v>
      </c>
      <c r="C78" s="4">
        <v>45576</v>
      </c>
      <c r="D78" t="s">
        <v>337</v>
      </c>
      <c r="E78" t="s">
        <v>62</v>
      </c>
      <c r="F78" t="s">
        <v>90</v>
      </c>
      <c r="G78" t="s">
        <v>38</v>
      </c>
      <c r="H78" t="s">
        <v>228</v>
      </c>
      <c r="I78" t="s">
        <v>229</v>
      </c>
      <c r="J78" t="s">
        <v>28</v>
      </c>
      <c r="K78" t="s">
        <v>91</v>
      </c>
      <c r="L78" t="s">
        <v>338</v>
      </c>
      <c r="M78" t="s">
        <v>31</v>
      </c>
      <c r="N78">
        <v>3</v>
      </c>
      <c r="O78">
        <v>3406.27</v>
      </c>
      <c r="P78">
        <v>0</v>
      </c>
      <c r="Q78" s="7">
        <f>IF(P78="", 0, P78)</f>
        <v>0</v>
      </c>
      <c r="R78">
        <v>10218.81</v>
      </c>
      <c r="S78">
        <v>7616.97</v>
      </c>
      <c r="T78" s="7">
        <f>N78*O78*(1-Q78)</f>
        <v>10218.81</v>
      </c>
      <c r="U78" s="7">
        <f t="shared" si="6"/>
        <v>2601.8399999999992</v>
      </c>
      <c r="V78">
        <v>2601.84</v>
      </c>
      <c r="W78" s="12">
        <f t="shared" si="7"/>
        <v>0.2546128169522674</v>
      </c>
      <c r="X78" t="s">
        <v>32</v>
      </c>
      <c r="Y78" t="str">
        <f t="shared" si="8"/>
        <v>Paid</v>
      </c>
      <c r="Z78" t="s">
        <v>33</v>
      </c>
      <c r="AA78">
        <f>C78-B78</f>
        <v>214</v>
      </c>
      <c r="AB78" t="str">
        <f>IF(B78="","Missing Order Date",
IF(C78="","Missing Ship Date","OK"))</f>
        <v>OK</v>
      </c>
      <c r="AC78" s="7" t="str">
        <f>IF(C78&lt;B78, "Invalid", "Valid")</f>
        <v>Valid</v>
      </c>
      <c r="AD78" s="7" t="str">
        <f>IF(COUNTIF($A:$A, A78)&gt;1, "Duplicate", "Unique")</f>
        <v>Unique</v>
      </c>
      <c r="AE78" s="7" t="str">
        <f>IF(G78="","Unknown",G78)</f>
        <v>East</v>
      </c>
      <c r="AF78" s="7" t="str">
        <f>IF(M78="","Unknown",M78)</f>
        <v>Second Class</v>
      </c>
      <c r="AG78" s="7" t="str">
        <f>IF(P78&lt;0,"Invalid",
IF(P78&gt;1,"Invalid","Valid"))</f>
        <v>Valid</v>
      </c>
      <c r="AH78" s="7" t="str">
        <f>TEXT(B78,"mmmm")</f>
        <v>March</v>
      </c>
      <c r="AI78" s="7">
        <f t="shared" si="9"/>
        <v>2024</v>
      </c>
      <c r="AJ78" s="7" t="str">
        <f>IF(OR(R78&lt;0,C78&lt;B78),"Invalid",
IF(OR(G78="Unknown",M78="Unknown"),"Warning","Clean"))</f>
        <v>Clean</v>
      </c>
      <c r="AK78" s="7" t="str">
        <f>IF(C78&lt;B78,"Ship Before Order","OK")</f>
        <v>OK</v>
      </c>
      <c r="AL78" s="7" t="str">
        <f>IF(ISNUMBER(B78),"Valid","Invalid")</f>
        <v>Valid</v>
      </c>
      <c r="AM78" s="7" t="str">
        <f t="shared" si="10"/>
        <v>Ok</v>
      </c>
      <c r="AN78" s="7" t="str">
        <f t="shared" si="11"/>
        <v>Ok</v>
      </c>
    </row>
    <row r="79" spans="1:40">
      <c r="A79" t="s">
        <v>339</v>
      </c>
      <c r="B79" s="6">
        <v>45876</v>
      </c>
      <c r="C79" s="4">
        <v>45577</v>
      </c>
      <c r="D79" t="s">
        <v>340</v>
      </c>
      <c r="E79" t="s">
        <v>141</v>
      </c>
      <c r="F79" t="s">
        <v>95</v>
      </c>
      <c r="G79" t="s">
        <v>25</v>
      </c>
      <c r="H79" t="s">
        <v>136</v>
      </c>
      <c r="I79" t="s">
        <v>137</v>
      </c>
      <c r="J79" t="s">
        <v>41</v>
      </c>
      <c r="K79" t="s">
        <v>57</v>
      </c>
      <c r="L79" t="s">
        <v>341</v>
      </c>
      <c r="M79" t="s">
        <v>59</v>
      </c>
      <c r="N79">
        <v>1</v>
      </c>
      <c r="O79">
        <v>2582.1999999999998</v>
      </c>
      <c r="P79">
        <v>0.15</v>
      </c>
      <c r="Q79" s="7">
        <f>IF(P79="", 0, P79)</f>
        <v>0.15</v>
      </c>
      <c r="R79">
        <v>2194.87</v>
      </c>
      <c r="S79">
        <v>1223.17</v>
      </c>
      <c r="T79" s="7">
        <f>N79*O79*(1-Q79)</f>
        <v>2194.87</v>
      </c>
      <c r="U79" s="7">
        <f t="shared" si="6"/>
        <v>971.69999999999982</v>
      </c>
      <c r="V79">
        <v>971.7</v>
      </c>
      <c r="W79" s="12">
        <f t="shared" si="7"/>
        <v>0.44271414707932583</v>
      </c>
      <c r="X79" t="s">
        <v>102</v>
      </c>
      <c r="Y79" t="str">
        <f t="shared" si="8"/>
        <v>Refunded</v>
      </c>
      <c r="Z79" t="s">
        <v>68</v>
      </c>
      <c r="AA79">
        <f>C79-B79</f>
        <v>-299</v>
      </c>
      <c r="AB79" t="str">
        <f>IF(B79="","Missing Order Date",
IF(C79="","Missing Ship Date","OK"))</f>
        <v>OK</v>
      </c>
      <c r="AC79" s="7" t="str">
        <f>IF(C79&lt;B79, "Invalid", "Valid")</f>
        <v>Invalid</v>
      </c>
      <c r="AD79" s="7" t="str">
        <f>IF(COUNTIF($A:$A, A79)&gt;1, "Duplicate", "Unique")</f>
        <v>Unique</v>
      </c>
      <c r="AE79" s="7" t="str">
        <f>IF(G79="","Unknown",G79)</f>
        <v>North</v>
      </c>
      <c r="AF79" s="7" t="str">
        <f>IF(M79="","Unknown",M79)</f>
        <v>Standard Class</v>
      </c>
      <c r="AG79" s="7" t="str">
        <f>IF(P79&lt;0,"Invalid",
IF(P79&gt;1,"Invalid","Valid"))</f>
        <v>Valid</v>
      </c>
      <c r="AH79" s="7" t="str">
        <f>TEXT(B79,"mmmm")</f>
        <v>August</v>
      </c>
      <c r="AI79" s="7">
        <f t="shared" si="9"/>
        <v>2025</v>
      </c>
      <c r="AJ79" s="7" t="str">
        <f>IF(OR(R79&lt;0,C79&lt;B79),"Invalid",
IF(OR(G79="Unknown",M79="Unknown"),"Warning","Clean"))</f>
        <v>Invalid</v>
      </c>
      <c r="AK79" s="7" t="str">
        <f>IF(C79&lt;B79,"Ship Before Order","OK")</f>
        <v>Ship Before Order</v>
      </c>
      <c r="AL79" s="7" t="str">
        <f>IF(ISNUMBER(B79),"Valid","Invalid")</f>
        <v>Valid</v>
      </c>
      <c r="AM79" s="7" t="str">
        <f t="shared" si="10"/>
        <v>Ok</v>
      </c>
      <c r="AN79" s="7" t="str">
        <f t="shared" si="11"/>
        <v>Ok</v>
      </c>
    </row>
    <row r="80" spans="1:40">
      <c r="A80" t="s">
        <v>342</v>
      </c>
      <c r="B80" s="6">
        <v>45854</v>
      </c>
      <c r="C80" s="4">
        <v>45578</v>
      </c>
      <c r="D80" t="s">
        <v>343</v>
      </c>
      <c r="E80" t="s">
        <v>132</v>
      </c>
      <c r="F80" t="s">
        <v>90</v>
      </c>
      <c r="G80" t="s">
        <v>38</v>
      </c>
      <c r="H80" t="s">
        <v>99</v>
      </c>
      <c r="I80" t="s">
        <v>100</v>
      </c>
      <c r="J80" t="s">
        <v>41</v>
      </c>
      <c r="K80" t="s">
        <v>42</v>
      </c>
      <c r="L80" t="s">
        <v>344</v>
      </c>
      <c r="M80" t="s">
        <v>50</v>
      </c>
      <c r="N80">
        <v>5</v>
      </c>
      <c r="O80">
        <v>2129.5100000000002</v>
      </c>
      <c r="P80">
        <v>0.15</v>
      </c>
      <c r="Q80" s="7">
        <f>IF(P80="", 0, P80)</f>
        <v>0.15</v>
      </c>
      <c r="R80">
        <v>9050.42</v>
      </c>
      <c r="S80">
        <v>6778.85</v>
      </c>
      <c r="T80" s="7">
        <f>N80*O80*(1-Q80)</f>
        <v>9050.4175000000014</v>
      </c>
      <c r="U80" s="7">
        <f t="shared" si="6"/>
        <v>2271.567500000001</v>
      </c>
      <c r="V80">
        <v>2271.5700000000002</v>
      </c>
      <c r="W80" s="12">
        <f t="shared" si="7"/>
        <v>0.25099035486484472</v>
      </c>
      <c r="X80" t="s">
        <v>32</v>
      </c>
      <c r="Y80" t="str">
        <f t="shared" si="8"/>
        <v>Paid</v>
      </c>
      <c r="Z80" t="s">
        <v>33</v>
      </c>
      <c r="AA80">
        <f>C80-B80</f>
        <v>-276</v>
      </c>
      <c r="AB80" t="str">
        <f>IF(B80="","Missing Order Date",
IF(C80="","Missing Ship Date","OK"))</f>
        <v>OK</v>
      </c>
      <c r="AC80" s="7" t="str">
        <f>IF(C80&lt;B80, "Invalid", "Valid")</f>
        <v>Invalid</v>
      </c>
      <c r="AD80" s="7" t="str">
        <f>IF(COUNTIF($A:$A, A80)&gt;1, "Duplicate", "Unique")</f>
        <v>Unique</v>
      </c>
      <c r="AE80" s="7" t="str">
        <f>IF(G80="","Unknown",G80)</f>
        <v>East</v>
      </c>
      <c r="AF80" s="7" t="str">
        <f>IF(M80="","Unknown",M80)</f>
        <v>First Class</v>
      </c>
      <c r="AG80" s="7" t="str">
        <f>IF(P80&lt;0,"Invalid",
IF(P80&gt;1,"Invalid","Valid"))</f>
        <v>Valid</v>
      </c>
      <c r="AH80" s="7" t="str">
        <f>TEXT(B80,"mmmm")</f>
        <v>July</v>
      </c>
      <c r="AI80" s="7">
        <f t="shared" si="9"/>
        <v>2025</v>
      </c>
      <c r="AJ80" s="7" t="str">
        <f>IF(OR(R80&lt;0,C80&lt;B80),"Invalid",
IF(OR(G80="Unknown",M80="Unknown"),"Warning","Clean"))</f>
        <v>Invalid</v>
      </c>
      <c r="AK80" s="7" t="str">
        <f>IF(C80&lt;B80,"Ship Before Order","OK")</f>
        <v>Ship Before Order</v>
      </c>
      <c r="AL80" s="7" t="str">
        <f>IF(ISNUMBER(B80),"Valid","Invalid")</f>
        <v>Valid</v>
      </c>
      <c r="AM80" s="7" t="str">
        <f t="shared" si="10"/>
        <v>Missmatched</v>
      </c>
      <c r="AN80" s="7" t="str">
        <f t="shared" si="11"/>
        <v>Missmatched</v>
      </c>
    </row>
    <row r="81" spans="1:40">
      <c r="A81" t="s">
        <v>345</v>
      </c>
      <c r="B81" s="6">
        <v>45927</v>
      </c>
      <c r="C81" s="4">
        <v>45579</v>
      </c>
      <c r="D81" t="s">
        <v>346</v>
      </c>
      <c r="E81" t="s">
        <v>162</v>
      </c>
      <c r="F81" t="s">
        <v>95</v>
      </c>
      <c r="G81" t="s">
        <v>54</v>
      </c>
      <c r="H81" t="s">
        <v>247</v>
      </c>
      <c r="I81" t="s">
        <v>248</v>
      </c>
      <c r="J81" t="s">
        <v>41</v>
      </c>
      <c r="K81" t="s">
        <v>66</v>
      </c>
      <c r="L81" t="s">
        <v>347</v>
      </c>
      <c r="M81" t="s">
        <v>44</v>
      </c>
      <c r="N81">
        <v>9</v>
      </c>
      <c r="O81">
        <v>4131.5200000000004</v>
      </c>
      <c r="P81">
        <v>0.1</v>
      </c>
      <c r="Q81" s="7">
        <f>IF(P81="", 0, P81)</f>
        <v>0.1</v>
      </c>
      <c r="R81">
        <v>33465.31</v>
      </c>
      <c r="S81">
        <v>24781.26</v>
      </c>
      <c r="T81" s="7">
        <f>N81*O81*(1-Q81)</f>
        <v>33465.312000000005</v>
      </c>
      <c r="U81" s="7">
        <f t="shared" si="6"/>
        <v>8684.052000000007</v>
      </c>
      <c r="V81">
        <v>8684.0499999999993</v>
      </c>
      <c r="W81" s="12">
        <f t="shared" si="7"/>
        <v>0.25949412932411942</v>
      </c>
      <c r="X81" t="s">
        <v>32</v>
      </c>
      <c r="Y81" t="str">
        <f t="shared" si="8"/>
        <v>Paid</v>
      </c>
      <c r="Z81" t="s">
        <v>33</v>
      </c>
      <c r="AA81">
        <f>C81-B81</f>
        <v>-348</v>
      </c>
      <c r="AB81" t="str">
        <f>IF(B81="","Missing Order Date",
IF(C81="","Missing Ship Date","OK"))</f>
        <v>OK</v>
      </c>
      <c r="AC81" s="7" t="str">
        <f>IF(C81&lt;B81, "Invalid", "Valid")</f>
        <v>Invalid</v>
      </c>
      <c r="AD81" s="7" t="str">
        <f>IF(COUNTIF($A:$A, A81)&gt;1, "Duplicate", "Unique")</f>
        <v>Unique</v>
      </c>
      <c r="AE81" s="7" t="str">
        <f>IF(G81="","Unknown",G81)</f>
        <v>South</v>
      </c>
      <c r="AF81" s="7" t="str">
        <f>IF(M81="","Unknown",M81)</f>
        <v>Same Day</v>
      </c>
      <c r="AG81" s="7" t="str">
        <f>IF(P81&lt;0,"Invalid",
IF(P81&gt;1,"Invalid","Valid"))</f>
        <v>Valid</v>
      </c>
      <c r="AH81" s="7" t="str">
        <f>TEXT(B81,"mmmm")</f>
        <v>September</v>
      </c>
      <c r="AI81" s="7">
        <f t="shared" si="9"/>
        <v>2025</v>
      </c>
      <c r="AJ81" s="7" t="str">
        <f>IF(OR(R81&lt;0,C81&lt;B81),"Invalid",
IF(OR(G81="Unknown",M81="Unknown"),"Warning","Clean"))</f>
        <v>Invalid</v>
      </c>
      <c r="AK81" s="7" t="str">
        <f>IF(C81&lt;B81,"Ship Before Order","OK")</f>
        <v>Ship Before Order</v>
      </c>
      <c r="AL81" s="7" t="str">
        <f>IF(ISNUMBER(B81),"Valid","Invalid")</f>
        <v>Valid</v>
      </c>
      <c r="AM81" s="7" t="str">
        <f t="shared" si="10"/>
        <v>Missmatched</v>
      </c>
      <c r="AN81" s="7" t="str">
        <f t="shared" si="11"/>
        <v>Missmatched</v>
      </c>
    </row>
    <row r="82" spans="1:40">
      <c r="A82" t="s">
        <v>348</v>
      </c>
      <c r="B82" s="6">
        <v>45573</v>
      </c>
      <c r="C82" s="4">
        <v>45580</v>
      </c>
      <c r="D82" t="s">
        <v>349</v>
      </c>
      <c r="E82" t="s">
        <v>128</v>
      </c>
      <c r="F82" t="s">
        <v>37</v>
      </c>
      <c r="G82" t="s">
        <v>25</v>
      </c>
      <c r="H82" t="s">
        <v>350</v>
      </c>
      <c r="I82" t="s">
        <v>351</v>
      </c>
      <c r="J82" t="s">
        <v>28</v>
      </c>
      <c r="K82" t="s">
        <v>124</v>
      </c>
      <c r="L82" t="s">
        <v>352</v>
      </c>
      <c r="M82" t="s">
        <v>31</v>
      </c>
      <c r="N82">
        <v>4</v>
      </c>
      <c r="O82">
        <v>1182.32</v>
      </c>
      <c r="P82">
        <v>0.1</v>
      </c>
      <c r="Q82" s="7">
        <f>IF(P82="", 0, P82)</f>
        <v>0.1</v>
      </c>
      <c r="R82">
        <v>4256.3500000000004</v>
      </c>
      <c r="S82">
        <v>2495.33</v>
      </c>
      <c r="T82" s="7">
        <f>N82*O82*(1-Q82)</f>
        <v>4256.3519999999999</v>
      </c>
      <c r="U82" s="7">
        <f t="shared" si="6"/>
        <v>1761.0219999999999</v>
      </c>
      <c r="V82">
        <v>1761.02</v>
      </c>
      <c r="W82" s="12">
        <f t="shared" si="7"/>
        <v>0.41373974708858663</v>
      </c>
      <c r="X82" t="s">
        <v>111</v>
      </c>
      <c r="Y82" t="str">
        <f t="shared" si="8"/>
        <v>Pending</v>
      </c>
      <c r="Z82" t="s">
        <v>103</v>
      </c>
      <c r="AA82">
        <f>C82-B82</f>
        <v>7</v>
      </c>
      <c r="AB82" t="str">
        <f>IF(B82="","Missing Order Date",
IF(C82="","Missing Ship Date","OK"))</f>
        <v>OK</v>
      </c>
      <c r="AC82" s="7" t="str">
        <f>IF(C82&lt;B82, "Invalid", "Valid")</f>
        <v>Valid</v>
      </c>
      <c r="AD82" s="7" t="str">
        <f>IF(COUNTIF($A:$A, A82)&gt;1, "Duplicate", "Unique")</f>
        <v>Unique</v>
      </c>
      <c r="AE82" s="7" t="str">
        <f>IF(G82="","Unknown",G82)</f>
        <v>North</v>
      </c>
      <c r="AF82" s="7" t="str">
        <f>IF(M82="","Unknown",M82)</f>
        <v>Second Class</v>
      </c>
      <c r="AG82" s="7" t="str">
        <f>IF(P82&lt;0,"Invalid",
IF(P82&gt;1,"Invalid","Valid"))</f>
        <v>Valid</v>
      </c>
      <c r="AH82" s="7" t="str">
        <f>TEXT(B82,"mmmm")</f>
        <v>October</v>
      </c>
      <c r="AI82" s="7">
        <f t="shared" si="9"/>
        <v>2024</v>
      </c>
      <c r="AJ82" s="7" t="str">
        <f>IF(OR(R82&lt;0,C82&lt;B82),"Invalid",
IF(OR(G82="Unknown",M82="Unknown"),"Warning","Clean"))</f>
        <v>Clean</v>
      </c>
      <c r="AK82" s="7" t="str">
        <f>IF(C82&lt;B82,"Ship Before Order","OK")</f>
        <v>OK</v>
      </c>
      <c r="AL82" s="7" t="str">
        <f>IF(ISNUMBER(B82),"Valid","Invalid")</f>
        <v>Valid</v>
      </c>
      <c r="AM82" s="7" t="str">
        <f t="shared" si="10"/>
        <v>Missmatched</v>
      </c>
      <c r="AN82" s="7" t="str">
        <f t="shared" si="11"/>
        <v>Missmatched</v>
      </c>
    </row>
    <row r="83" spans="1:40">
      <c r="A83" t="s">
        <v>353</v>
      </c>
      <c r="B83" s="6">
        <v>45732</v>
      </c>
      <c r="C83" s="4">
        <v>45581</v>
      </c>
      <c r="D83" t="s">
        <v>354</v>
      </c>
      <c r="E83" t="s">
        <v>23</v>
      </c>
      <c r="F83" t="s">
        <v>95</v>
      </c>
      <c r="G83" t="s">
        <v>63</v>
      </c>
      <c r="H83" t="s">
        <v>190</v>
      </c>
      <c r="I83" t="s">
        <v>191</v>
      </c>
      <c r="J83" t="s">
        <v>28</v>
      </c>
      <c r="K83" t="s">
        <v>91</v>
      </c>
      <c r="L83" t="s">
        <v>355</v>
      </c>
      <c r="M83" t="s">
        <v>44</v>
      </c>
      <c r="N83">
        <v>3</v>
      </c>
      <c r="O83">
        <v>1841.91</v>
      </c>
      <c r="P83">
        <v>0</v>
      </c>
      <c r="Q83" s="7">
        <f>IF(P83="", 0, P83)</f>
        <v>0</v>
      </c>
      <c r="R83">
        <v>5525.73</v>
      </c>
      <c r="S83">
        <v>3093.42</v>
      </c>
      <c r="T83" s="7">
        <f>N83*O83*(1-Q83)</f>
        <v>5525.7300000000005</v>
      </c>
      <c r="U83" s="7">
        <f t="shared" si="6"/>
        <v>2432.3100000000004</v>
      </c>
      <c r="V83">
        <v>2432.31</v>
      </c>
      <c r="W83" s="12">
        <f t="shared" si="7"/>
        <v>0.44017894468242208</v>
      </c>
      <c r="X83" t="s">
        <v>32</v>
      </c>
      <c r="Y83" t="str">
        <f t="shared" si="8"/>
        <v>Paid</v>
      </c>
      <c r="Z83" t="s">
        <v>33</v>
      </c>
      <c r="AA83">
        <f>C83-B83</f>
        <v>-151</v>
      </c>
      <c r="AB83" t="str">
        <f>IF(B83="","Missing Order Date",
IF(C83="","Missing Ship Date","OK"))</f>
        <v>OK</v>
      </c>
      <c r="AC83" s="7" t="str">
        <f>IF(C83&lt;B83, "Invalid", "Valid")</f>
        <v>Invalid</v>
      </c>
      <c r="AD83" s="7" t="str">
        <f>IF(COUNTIF($A:$A, A83)&gt;1, "Duplicate", "Unique")</f>
        <v>Unique</v>
      </c>
      <c r="AE83" s="7" t="str">
        <f>IF(G83="","Unknown",G83)</f>
        <v>West</v>
      </c>
      <c r="AF83" s="7" t="str">
        <f>IF(M83="","Unknown",M83)</f>
        <v>Same Day</v>
      </c>
      <c r="AG83" s="7" t="str">
        <f>IF(P83&lt;0,"Invalid",
IF(P83&gt;1,"Invalid","Valid"))</f>
        <v>Valid</v>
      </c>
      <c r="AH83" s="7" t="str">
        <f>TEXT(B83,"mmmm")</f>
        <v>March</v>
      </c>
      <c r="AI83" s="7">
        <f t="shared" si="9"/>
        <v>2025</v>
      </c>
      <c r="AJ83" s="7" t="str">
        <f>IF(OR(R83&lt;0,C83&lt;B83),"Invalid",
IF(OR(G83="Unknown",M83="Unknown"),"Warning","Clean"))</f>
        <v>Invalid</v>
      </c>
      <c r="AK83" s="7" t="str">
        <f>IF(C83&lt;B83,"Ship Before Order","OK")</f>
        <v>Ship Before Order</v>
      </c>
      <c r="AL83" s="7" t="str">
        <f>IF(ISNUMBER(B83),"Valid","Invalid")</f>
        <v>Valid</v>
      </c>
      <c r="AM83" s="7" t="str">
        <f t="shared" si="10"/>
        <v>Ok</v>
      </c>
      <c r="AN83" s="7" t="str">
        <f t="shared" si="11"/>
        <v>Ok</v>
      </c>
    </row>
    <row r="84" spans="1:40">
      <c r="A84" t="s">
        <v>356</v>
      </c>
      <c r="B84" s="6">
        <v>45359</v>
      </c>
      <c r="C84" s="4">
        <v>45582</v>
      </c>
      <c r="D84" t="s">
        <v>357</v>
      </c>
      <c r="E84" t="s">
        <v>53</v>
      </c>
      <c r="F84" t="s">
        <v>24</v>
      </c>
      <c r="G84" t="s">
        <v>25</v>
      </c>
      <c r="H84" t="s">
        <v>136</v>
      </c>
      <c r="I84" t="s">
        <v>137</v>
      </c>
      <c r="J84" t="s">
        <v>74</v>
      </c>
      <c r="K84" t="s">
        <v>80</v>
      </c>
      <c r="L84" t="s">
        <v>358</v>
      </c>
      <c r="M84" t="s">
        <v>31</v>
      </c>
      <c r="N84">
        <v>6</v>
      </c>
      <c r="O84">
        <v>1001.73</v>
      </c>
      <c r="P84">
        <v>0</v>
      </c>
      <c r="Q84" s="7">
        <f>IF(P84="", 0, P84)</f>
        <v>0</v>
      </c>
      <c r="R84">
        <v>6010.38</v>
      </c>
      <c r="S84">
        <v>3762.85</v>
      </c>
      <c r="T84" s="7">
        <f>N84*O84*(1-Q84)</f>
        <v>6010.38</v>
      </c>
      <c r="U84" s="7">
        <f t="shared" si="6"/>
        <v>2247.5300000000002</v>
      </c>
      <c r="V84">
        <v>2247.5300000000002</v>
      </c>
      <c r="W84" s="12">
        <f t="shared" si="7"/>
        <v>0.37394141468592673</v>
      </c>
      <c r="X84" t="s">
        <v>155</v>
      </c>
      <c r="Y84" t="str">
        <f t="shared" si="8"/>
        <v>Failed</v>
      </c>
      <c r="Z84" t="s">
        <v>103</v>
      </c>
      <c r="AA84">
        <f>C84-B84</f>
        <v>223</v>
      </c>
      <c r="AB84" t="str">
        <f>IF(B84="","Missing Order Date",
IF(C84="","Missing Ship Date","OK"))</f>
        <v>OK</v>
      </c>
      <c r="AC84" s="7" t="str">
        <f>IF(C84&lt;B84, "Invalid", "Valid")</f>
        <v>Valid</v>
      </c>
      <c r="AD84" s="7" t="str">
        <f>IF(COUNTIF($A:$A, A84)&gt;1, "Duplicate", "Unique")</f>
        <v>Unique</v>
      </c>
      <c r="AE84" s="7" t="str">
        <f>IF(G84="","Unknown",G84)</f>
        <v>North</v>
      </c>
      <c r="AF84" s="7" t="str">
        <f>IF(M84="","Unknown",M84)</f>
        <v>Second Class</v>
      </c>
      <c r="AG84" s="7" t="str">
        <f>IF(P84&lt;0,"Invalid",
IF(P84&gt;1,"Invalid","Valid"))</f>
        <v>Valid</v>
      </c>
      <c r="AH84" s="7" t="str">
        <f>TEXT(B84,"mmmm")</f>
        <v>March</v>
      </c>
      <c r="AI84" s="7">
        <f t="shared" si="9"/>
        <v>2024</v>
      </c>
      <c r="AJ84" s="7" t="str">
        <f>IF(OR(R84&lt;0,C84&lt;B84),"Invalid",
IF(OR(G84="Unknown",M84="Unknown"),"Warning","Clean"))</f>
        <v>Clean</v>
      </c>
      <c r="AK84" s="7" t="str">
        <f>IF(C84&lt;B84,"Ship Before Order","OK")</f>
        <v>OK</v>
      </c>
      <c r="AL84" s="7" t="str">
        <f>IF(ISNUMBER(B84),"Valid","Invalid")</f>
        <v>Valid</v>
      </c>
      <c r="AM84" s="7" t="str">
        <f t="shared" si="10"/>
        <v>Ok</v>
      </c>
      <c r="AN84" s="7" t="str">
        <f t="shared" si="11"/>
        <v>Ok</v>
      </c>
    </row>
    <row r="85" spans="1:40">
      <c r="A85" t="s">
        <v>359</v>
      </c>
      <c r="B85" s="6">
        <v>45591</v>
      </c>
      <c r="C85" s="4">
        <v>45583</v>
      </c>
      <c r="D85" t="s">
        <v>360</v>
      </c>
      <c r="E85" t="s">
        <v>89</v>
      </c>
      <c r="F85" t="s">
        <v>95</v>
      </c>
      <c r="G85" t="s">
        <v>63</v>
      </c>
      <c r="H85" t="s">
        <v>64</v>
      </c>
      <c r="I85" t="s">
        <v>65</v>
      </c>
      <c r="J85" t="s">
        <v>41</v>
      </c>
      <c r="K85" t="s">
        <v>42</v>
      </c>
      <c r="L85" t="s">
        <v>361</v>
      </c>
      <c r="M85" t="s">
        <v>31</v>
      </c>
      <c r="N85">
        <v>9</v>
      </c>
      <c r="O85">
        <v>131.74</v>
      </c>
      <c r="P85">
        <v>0.2</v>
      </c>
      <c r="Q85" s="7">
        <f>IF(P85="", 0, P85)</f>
        <v>0.2</v>
      </c>
      <c r="R85">
        <v>948.53</v>
      </c>
      <c r="S85">
        <v>674.62</v>
      </c>
      <c r="T85" s="7">
        <f>N85*O85*(1-Q85)</f>
        <v>948.52800000000013</v>
      </c>
      <c r="U85" s="7">
        <f t="shared" si="6"/>
        <v>273.90800000000013</v>
      </c>
      <c r="V85">
        <v>273.91000000000003</v>
      </c>
      <c r="W85" s="12">
        <f t="shared" si="7"/>
        <v>0.28877165460587362</v>
      </c>
      <c r="X85" t="s">
        <v>32</v>
      </c>
      <c r="Y85" t="str">
        <f t="shared" si="8"/>
        <v>Paid</v>
      </c>
      <c r="Z85" t="s">
        <v>33</v>
      </c>
      <c r="AA85">
        <f>C85-B85</f>
        <v>-8</v>
      </c>
      <c r="AB85" t="str">
        <f>IF(B85="","Missing Order Date",
IF(C85="","Missing Ship Date","OK"))</f>
        <v>OK</v>
      </c>
      <c r="AC85" s="7" t="str">
        <f>IF(C85&lt;B85, "Invalid", "Valid")</f>
        <v>Invalid</v>
      </c>
      <c r="AD85" s="7" t="str">
        <f>IF(COUNTIF($A:$A, A85)&gt;1, "Duplicate", "Unique")</f>
        <v>Unique</v>
      </c>
      <c r="AE85" s="7" t="str">
        <f>IF(G85="","Unknown",G85)</f>
        <v>West</v>
      </c>
      <c r="AF85" s="7" t="str">
        <f>IF(M85="","Unknown",M85)</f>
        <v>Second Class</v>
      </c>
      <c r="AG85" s="7" t="str">
        <f>IF(P85&lt;0,"Invalid",
IF(P85&gt;1,"Invalid","Valid"))</f>
        <v>Valid</v>
      </c>
      <c r="AH85" s="7" t="str">
        <f>TEXT(B85,"mmmm")</f>
        <v>October</v>
      </c>
      <c r="AI85" s="7">
        <f t="shared" si="9"/>
        <v>2024</v>
      </c>
      <c r="AJ85" s="7" t="str">
        <f>IF(OR(R85&lt;0,C85&lt;B85),"Invalid",
IF(OR(G85="Unknown",M85="Unknown"),"Warning","Clean"))</f>
        <v>Invalid</v>
      </c>
      <c r="AK85" s="7" t="str">
        <f>IF(C85&lt;B85,"Ship Before Order","OK")</f>
        <v>Ship Before Order</v>
      </c>
      <c r="AL85" s="7" t="str">
        <f>IF(ISNUMBER(B85),"Valid","Invalid")</f>
        <v>Valid</v>
      </c>
      <c r="AM85" s="7" t="str">
        <f t="shared" si="10"/>
        <v>Missmatched</v>
      </c>
      <c r="AN85" s="7" t="str">
        <f t="shared" si="11"/>
        <v>Missmatched</v>
      </c>
    </row>
    <row r="86" spans="1:40">
      <c r="A86" t="s">
        <v>362</v>
      </c>
      <c r="B86" s="6">
        <v>45301</v>
      </c>
      <c r="C86" s="4">
        <v>45584</v>
      </c>
      <c r="D86" t="s">
        <v>363</v>
      </c>
      <c r="E86" t="s">
        <v>141</v>
      </c>
      <c r="F86" t="s">
        <v>90</v>
      </c>
      <c r="G86" t="s">
        <v>54</v>
      </c>
      <c r="H86" t="s">
        <v>247</v>
      </c>
      <c r="I86" t="s">
        <v>248</v>
      </c>
      <c r="J86" t="s">
        <v>74</v>
      </c>
      <c r="K86" t="s">
        <v>171</v>
      </c>
      <c r="L86" t="s">
        <v>364</v>
      </c>
      <c r="M86" t="s">
        <v>31</v>
      </c>
      <c r="N86">
        <v>6</v>
      </c>
      <c r="O86">
        <v>570.28</v>
      </c>
      <c r="P86">
        <v>0.2</v>
      </c>
      <c r="Q86" s="7">
        <f>IF(P86="", 0, P86)</f>
        <v>0.2</v>
      </c>
      <c r="R86">
        <v>2737.34</v>
      </c>
      <c r="S86">
        <v>2085.44</v>
      </c>
      <c r="T86" s="7">
        <f>N86*O86*(1-Q86)</f>
        <v>2737.3440000000001</v>
      </c>
      <c r="U86" s="7">
        <f t="shared" si="6"/>
        <v>651.904</v>
      </c>
      <c r="V86">
        <v>651.9</v>
      </c>
      <c r="W86" s="12">
        <f t="shared" si="7"/>
        <v>0.23815201889130486</v>
      </c>
      <c r="X86" t="s">
        <v>32</v>
      </c>
      <c r="Y86" t="str">
        <f t="shared" si="8"/>
        <v>Paid</v>
      </c>
      <c r="Z86" t="s">
        <v>33</v>
      </c>
      <c r="AA86">
        <f>C86-B86</f>
        <v>283</v>
      </c>
      <c r="AB86" t="str">
        <f>IF(B86="","Missing Order Date",
IF(C86="","Missing Ship Date","OK"))</f>
        <v>OK</v>
      </c>
      <c r="AC86" s="7" t="str">
        <f>IF(C86&lt;B86, "Invalid", "Valid")</f>
        <v>Valid</v>
      </c>
      <c r="AD86" s="7" t="str">
        <f>IF(COUNTIF($A:$A, A86)&gt;1, "Duplicate", "Unique")</f>
        <v>Unique</v>
      </c>
      <c r="AE86" s="7" t="str">
        <f>IF(G86="","Unknown",G86)</f>
        <v>South</v>
      </c>
      <c r="AF86" s="7" t="str">
        <f>IF(M86="","Unknown",M86)</f>
        <v>Second Class</v>
      </c>
      <c r="AG86" s="7" t="str">
        <f>IF(P86&lt;0,"Invalid",
IF(P86&gt;1,"Invalid","Valid"))</f>
        <v>Valid</v>
      </c>
      <c r="AH86" s="7" t="str">
        <f>TEXT(B86,"mmmm")</f>
        <v>January</v>
      </c>
      <c r="AI86" s="7">
        <f t="shared" si="9"/>
        <v>2024</v>
      </c>
      <c r="AJ86" s="7" t="str">
        <f>IF(OR(R86&lt;0,C86&lt;B86),"Invalid",
IF(OR(G86="Unknown",M86="Unknown"),"Warning","Clean"))</f>
        <v>Clean</v>
      </c>
      <c r="AK86" s="7" t="str">
        <f>IF(C86&lt;B86,"Ship Before Order","OK")</f>
        <v>OK</v>
      </c>
      <c r="AL86" s="7" t="str">
        <f>IF(ISNUMBER(B86),"Valid","Invalid")</f>
        <v>Valid</v>
      </c>
      <c r="AM86" s="7" t="str">
        <f t="shared" si="10"/>
        <v>Missmatched</v>
      </c>
      <c r="AN86" s="7" t="str">
        <f t="shared" si="11"/>
        <v>Missmatched</v>
      </c>
    </row>
    <row r="87" spans="1:40">
      <c r="A87" t="s">
        <v>365</v>
      </c>
      <c r="B87" s="6">
        <v>45503</v>
      </c>
      <c r="C87" s="4">
        <v>45585</v>
      </c>
      <c r="D87" t="s">
        <v>366</v>
      </c>
      <c r="E87" t="s">
        <v>264</v>
      </c>
      <c r="F87" t="s">
        <v>90</v>
      </c>
      <c r="G87" t="s">
        <v>25</v>
      </c>
      <c r="H87" t="s">
        <v>350</v>
      </c>
      <c r="I87" t="s">
        <v>351</v>
      </c>
      <c r="J87" t="s">
        <v>28</v>
      </c>
      <c r="K87" t="s">
        <v>153</v>
      </c>
      <c r="L87" t="s">
        <v>367</v>
      </c>
      <c r="M87" t="s">
        <v>59</v>
      </c>
      <c r="N87">
        <v>1</v>
      </c>
      <c r="O87">
        <v>608.64</v>
      </c>
      <c r="P87">
        <v>0</v>
      </c>
      <c r="Q87" s="7">
        <f>IF(P87="", 0, P87)</f>
        <v>0</v>
      </c>
      <c r="R87">
        <v>608.64</v>
      </c>
      <c r="S87">
        <v>343.99</v>
      </c>
      <c r="T87" s="7">
        <f>N87*O87*(1-Q87)</f>
        <v>608.64</v>
      </c>
      <c r="U87" s="7">
        <f t="shared" si="6"/>
        <v>264.64999999999998</v>
      </c>
      <c r="V87">
        <v>264.64999999999998</v>
      </c>
      <c r="W87" s="12">
        <f t="shared" si="7"/>
        <v>0.43482189800210302</v>
      </c>
      <c r="X87" t="s">
        <v>32</v>
      </c>
      <c r="Y87" t="str">
        <f t="shared" si="8"/>
        <v>Paid</v>
      </c>
      <c r="Z87" t="s">
        <v>68</v>
      </c>
      <c r="AA87">
        <f>C87-B87</f>
        <v>82</v>
      </c>
      <c r="AB87" t="str">
        <f>IF(B87="","Missing Order Date",
IF(C87="","Missing Ship Date","OK"))</f>
        <v>OK</v>
      </c>
      <c r="AC87" s="7" t="str">
        <f>IF(C87&lt;B87, "Invalid", "Valid")</f>
        <v>Valid</v>
      </c>
      <c r="AD87" s="7" t="str">
        <f>IF(COUNTIF($A:$A, A87)&gt;1, "Duplicate", "Unique")</f>
        <v>Unique</v>
      </c>
      <c r="AE87" s="7" t="str">
        <f>IF(G87="","Unknown",G87)</f>
        <v>North</v>
      </c>
      <c r="AF87" s="7" t="str">
        <f>IF(M87="","Unknown",M87)</f>
        <v>Standard Class</v>
      </c>
      <c r="AG87" s="7" t="str">
        <f>IF(P87&lt;0,"Invalid",
IF(P87&gt;1,"Invalid","Valid"))</f>
        <v>Valid</v>
      </c>
      <c r="AH87" s="7" t="str">
        <f>TEXT(B87,"mmmm")</f>
        <v>July</v>
      </c>
      <c r="AI87" s="7">
        <f t="shared" si="9"/>
        <v>2024</v>
      </c>
      <c r="AJ87" s="7" t="str">
        <f>IF(OR(R87&lt;0,C87&lt;B87),"Invalid",
IF(OR(G87="Unknown",M87="Unknown"),"Warning","Clean"))</f>
        <v>Clean</v>
      </c>
      <c r="AK87" s="7" t="str">
        <f>IF(C87&lt;B87,"Ship Before Order","OK")</f>
        <v>OK</v>
      </c>
      <c r="AL87" s="7" t="str">
        <f>IF(ISNUMBER(B87),"Valid","Invalid")</f>
        <v>Valid</v>
      </c>
      <c r="AM87" s="7" t="str">
        <f t="shared" si="10"/>
        <v>Ok</v>
      </c>
      <c r="AN87" s="7" t="str">
        <f t="shared" si="11"/>
        <v>Ok</v>
      </c>
    </row>
    <row r="88" spans="1:40">
      <c r="A88" t="s">
        <v>368</v>
      </c>
      <c r="B88" s="6">
        <v>45298</v>
      </c>
      <c r="C88" s="4">
        <v>45586</v>
      </c>
      <c r="D88" t="s">
        <v>369</v>
      </c>
      <c r="E88" t="s">
        <v>62</v>
      </c>
      <c r="F88" t="s">
        <v>37</v>
      </c>
      <c r="G88" t="s">
        <v>25</v>
      </c>
      <c r="H88" t="s">
        <v>350</v>
      </c>
      <c r="I88" t="s">
        <v>351</v>
      </c>
      <c r="J88" t="s">
        <v>74</v>
      </c>
      <c r="K88" t="s">
        <v>80</v>
      </c>
      <c r="L88" t="s">
        <v>370</v>
      </c>
      <c r="M88" t="s">
        <v>31</v>
      </c>
      <c r="N88">
        <v>3</v>
      </c>
      <c r="O88">
        <v>885.28</v>
      </c>
      <c r="P88">
        <v>0.1</v>
      </c>
      <c r="Q88" s="7">
        <f>IF(P88="", 0, P88)</f>
        <v>0.1</v>
      </c>
      <c r="R88">
        <v>2390.2600000000002</v>
      </c>
      <c r="S88">
        <v>1495.94</v>
      </c>
      <c r="T88" s="7">
        <f>N88*O88*(1-Q88)</f>
        <v>2390.2560000000003</v>
      </c>
      <c r="U88" s="7">
        <f t="shared" si="6"/>
        <v>894.31600000000026</v>
      </c>
      <c r="V88">
        <v>894.32</v>
      </c>
      <c r="W88" s="12">
        <f t="shared" si="7"/>
        <v>0.37415071858411825</v>
      </c>
      <c r="X88" t="s">
        <v>102</v>
      </c>
      <c r="Y88" t="str">
        <f t="shared" si="8"/>
        <v>Refunded</v>
      </c>
      <c r="Z88" t="s">
        <v>68</v>
      </c>
      <c r="AA88">
        <f>C88-B88</f>
        <v>288</v>
      </c>
      <c r="AB88" t="str">
        <f>IF(B88="","Missing Order Date",
IF(C88="","Missing Ship Date","OK"))</f>
        <v>OK</v>
      </c>
      <c r="AC88" s="7" t="str">
        <f>IF(C88&lt;B88, "Invalid", "Valid")</f>
        <v>Valid</v>
      </c>
      <c r="AD88" s="7" t="str">
        <f>IF(COUNTIF($A:$A, A88)&gt;1, "Duplicate", "Unique")</f>
        <v>Unique</v>
      </c>
      <c r="AE88" s="7" t="str">
        <f>IF(G88="","Unknown",G88)</f>
        <v>North</v>
      </c>
      <c r="AF88" s="7" t="str">
        <f>IF(M88="","Unknown",M88)</f>
        <v>Second Class</v>
      </c>
      <c r="AG88" s="7" t="str">
        <f>IF(P88&lt;0,"Invalid",
IF(P88&gt;1,"Invalid","Valid"))</f>
        <v>Valid</v>
      </c>
      <c r="AH88" s="7" t="str">
        <f>TEXT(B88,"mmmm")</f>
        <v>January</v>
      </c>
      <c r="AI88" s="7">
        <f t="shared" si="9"/>
        <v>2024</v>
      </c>
      <c r="AJ88" s="7" t="str">
        <f>IF(OR(R88&lt;0,C88&lt;B88),"Invalid",
IF(OR(G88="Unknown",M88="Unknown"),"Warning","Clean"))</f>
        <v>Clean</v>
      </c>
      <c r="AK88" s="7" t="str">
        <f>IF(C88&lt;B88,"Ship Before Order","OK")</f>
        <v>OK</v>
      </c>
      <c r="AL88" s="7" t="str">
        <f>IF(ISNUMBER(B88),"Valid","Invalid")</f>
        <v>Valid</v>
      </c>
      <c r="AM88" s="7" t="str">
        <f t="shared" si="10"/>
        <v>Missmatched</v>
      </c>
      <c r="AN88" s="7" t="str">
        <f t="shared" si="11"/>
        <v>Missmatched</v>
      </c>
    </row>
    <row r="89" spans="1:40">
      <c r="A89" t="s">
        <v>371</v>
      </c>
      <c r="B89" s="6">
        <v>45506</v>
      </c>
      <c r="C89" s="4">
        <v>45587</v>
      </c>
      <c r="D89" t="s">
        <v>372</v>
      </c>
      <c r="E89" t="s">
        <v>71</v>
      </c>
      <c r="F89" t="s">
        <v>24</v>
      </c>
      <c r="G89" t="s">
        <v>38</v>
      </c>
      <c r="H89" t="s">
        <v>166</v>
      </c>
      <c r="I89" t="s">
        <v>167</v>
      </c>
      <c r="J89" t="s">
        <v>28</v>
      </c>
      <c r="K89" t="s">
        <v>153</v>
      </c>
      <c r="L89" t="s">
        <v>373</v>
      </c>
      <c r="M89" t="s">
        <v>59</v>
      </c>
      <c r="N89">
        <v>7</v>
      </c>
      <c r="O89">
        <v>3345.22</v>
      </c>
      <c r="P89">
        <v>0</v>
      </c>
      <c r="Q89" s="7">
        <f>IF(P89="", 0, P89)</f>
        <v>0</v>
      </c>
      <c r="R89">
        <v>23416.54</v>
      </c>
      <c r="S89">
        <v>15490.89</v>
      </c>
      <c r="T89" s="7">
        <f>N89*O89*(1-Q89)</f>
        <v>23416.539999999997</v>
      </c>
      <c r="U89" s="7">
        <f t="shared" si="6"/>
        <v>7925.6499999999978</v>
      </c>
      <c r="V89">
        <v>7925.65</v>
      </c>
      <c r="W89" s="12">
        <f t="shared" si="7"/>
        <v>0.33846375254414185</v>
      </c>
      <c r="X89" t="s">
        <v>32</v>
      </c>
      <c r="Y89" t="str">
        <f t="shared" si="8"/>
        <v>Paid</v>
      </c>
      <c r="Z89" t="s">
        <v>33</v>
      </c>
      <c r="AA89">
        <f>C89-B89</f>
        <v>81</v>
      </c>
      <c r="AB89" t="str">
        <f>IF(B89="","Missing Order Date",
IF(C89="","Missing Ship Date","OK"))</f>
        <v>OK</v>
      </c>
      <c r="AC89" s="7" t="str">
        <f>IF(C89&lt;B89, "Invalid", "Valid")</f>
        <v>Valid</v>
      </c>
      <c r="AD89" s="7" t="str">
        <f>IF(COUNTIF($A:$A, A89)&gt;1, "Duplicate", "Unique")</f>
        <v>Unique</v>
      </c>
      <c r="AE89" s="7" t="str">
        <f>IF(G89="","Unknown",G89)</f>
        <v>East</v>
      </c>
      <c r="AF89" s="7" t="str">
        <f>IF(M89="","Unknown",M89)</f>
        <v>Standard Class</v>
      </c>
      <c r="AG89" s="7" t="str">
        <f>IF(P89&lt;0,"Invalid",
IF(P89&gt;1,"Invalid","Valid"))</f>
        <v>Valid</v>
      </c>
      <c r="AH89" s="7" t="str">
        <f>TEXT(B89,"mmmm")</f>
        <v>August</v>
      </c>
      <c r="AI89" s="7">
        <f t="shared" si="9"/>
        <v>2024</v>
      </c>
      <c r="AJ89" s="7" t="str">
        <f>IF(OR(R89&lt;0,C89&lt;B89),"Invalid",
IF(OR(G89="Unknown",M89="Unknown"),"Warning","Clean"))</f>
        <v>Clean</v>
      </c>
      <c r="AK89" s="7" t="str">
        <f>IF(C89&lt;B89,"Ship Before Order","OK")</f>
        <v>OK</v>
      </c>
      <c r="AL89" s="7" t="str">
        <f>IF(ISNUMBER(B89),"Valid","Invalid")</f>
        <v>Valid</v>
      </c>
      <c r="AM89" s="7" t="str">
        <f t="shared" si="10"/>
        <v>Ok</v>
      </c>
      <c r="AN89" s="7" t="str">
        <f t="shared" si="11"/>
        <v>Ok</v>
      </c>
    </row>
    <row r="90" spans="1:40">
      <c r="A90" t="s">
        <v>374</v>
      </c>
      <c r="B90" s="6">
        <v>45375</v>
      </c>
      <c r="C90" s="4">
        <v>45588</v>
      </c>
      <c r="D90" t="s">
        <v>375</v>
      </c>
      <c r="E90" t="s">
        <v>141</v>
      </c>
      <c r="F90" t="s">
        <v>37</v>
      </c>
      <c r="G90" t="s">
        <v>63</v>
      </c>
      <c r="H90" t="s">
        <v>64</v>
      </c>
      <c r="I90" t="s">
        <v>65</v>
      </c>
      <c r="J90" t="s">
        <v>41</v>
      </c>
      <c r="K90" t="s">
        <v>158</v>
      </c>
      <c r="L90" t="s">
        <v>376</v>
      </c>
      <c r="M90" t="s">
        <v>59</v>
      </c>
      <c r="N90">
        <v>2</v>
      </c>
      <c r="O90">
        <v>3284.75</v>
      </c>
      <c r="P90">
        <v>0.05</v>
      </c>
      <c r="Q90" s="7">
        <f>IF(P90="", 0, P90)</f>
        <v>0.05</v>
      </c>
      <c r="R90">
        <v>6241.02</v>
      </c>
      <c r="S90">
        <v>5345.88</v>
      </c>
      <c r="T90" s="7">
        <f>N90*O90*(1-Q90)</f>
        <v>6241.0249999999996</v>
      </c>
      <c r="U90" s="7">
        <f t="shared" si="6"/>
        <v>895.14499999999953</v>
      </c>
      <c r="V90">
        <v>895.14</v>
      </c>
      <c r="W90" s="12">
        <f t="shared" si="7"/>
        <v>0.14342916427990587</v>
      </c>
      <c r="X90" t="s">
        <v>32</v>
      </c>
      <c r="Y90" t="str">
        <f t="shared" si="8"/>
        <v>Paid</v>
      </c>
      <c r="Z90" t="s">
        <v>33</v>
      </c>
      <c r="AA90">
        <f>C90-B90</f>
        <v>213</v>
      </c>
      <c r="AB90" t="str">
        <f>IF(B90="","Missing Order Date",
IF(C90="","Missing Ship Date","OK"))</f>
        <v>OK</v>
      </c>
      <c r="AC90" s="7" t="str">
        <f>IF(C90&lt;B90, "Invalid", "Valid")</f>
        <v>Valid</v>
      </c>
      <c r="AD90" s="7" t="str">
        <f>IF(COUNTIF($A:$A, A90)&gt;1, "Duplicate", "Unique")</f>
        <v>Unique</v>
      </c>
      <c r="AE90" s="7" t="str">
        <f>IF(G90="","Unknown",G90)</f>
        <v>West</v>
      </c>
      <c r="AF90" s="7" t="str">
        <f>IF(M90="","Unknown",M90)</f>
        <v>Standard Class</v>
      </c>
      <c r="AG90" s="7" t="str">
        <f>IF(P90&lt;0,"Invalid",
IF(P90&gt;1,"Invalid","Valid"))</f>
        <v>Valid</v>
      </c>
      <c r="AH90" s="7" t="str">
        <f>TEXT(B90,"mmmm")</f>
        <v>March</v>
      </c>
      <c r="AI90" s="7">
        <f t="shared" si="9"/>
        <v>2024</v>
      </c>
      <c r="AJ90" s="7" t="str">
        <f>IF(OR(R90&lt;0,C90&lt;B90),"Invalid",
IF(OR(G90="Unknown",M90="Unknown"),"Warning","Clean"))</f>
        <v>Clean</v>
      </c>
      <c r="AK90" s="7" t="str">
        <f>IF(C90&lt;B90,"Ship Before Order","OK")</f>
        <v>OK</v>
      </c>
      <c r="AL90" s="7" t="str">
        <f>IF(ISNUMBER(B90),"Valid","Invalid")</f>
        <v>Valid</v>
      </c>
      <c r="AM90" s="7" t="str">
        <f t="shared" si="10"/>
        <v>Missmatched</v>
      </c>
      <c r="AN90" s="7" t="str">
        <f t="shared" si="11"/>
        <v>Missmatched</v>
      </c>
    </row>
    <row r="91" spans="1:40">
      <c r="A91" t="s">
        <v>377</v>
      </c>
      <c r="B91" s="6">
        <v>45421</v>
      </c>
      <c r="C91" s="4">
        <v>45589</v>
      </c>
      <c r="D91" t="s">
        <v>378</v>
      </c>
      <c r="E91" t="s">
        <v>264</v>
      </c>
      <c r="F91" t="s">
        <v>24</v>
      </c>
      <c r="G91" t="s">
        <v>54</v>
      </c>
      <c r="H91" t="s">
        <v>84</v>
      </c>
      <c r="I91" t="s">
        <v>85</v>
      </c>
      <c r="J91" t="s">
        <v>41</v>
      </c>
      <c r="K91" t="s">
        <v>158</v>
      </c>
      <c r="L91" t="s">
        <v>379</v>
      </c>
      <c r="M91" t="s">
        <v>59</v>
      </c>
      <c r="N91">
        <v>7</v>
      </c>
      <c r="O91">
        <v>3761.09</v>
      </c>
      <c r="P91">
        <v>0.2</v>
      </c>
      <c r="Q91" s="7">
        <f>IF(P91="", 0, P91)</f>
        <v>0.2</v>
      </c>
      <c r="R91">
        <v>21062.1</v>
      </c>
      <c r="S91">
        <v>12057.13</v>
      </c>
      <c r="T91" s="7">
        <f>N91*O91*(1-Q91)</f>
        <v>21062.104000000003</v>
      </c>
      <c r="U91" s="7">
        <f t="shared" si="6"/>
        <v>9004.9740000000038</v>
      </c>
      <c r="V91">
        <v>9004.9699999999993</v>
      </c>
      <c r="W91" s="12">
        <f t="shared" si="7"/>
        <v>0.42754389589947911</v>
      </c>
      <c r="X91" t="s">
        <v>111</v>
      </c>
      <c r="Y91" t="str">
        <f t="shared" si="8"/>
        <v>Pending</v>
      </c>
      <c r="Z91" t="s">
        <v>68</v>
      </c>
      <c r="AA91">
        <f>C91-B91</f>
        <v>168</v>
      </c>
      <c r="AB91" t="str">
        <f>IF(B91="","Missing Order Date",
IF(C91="","Missing Ship Date","OK"))</f>
        <v>OK</v>
      </c>
      <c r="AC91" s="7" t="str">
        <f>IF(C91&lt;B91, "Invalid", "Valid")</f>
        <v>Valid</v>
      </c>
      <c r="AD91" s="7" t="str">
        <f>IF(COUNTIF($A:$A, A91)&gt;1, "Duplicate", "Unique")</f>
        <v>Unique</v>
      </c>
      <c r="AE91" s="7" t="str">
        <f>IF(G91="","Unknown",G91)</f>
        <v>South</v>
      </c>
      <c r="AF91" s="7" t="str">
        <f>IF(M91="","Unknown",M91)</f>
        <v>Standard Class</v>
      </c>
      <c r="AG91" s="7" t="str">
        <f>IF(P91&lt;0,"Invalid",
IF(P91&gt;1,"Invalid","Valid"))</f>
        <v>Valid</v>
      </c>
      <c r="AH91" s="7" t="str">
        <f>TEXT(B91,"mmmm")</f>
        <v>May</v>
      </c>
      <c r="AI91" s="7">
        <f t="shared" si="9"/>
        <v>2024</v>
      </c>
      <c r="AJ91" s="7" t="str">
        <f>IF(OR(R91&lt;0,C91&lt;B91),"Invalid",
IF(OR(G91="Unknown",M91="Unknown"),"Warning","Clean"))</f>
        <v>Clean</v>
      </c>
      <c r="AK91" s="7" t="str">
        <f>IF(C91&lt;B91,"Ship Before Order","OK")</f>
        <v>OK</v>
      </c>
      <c r="AL91" s="7" t="str">
        <f>IF(ISNUMBER(B91),"Valid","Invalid")</f>
        <v>Valid</v>
      </c>
      <c r="AM91" s="7" t="str">
        <f t="shared" si="10"/>
        <v>Missmatched</v>
      </c>
      <c r="AN91" s="7" t="str">
        <f t="shared" si="11"/>
        <v>Missmatched</v>
      </c>
    </row>
    <row r="92" spans="1:40">
      <c r="A92" t="s">
        <v>380</v>
      </c>
      <c r="B92" s="6">
        <v>45893</v>
      </c>
      <c r="C92" s="4">
        <v>45590</v>
      </c>
      <c r="D92" t="s">
        <v>381</v>
      </c>
      <c r="E92" t="s">
        <v>128</v>
      </c>
      <c r="F92" t="s">
        <v>37</v>
      </c>
      <c r="G92" t="s">
        <v>38</v>
      </c>
      <c r="H92" t="s">
        <v>145</v>
      </c>
      <c r="I92" t="s">
        <v>146</v>
      </c>
      <c r="J92" t="s">
        <v>74</v>
      </c>
      <c r="K92" t="s">
        <v>80</v>
      </c>
      <c r="L92" t="s">
        <v>382</v>
      </c>
      <c r="M92" t="s">
        <v>50</v>
      </c>
      <c r="N92">
        <v>3</v>
      </c>
      <c r="O92">
        <v>3703.96</v>
      </c>
      <c r="P92">
        <v>0.15</v>
      </c>
      <c r="Q92" s="7">
        <f>IF(P92="", 0, P92)</f>
        <v>0.15</v>
      </c>
      <c r="R92">
        <v>9445.1</v>
      </c>
      <c r="S92">
        <v>5586.28</v>
      </c>
      <c r="T92" s="7">
        <f>N92*O92*(1-Q92)</f>
        <v>9445.098</v>
      </c>
      <c r="U92" s="7">
        <f t="shared" si="6"/>
        <v>3858.8180000000002</v>
      </c>
      <c r="V92">
        <v>3858.82</v>
      </c>
      <c r="W92" s="12">
        <f t="shared" si="7"/>
        <v>0.40855245758170006</v>
      </c>
      <c r="X92" t="s">
        <v>32</v>
      </c>
      <c r="Y92" t="str">
        <f t="shared" si="8"/>
        <v>Paid</v>
      </c>
      <c r="Z92" t="s">
        <v>33</v>
      </c>
      <c r="AA92">
        <f>C92-B92</f>
        <v>-303</v>
      </c>
      <c r="AB92" t="str">
        <f>IF(B92="","Missing Order Date",
IF(C92="","Missing Ship Date","OK"))</f>
        <v>OK</v>
      </c>
      <c r="AC92" s="7" t="str">
        <f>IF(C92&lt;B92, "Invalid", "Valid")</f>
        <v>Invalid</v>
      </c>
      <c r="AD92" s="7" t="str">
        <f>IF(COUNTIF($A:$A, A92)&gt;1, "Duplicate", "Unique")</f>
        <v>Duplicate</v>
      </c>
      <c r="AE92" s="7" t="str">
        <f>IF(G92="","Unknown",G92)</f>
        <v>East</v>
      </c>
      <c r="AF92" s="7" t="str">
        <f>IF(M92="","Unknown",M92)</f>
        <v>First Class</v>
      </c>
      <c r="AG92" s="7" t="str">
        <f>IF(P92&lt;0,"Invalid",
IF(P92&gt;1,"Invalid","Valid"))</f>
        <v>Valid</v>
      </c>
      <c r="AH92" s="7" t="str">
        <f>TEXT(B92,"mmmm")</f>
        <v>August</v>
      </c>
      <c r="AI92" s="7">
        <f t="shared" si="9"/>
        <v>2025</v>
      </c>
      <c r="AJ92" s="7" t="str">
        <f>IF(OR(R92&lt;0,C92&lt;B92),"Invalid",
IF(OR(G92="Unknown",M92="Unknown"),"Warning","Clean"))</f>
        <v>Invalid</v>
      </c>
      <c r="AK92" s="7" t="str">
        <f>IF(C92&lt;B92,"Ship Before Order","OK")</f>
        <v>Ship Before Order</v>
      </c>
      <c r="AL92" s="7" t="str">
        <f>IF(ISNUMBER(B92),"Valid","Invalid")</f>
        <v>Valid</v>
      </c>
      <c r="AM92" s="7" t="str">
        <f t="shared" si="10"/>
        <v>Missmatched</v>
      </c>
      <c r="AN92" s="7" t="str">
        <f t="shared" si="11"/>
        <v>Missmatched</v>
      </c>
    </row>
    <row r="93" spans="1:40">
      <c r="A93" t="s">
        <v>383</v>
      </c>
      <c r="B93" s="6">
        <v>45718</v>
      </c>
      <c r="C93" s="4">
        <v>45591</v>
      </c>
      <c r="D93" t="s">
        <v>384</v>
      </c>
      <c r="E93" t="s">
        <v>132</v>
      </c>
      <c r="F93" t="s">
        <v>90</v>
      </c>
      <c r="G93" t="s">
        <v>63</v>
      </c>
      <c r="H93" t="s">
        <v>72</v>
      </c>
      <c r="I93" t="s">
        <v>73</v>
      </c>
      <c r="J93" t="s">
        <v>74</v>
      </c>
      <c r="K93" t="s">
        <v>80</v>
      </c>
      <c r="L93" t="s">
        <v>385</v>
      </c>
      <c r="M93" t="s">
        <v>31</v>
      </c>
      <c r="N93">
        <v>9</v>
      </c>
      <c r="O93">
        <v>269.68</v>
      </c>
      <c r="P93">
        <v>0</v>
      </c>
      <c r="Q93" s="7">
        <f>IF(P93="", 0, P93)</f>
        <v>0</v>
      </c>
      <c r="R93">
        <v>2427.12</v>
      </c>
      <c r="S93">
        <v>1538.35</v>
      </c>
      <c r="T93" s="7">
        <f>N93*O93*(1-Q93)</f>
        <v>2427.12</v>
      </c>
      <c r="U93" s="7">
        <f t="shared" si="6"/>
        <v>888.77</v>
      </c>
      <c r="V93">
        <v>804.53</v>
      </c>
      <c r="W93" s="12">
        <f t="shared" si="7"/>
        <v>0.36618296581957216</v>
      </c>
      <c r="X93" t="s">
        <v>32</v>
      </c>
      <c r="Y93" t="str">
        <f t="shared" si="8"/>
        <v>Paid</v>
      </c>
      <c r="Z93" t="s">
        <v>33</v>
      </c>
      <c r="AA93">
        <f>C93-B93</f>
        <v>-127</v>
      </c>
      <c r="AB93" t="str">
        <f>IF(B93="","Missing Order Date",
IF(C93="","Missing Ship Date","OK"))</f>
        <v>OK</v>
      </c>
      <c r="AC93" s="7" t="str">
        <f>IF(C93&lt;B93, "Invalid", "Valid")</f>
        <v>Invalid</v>
      </c>
      <c r="AD93" s="7" t="str">
        <f>IF(COUNTIF($A:$A, A93)&gt;1, "Duplicate", "Unique")</f>
        <v>Unique</v>
      </c>
      <c r="AE93" s="7" t="str">
        <f>IF(G93="","Unknown",G93)</f>
        <v>West</v>
      </c>
      <c r="AF93" s="7" t="str">
        <f>IF(M93="","Unknown",M93)</f>
        <v>Second Class</v>
      </c>
      <c r="AG93" s="7" t="str">
        <f>IF(P93&lt;0,"Invalid",
IF(P93&gt;1,"Invalid","Valid"))</f>
        <v>Valid</v>
      </c>
      <c r="AH93" s="7" t="str">
        <f>TEXT(B93,"mmmm")</f>
        <v>March</v>
      </c>
      <c r="AI93" s="7">
        <f t="shared" si="9"/>
        <v>2025</v>
      </c>
      <c r="AJ93" s="7" t="str">
        <f>IF(OR(R93&lt;0,C93&lt;B93),"Invalid",
IF(OR(G93="Unknown",M93="Unknown"),"Warning","Clean"))</f>
        <v>Invalid</v>
      </c>
      <c r="AK93" s="7" t="str">
        <f>IF(C93&lt;B93,"Ship Before Order","OK")</f>
        <v>Ship Before Order</v>
      </c>
      <c r="AL93" s="7" t="str">
        <f>IF(ISNUMBER(B93),"Valid","Invalid")</f>
        <v>Valid</v>
      </c>
      <c r="AM93" s="7" t="str">
        <f t="shared" si="10"/>
        <v>Ok</v>
      </c>
      <c r="AN93" s="7" t="str">
        <f t="shared" si="11"/>
        <v>Missmatched</v>
      </c>
    </row>
    <row r="94" spans="1:40">
      <c r="A94" t="s">
        <v>386</v>
      </c>
      <c r="B94" s="6">
        <v>45680</v>
      </c>
      <c r="C94" s="4">
        <v>45592</v>
      </c>
      <c r="D94" t="s">
        <v>387</v>
      </c>
      <c r="E94" t="s">
        <v>128</v>
      </c>
      <c r="F94" t="s">
        <v>24</v>
      </c>
      <c r="G94" t="s">
        <v>63</v>
      </c>
      <c r="H94" t="s">
        <v>72</v>
      </c>
      <c r="I94" t="s">
        <v>73</v>
      </c>
      <c r="J94" t="s">
        <v>28</v>
      </c>
      <c r="K94" t="s">
        <v>29</v>
      </c>
      <c r="L94" t="s">
        <v>388</v>
      </c>
      <c r="M94" t="s">
        <v>59</v>
      </c>
      <c r="N94">
        <v>9</v>
      </c>
      <c r="O94">
        <v>4458.26</v>
      </c>
      <c r="P94">
        <v>0.1</v>
      </c>
      <c r="Q94" s="7">
        <f>IF(P94="", 0, P94)</f>
        <v>0.1</v>
      </c>
      <c r="R94">
        <v>36111.910000000003</v>
      </c>
      <c r="S94">
        <v>29194.5</v>
      </c>
      <c r="T94" s="7">
        <f>N94*O94*(1-Q94)</f>
        <v>36111.906000000003</v>
      </c>
      <c r="U94" s="7">
        <f t="shared" si="6"/>
        <v>6917.4060000000027</v>
      </c>
      <c r="V94">
        <v>6917.41</v>
      </c>
      <c r="W94" s="12">
        <f t="shared" si="7"/>
        <v>0.19155471882320479</v>
      </c>
      <c r="X94" t="s">
        <v>32</v>
      </c>
      <c r="Y94" t="str">
        <f t="shared" si="8"/>
        <v>Paid</v>
      </c>
      <c r="Z94" t="s">
        <v>33</v>
      </c>
      <c r="AA94">
        <f>C94-B94</f>
        <v>-88</v>
      </c>
      <c r="AB94" t="str">
        <f>IF(B94="","Missing Order Date",
IF(C94="","Missing Ship Date","OK"))</f>
        <v>OK</v>
      </c>
      <c r="AC94" s="7" t="str">
        <f>IF(C94&lt;B94, "Invalid", "Valid")</f>
        <v>Invalid</v>
      </c>
      <c r="AD94" s="7" t="str">
        <f>IF(COUNTIF($A:$A, A94)&gt;1, "Duplicate", "Unique")</f>
        <v>Unique</v>
      </c>
      <c r="AE94" s="7" t="str">
        <f>IF(G94="","Unknown",G94)</f>
        <v>West</v>
      </c>
      <c r="AF94" s="7" t="str">
        <f>IF(M94="","Unknown",M94)</f>
        <v>Standard Class</v>
      </c>
      <c r="AG94" s="7" t="str">
        <f>IF(P94&lt;0,"Invalid",
IF(P94&gt;1,"Invalid","Valid"))</f>
        <v>Valid</v>
      </c>
      <c r="AH94" s="7" t="str">
        <f>TEXT(B94,"mmmm")</f>
        <v>January</v>
      </c>
      <c r="AI94" s="7">
        <f t="shared" si="9"/>
        <v>2025</v>
      </c>
      <c r="AJ94" s="7" t="str">
        <f>IF(OR(R94&lt;0,C94&lt;B94),"Invalid",
IF(OR(G94="Unknown",M94="Unknown"),"Warning","Clean"))</f>
        <v>Invalid</v>
      </c>
      <c r="AK94" s="7" t="str">
        <f>IF(C94&lt;B94,"Ship Before Order","OK")</f>
        <v>Ship Before Order</v>
      </c>
      <c r="AL94" s="7" t="str">
        <f>IF(ISNUMBER(B94),"Valid","Invalid")</f>
        <v>Valid</v>
      </c>
      <c r="AM94" s="7" t="str">
        <f t="shared" si="10"/>
        <v>Missmatched</v>
      </c>
      <c r="AN94" s="7" t="str">
        <f t="shared" si="11"/>
        <v>Missmatched</v>
      </c>
    </row>
    <row r="95" spans="1:40">
      <c r="A95" t="s">
        <v>389</v>
      </c>
      <c r="B95" s="6">
        <v>45474</v>
      </c>
      <c r="C95" s="4">
        <v>45593</v>
      </c>
      <c r="D95" t="s">
        <v>390</v>
      </c>
      <c r="E95" t="s">
        <v>141</v>
      </c>
      <c r="F95" t="s">
        <v>90</v>
      </c>
      <c r="G95" t="s">
        <v>25</v>
      </c>
      <c r="H95" t="s">
        <v>136</v>
      </c>
      <c r="I95" t="s">
        <v>137</v>
      </c>
      <c r="J95" t="s">
        <v>28</v>
      </c>
      <c r="K95" t="s">
        <v>153</v>
      </c>
      <c r="L95" t="s">
        <v>391</v>
      </c>
      <c r="M95" t="s">
        <v>59</v>
      </c>
      <c r="N95">
        <v>7</v>
      </c>
      <c r="O95">
        <v>2788.97</v>
      </c>
      <c r="P95">
        <v>-0.09</v>
      </c>
      <c r="Q95" s="7">
        <f>IF(P95="", 0, P95)</f>
        <v>-0.09</v>
      </c>
      <c r="R95">
        <v>19522.79</v>
      </c>
      <c r="S95">
        <v>12455.78</v>
      </c>
      <c r="T95" s="7">
        <f>N95*O95*(1-Q95)</f>
        <v>21279.841099999998</v>
      </c>
      <c r="U95" s="7">
        <f t="shared" si="6"/>
        <v>8824.0610999999972</v>
      </c>
      <c r="V95">
        <v>7067.01</v>
      </c>
      <c r="W95" s="12">
        <f t="shared" si="7"/>
        <v>0.41466762174272054</v>
      </c>
      <c r="X95" t="s">
        <v>32</v>
      </c>
      <c r="Y95" t="str">
        <f t="shared" si="8"/>
        <v>Paid</v>
      </c>
      <c r="Z95" t="s">
        <v>33</v>
      </c>
      <c r="AA95">
        <f>C95-B95</f>
        <v>119</v>
      </c>
      <c r="AB95" t="str">
        <f>IF(B95="","Missing Order Date",
IF(C95="","Missing Ship Date","OK"))</f>
        <v>OK</v>
      </c>
      <c r="AC95" s="7" t="str">
        <f>IF(C95&lt;B95, "Invalid", "Valid")</f>
        <v>Valid</v>
      </c>
      <c r="AD95" s="7" t="str">
        <f>IF(COUNTIF($A:$A, A95)&gt;1, "Duplicate", "Unique")</f>
        <v>Unique</v>
      </c>
      <c r="AE95" s="7" t="str">
        <f>IF(G95="","Unknown",G95)</f>
        <v>North</v>
      </c>
      <c r="AF95" s="7" t="str">
        <f>IF(M95="","Unknown",M95)</f>
        <v>Standard Class</v>
      </c>
      <c r="AG95" s="7" t="str">
        <f>IF(P95&lt;0,"Invalid",
IF(P95&gt;1,"Invalid","Valid"))</f>
        <v>Invalid</v>
      </c>
      <c r="AH95" s="7" t="str">
        <f>TEXT(B95,"mmmm")</f>
        <v>July</v>
      </c>
      <c r="AI95" s="7">
        <f t="shared" si="9"/>
        <v>2024</v>
      </c>
      <c r="AJ95" s="7" t="str">
        <f>IF(OR(R95&lt;0,C95&lt;B95),"Invalid",
IF(OR(G95="Unknown",M95="Unknown"),"Warning","Clean"))</f>
        <v>Clean</v>
      </c>
      <c r="AK95" s="7" t="str">
        <f>IF(C95&lt;B95,"Ship Before Order","OK")</f>
        <v>OK</v>
      </c>
      <c r="AL95" s="7" t="str">
        <f>IF(ISNUMBER(B95),"Valid","Invalid")</f>
        <v>Valid</v>
      </c>
      <c r="AM95" s="7" t="str">
        <f t="shared" si="10"/>
        <v>Missmatched</v>
      </c>
      <c r="AN95" s="7" t="str">
        <f t="shared" si="11"/>
        <v>Missmatched</v>
      </c>
    </row>
    <row r="96" spans="1:40">
      <c r="A96" t="s">
        <v>392</v>
      </c>
      <c r="B96" s="6">
        <v>45452</v>
      </c>
      <c r="C96" s="4">
        <v>45594</v>
      </c>
      <c r="D96" t="s">
        <v>393</v>
      </c>
      <c r="E96" t="s">
        <v>162</v>
      </c>
      <c r="F96" t="s">
        <v>24</v>
      </c>
      <c r="G96" t="s">
        <v>25</v>
      </c>
      <c r="H96" t="s">
        <v>236</v>
      </c>
      <c r="I96" t="s">
        <v>237</v>
      </c>
      <c r="J96" t="s">
        <v>74</v>
      </c>
      <c r="K96" t="s">
        <v>171</v>
      </c>
      <c r="L96" t="s">
        <v>394</v>
      </c>
      <c r="M96" t="s">
        <v>31</v>
      </c>
      <c r="N96">
        <v>7</v>
      </c>
      <c r="O96">
        <v>3781.53</v>
      </c>
      <c r="P96">
        <v>0</v>
      </c>
      <c r="Q96" s="7">
        <f>IF(P96="", 0, P96)</f>
        <v>0</v>
      </c>
      <c r="R96">
        <v>26470.71</v>
      </c>
      <c r="S96">
        <v>21367.599999999999</v>
      </c>
      <c r="T96" s="7">
        <f>N96*O96*(1-Q96)</f>
        <v>26470.710000000003</v>
      </c>
      <c r="U96" s="7">
        <f t="shared" si="6"/>
        <v>5103.1100000000042</v>
      </c>
      <c r="V96">
        <v>5103.1099999999997</v>
      </c>
      <c r="W96" s="12">
        <f t="shared" si="7"/>
        <v>0.19278326875251944</v>
      </c>
      <c r="X96" t="s">
        <v>111</v>
      </c>
      <c r="Y96" t="str">
        <f t="shared" si="8"/>
        <v>Pending</v>
      </c>
      <c r="Z96" t="s">
        <v>68</v>
      </c>
      <c r="AA96">
        <f>C96-B96</f>
        <v>142</v>
      </c>
      <c r="AB96" t="str">
        <f>IF(B96="","Missing Order Date",
IF(C96="","Missing Ship Date","OK"))</f>
        <v>OK</v>
      </c>
      <c r="AC96" s="7" t="str">
        <f>IF(C96&lt;B96, "Invalid", "Valid")</f>
        <v>Valid</v>
      </c>
      <c r="AD96" s="7" t="str">
        <f>IF(COUNTIF($A:$A, A96)&gt;1, "Duplicate", "Unique")</f>
        <v>Unique</v>
      </c>
      <c r="AE96" s="7" t="str">
        <f>IF(G96="","Unknown",G96)</f>
        <v>North</v>
      </c>
      <c r="AF96" s="7" t="str">
        <f>IF(M96="","Unknown",M96)</f>
        <v>Second Class</v>
      </c>
      <c r="AG96" s="7" t="str">
        <f>IF(P96&lt;0,"Invalid",
IF(P96&gt;1,"Invalid","Valid"))</f>
        <v>Valid</v>
      </c>
      <c r="AH96" s="7" t="str">
        <f>TEXT(B96,"mmmm")</f>
        <v>June</v>
      </c>
      <c r="AI96" s="7">
        <f t="shared" si="9"/>
        <v>2024</v>
      </c>
      <c r="AJ96" s="7" t="str">
        <f>IF(OR(R96&lt;0,C96&lt;B96),"Invalid",
IF(OR(G96="Unknown",M96="Unknown"),"Warning","Clean"))</f>
        <v>Clean</v>
      </c>
      <c r="AK96" s="7" t="str">
        <f>IF(C96&lt;B96,"Ship Before Order","OK")</f>
        <v>OK</v>
      </c>
      <c r="AL96" s="7" t="str">
        <f>IF(ISNUMBER(B96),"Valid","Invalid")</f>
        <v>Valid</v>
      </c>
      <c r="AM96" s="7" t="str">
        <f t="shared" si="10"/>
        <v>Ok</v>
      </c>
      <c r="AN96" s="7" t="str">
        <f t="shared" si="11"/>
        <v>Ok</v>
      </c>
    </row>
    <row r="97" spans="1:40">
      <c r="A97" t="s">
        <v>395</v>
      </c>
      <c r="B97" s="6">
        <v>45905</v>
      </c>
      <c r="C97" s="4">
        <v>45595</v>
      </c>
      <c r="D97" t="s">
        <v>396</v>
      </c>
      <c r="E97" t="s">
        <v>132</v>
      </c>
      <c r="F97" t="s">
        <v>90</v>
      </c>
      <c r="G97" t="s">
        <v>63</v>
      </c>
      <c r="H97" t="s">
        <v>190</v>
      </c>
      <c r="I97" t="s">
        <v>191</v>
      </c>
      <c r="J97" t="s">
        <v>41</v>
      </c>
      <c r="K97" t="s">
        <v>158</v>
      </c>
      <c r="L97" t="s">
        <v>397</v>
      </c>
      <c r="M97" t="s">
        <v>44</v>
      </c>
      <c r="N97">
        <v>6</v>
      </c>
      <c r="O97">
        <v>1754.13</v>
      </c>
      <c r="P97">
        <v>0</v>
      </c>
      <c r="Q97" s="7">
        <f>IF(P97="", 0, P97)</f>
        <v>0</v>
      </c>
      <c r="R97">
        <v>10524.78</v>
      </c>
      <c r="S97">
        <v>8841.0499999999993</v>
      </c>
      <c r="T97" s="7">
        <f>N97*O97*(1-Q97)</f>
        <v>10524.78</v>
      </c>
      <c r="U97" s="7">
        <f t="shared" si="6"/>
        <v>1683.7300000000014</v>
      </c>
      <c r="V97">
        <v>1683.73</v>
      </c>
      <c r="W97" s="12">
        <f t="shared" si="7"/>
        <v>0.15997769074507984</v>
      </c>
      <c r="X97" t="s">
        <v>32</v>
      </c>
      <c r="Y97" t="str">
        <f t="shared" si="8"/>
        <v>Paid</v>
      </c>
      <c r="Z97" t="s">
        <v>33</v>
      </c>
      <c r="AA97">
        <f>C97-B97</f>
        <v>-310</v>
      </c>
      <c r="AB97" t="str">
        <f>IF(B97="","Missing Order Date",
IF(C97="","Missing Ship Date","OK"))</f>
        <v>OK</v>
      </c>
      <c r="AC97" s="7" t="str">
        <f>IF(C97&lt;B97, "Invalid", "Valid")</f>
        <v>Invalid</v>
      </c>
      <c r="AD97" s="7" t="str">
        <f>IF(COUNTIF($A:$A, A97)&gt;1, "Duplicate", "Unique")</f>
        <v>Unique</v>
      </c>
      <c r="AE97" s="7" t="str">
        <f>IF(G97="","Unknown",G97)</f>
        <v>West</v>
      </c>
      <c r="AF97" s="7" t="str">
        <f>IF(M97="","Unknown",M97)</f>
        <v>Same Day</v>
      </c>
      <c r="AG97" s="7" t="str">
        <f>IF(P97&lt;0,"Invalid",
IF(P97&gt;1,"Invalid","Valid"))</f>
        <v>Valid</v>
      </c>
      <c r="AH97" s="7" t="str">
        <f>TEXT(B97,"mmmm")</f>
        <v>September</v>
      </c>
      <c r="AI97" s="7">
        <f t="shared" si="9"/>
        <v>2025</v>
      </c>
      <c r="AJ97" s="7" t="str">
        <f>IF(OR(R97&lt;0,C97&lt;B97),"Invalid",
IF(OR(G97="Unknown",M97="Unknown"),"Warning","Clean"))</f>
        <v>Invalid</v>
      </c>
      <c r="AK97" s="7" t="str">
        <f>IF(C97&lt;B97,"Ship Before Order","OK")</f>
        <v>Ship Before Order</v>
      </c>
      <c r="AL97" s="7" t="str">
        <f>IF(ISNUMBER(B97),"Valid","Invalid")</f>
        <v>Valid</v>
      </c>
      <c r="AM97" s="7" t="str">
        <f t="shared" si="10"/>
        <v>Ok</v>
      </c>
      <c r="AN97" s="7" t="str">
        <f t="shared" si="11"/>
        <v>Ok</v>
      </c>
    </row>
    <row r="98" spans="1:40">
      <c r="A98" t="s">
        <v>398</v>
      </c>
      <c r="B98" s="6">
        <v>45418</v>
      </c>
      <c r="C98" s="4">
        <v>45596</v>
      </c>
      <c r="D98" t="s">
        <v>399</v>
      </c>
      <c r="E98" t="s">
        <v>118</v>
      </c>
      <c r="F98" t="s">
        <v>95</v>
      </c>
      <c r="G98" t="s">
        <v>38</v>
      </c>
      <c r="H98" t="s">
        <v>39</v>
      </c>
      <c r="I98" t="s">
        <v>40</v>
      </c>
      <c r="J98" t="s">
        <v>74</v>
      </c>
      <c r="K98" t="s">
        <v>80</v>
      </c>
      <c r="L98" t="s">
        <v>400</v>
      </c>
      <c r="M98" t="s">
        <v>31</v>
      </c>
      <c r="N98">
        <v>2</v>
      </c>
      <c r="O98">
        <v>2259.2399999999998</v>
      </c>
      <c r="P98">
        <v>0.15</v>
      </c>
      <c r="Q98" s="7">
        <f>IF(P98="", 0, P98)</f>
        <v>0.15</v>
      </c>
      <c r="R98">
        <v>3840.71</v>
      </c>
      <c r="S98">
        <v>2516.29</v>
      </c>
      <c r="T98" s="7">
        <f>N98*O98*(1-Q98)</f>
        <v>3840.7079999999996</v>
      </c>
      <c r="U98" s="7">
        <f t="shared" si="6"/>
        <v>1324.4179999999997</v>
      </c>
      <c r="V98">
        <v>1324.42</v>
      </c>
      <c r="W98" s="12">
        <f t="shared" si="7"/>
        <v>0.34483694152224009</v>
      </c>
      <c r="X98" t="s">
        <v>32</v>
      </c>
      <c r="Y98" t="str">
        <f t="shared" si="8"/>
        <v>Paid</v>
      </c>
      <c r="Z98" t="s">
        <v>33</v>
      </c>
      <c r="AA98">
        <f>C98-B98</f>
        <v>178</v>
      </c>
      <c r="AB98" t="str">
        <f>IF(B98="","Missing Order Date",
IF(C98="","Missing Ship Date","OK"))</f>
        <v>OK</v>
      </c>
      <c r="AC98" s="7" t="str">
        <f>IF(C98&lt;B98, "Invalid", "Valid")</f>
        <v>Valid</v>
      </c>
      <c r="AD98" s="7" t="str">
        <f>IF(COUNTIF($A:$A, A98)&gt;1, "Duplicate", "Unique")</f>
        <v>Unique</v>
      </c>
      <c r="AE98" s="7" t="str">
        <f>IF(G98="","Unknown",G98)</f>
        <v>East</v>
      </c>
      <c r="AF98" s="7" t="str">
        <f>IF(M98="","Unknown",M98)</f>
        <v>Second Class</v>
      </c>
      <c r="AG98" s="7" t="str">
        <f>IF(P98&lt;0,"Invalid",
IF(P98&gt;1,"Invalid","Valid"))</f>
        <v>Valid</v>
      </c>
      <c r="AH98" s="7" t="str">
        <f>TEXT(B98,"mmmm")</f>
        <v>May</v>
      </c>
      <c r="AI98" s="7">
        <f t="shared" si="9"/>
        <v>2024</v>
      </c>
      <c r="AJ98" s="7" t="str">
        <f>IF(OR(R98&lt;0,C98&lt;B98),"Invalid",
IF(OR(G98="Unknown",M98="Unknown"),"Warning","Clean"))</f>
        <v>Clean</v>
      </c>
      <c r="AK98" s="7" t="str">
        <f>IF(C98&lt;B98,"Ship Before Order","OK")</f>
        <v>OK</v>
      </c>
      <c r="AL98" s="7" t="str">
        <f>IF(ISNUMBER(B98),"Valid","Invalid")</f>
        <v>Valid</v>
      </c>
      <c r="AM98" s="7" t="str">
        <f t="shared" si="10"/>
        <v>Missmatched</v>
      </c>
      <c r="AN98" s="7" t="str">
        <f t="shared" si="11"/>
        <v>Missmatched</v>
      </c>
    </row>
    <row r="99" spans="1:40">
      <c r="A99" t="s">
        <v>401</v>
      </c>
      <c r="B99" s="6">
        <v>45877</v>
      </c>
      <c r="C99" s="4">
        <v>45597</v>
      </c>
      <c r="D99" t="s">
        <v>402</v>
      </c>
      <c r="E99" t="s">
        <v>162</v>
      </c>
      <c r="F99" t="s">
        <v>37</v>
      </c>
      <c r="G99" t="s">
        <v>63</v>
      </c>
      <c r="H99" t="s">
        <v>180</v>
      </c>
      <c r="I99" t="s">
        <v>181</v>
      </c>
      <c r="J99" t="s">
        <v>28</v>
      </c>
      <c r="K99" t="s">
        <v>124</v>
      </c>
      <c r="L99" t="s">
        <v>403</v>
      </c>
      <c r="M99" t="s">
        <v>44</v>
      </c>
      <c r="N99">
        <v>5</v>
      </c>
      <c r="O99">
        <v>3602.36</v>
      </c>
      <c r="P99">
        <v>0.2</v>
      </c>
      <c r="Q99" s="7">
        <f>IF(P99="", 0, P99)</f>
        <v>0.2</v>
      </c>
      <c r="R99">
        <v>14409.44</v>
      </c>
      <c r="S99">
        <v>8809.9699999999993</v>
      </c>
      <c r="T99" s="7">
        <f>N99*O99*(1-Q99)</f>
        <v>14409.44</v>
      </c>
      <c r="U99" s="7">
        <f t="shared" si="6"/>
        <v>5599.4700000000012</v>
      </c>
      <c r="V99">
        <v>5599.47</v>
      </c>
      <c r="W99" s="12">
        <f t="shared" si="7"/>
        <v>0.38859733619071951</v>
      </c>
      <c r="X99" t="s">
        <v>111</v>
      </c>
      <c r="Y99" t="str">
        <f t="shared" si="8"/>
        <v>Pending</v>
      </c>
      <c r="Z99" t="s">
        <v>103</v>
      </c>
      <c r="AA99">
        <f>C99-B99</f>
        <v>-280</v>
      </c>
      <c r="AB99" t="str">
        <f>IF(B99="","Missing Order Date",
IF(C99="","Missing Ship Date","OK"))</f>
        <v>OK</v>
      </c>
      <c r="AC99" s="7" t="str">
        <f>IF(C99&lt;B99, "Invalid", "Valid")</f>
        <v>Invalid</v>
      </c>
      <c r="AD99" s="7" t="str">
        <f>IF(COUNTIF($A:$A, A99)&gt;1, "Duplicate", "Unique")</f>
        <v>Unique</v>
      </c>
      <c r="AE99" s="7" t="str">
        <f>IF(G99="","Unknown",G99)</f>
        <v>West</v>
      </c>
      <c r="AF99" s="7" t="str">
        <f>IF(M99="","Unknown",M99)</f>
        <v>Same Day</v>
      </c>
      <c r="AG99" s="7" t="str">
        <f>IF(P99&lt;0,"Invalid",
IF(P99&gt;1,"Invalid","Valid"))</f>
        <v>Valid</v>
      </c>
      <c r="AH99" s="7" t="str">
        <f>TEXT(B99,"mmmm")</f>
        <v>August</v>
      </c>
      <c r="AI99" s="7">
        <f t="shared" si="9"/>
        <v>2025</v>
      </c>
      <c r="AJ99" s="7" t="str">
        <f>IF(OR(R99&lt;0,C99&lt;B99),"Invalid",
IF(OR(G99="Unknown",M99="Unknown"),"Warning","Clean"))</f>
        <v>Invalid</v>
      </c>
      <c r="AK99" s="7" t="str">
        <f>IF(C99&lt;B99,"Ship Before Order","OK")</f>
        <v>Ship Before Order</v>
      </c>
      <c r="AL99" s="7" t="str">
        <f>IF(ISNUMBER(B99),"Valid","Invalid")</f>
        <v>Valid</v>
      </c>
      <c r="AM99" s="7" t="str">
        <f t="shared" si="10"/>
        <v>Ok</v>
      </c>
      <c r="AN99" s="7" t="str">
        <f t="shared" si="11"/>
        <v>Ok</v>
      </c>
    </row>
    <row r="100" spans="1:40">
      <c r="A100" t="s">
        <v>404</v>
      </c>
      <c r="B100" s="6">
        <v>45317</v>
      </c>
      <c r="C100" s="4">
        <v>45598</v>
      </c>
      <c r="D100" t="s">
        <v>405</v>
      </c>
      <c r="E100" t="s">
        <v>141</v>
      </c>
      <c r="F100" t="s">
        <v>95</v>
      </c>
      <c r="G100" t="s">
        <v>54</v>
      </c>
      <c r="H100" t="s">
        <v>185</v>
      </c>
      <c r="I100" t="s">
        <v>186</v>
      </c>
      <c r="J100" t="s">
        <v>74</v>
      </c>
      <c r="K100" t="s">
        <v>80</v>
      </c>
      <c r="L100" t="s">
        <v>406</v>
      </c>
      <c r="M100" t="s">
        <v>2785</v>
      </c>
      <c r="N100">
        <v>8</v>
      </c>
      <c r="O100">
        <v>2108.9299999999998</v>
      </c>
      <c r="P100">
        <v>0.1</v>
      </c>
      <c r="Q100" s="7">
        <f>IF(P100="", 0, P100)</f>
        <v>0.1</v>
      </c>
      <c r="R100">
        <v>15184.3</v>
      </c>
      <c r="S100">
        <v>11270.74</v>
      </c>
      <c r="T100" s="7">
        <f>N100*O100*(1-Q100)</f>
        <v>15184.295999999998</v>
      </c>
      <c r="U100" s="7">
        <f t="shared" si="6"/>
        <v>3913.5559999999987</v>
      </c>
      <c r="V100">
        <v>3913.56</v>
      </c>
      <c r="W100" s="12">
        <f t="shared" si="7"/>
        <v>0.25773707256497103</v>
      </c>
      <c r="X100" t="s">
        <v>32</v>
      </c>
      <c r="Y100" t="str">
        <f t="shared" si="8"/>
        <v>Paid</v>
      </c>
      <c r="Z100" t="s">
        <v>33</v>
      </c>
      <c r="AA100">
        <f>C100-B100</f>
        <v>281</v>
      </c>
      <c r="AB100" t="str">
        <f>IF(B100="","Missing Order Date",
IF(C100="","Missing Ship Date","OK"))</f>
        <v>OK</v>
      </c>
      <c r="AC100" s="7" t="str">
        <f>IF(C100&lt;B100, "Invalid", "Valid")</f>
        <v>Valid</v>
      </c>
      <c r="AD100" s="7" t="str">
        <f>IF(COUNTIF($A:$A, A100)&gt;1, "Duplicate", "Unique")</f>
        <v>Unique</v>
      </c>
      <c r="AE100" s="7" t="str">
        <f>IF(G100="","Unknown",G100)</f>
        <v>South</v>
      </c>
      <c r="AF100" s="7" t="str">
        <f>IF(M100="","Unknown",M100)</f>
        <v>Unknown</v>
      </c>
      <c r="AG100" s="7" t="str">
        <f>IF(P100&lt;0,"Invalid",
IF(P100&gt;1,"Invalid","Valid"))</f>
        <v>Valid</v>
      </c>
      <c r="AH100" s="7" t="str">
        <f>TEXT(B100,"mmmm")</f>
        <v>January</v>
      </c>
      <c r="AI100" s="7">
        <f t="shared" si="9"/>
        <v>2024</v>
      </c>
      <c r="AJ100" s="7" t="str">
        <f>IF(OR(R100&lt;0,C100&lt;B100),"Invalid",
IF(OR(G100="Unknown",M100="Unknown"),"Warning","Clean"))</f>
        <v>Clean</v>
      </c>
      <c r="AK100" s="7" t="str">
        <f>IF(C100&lt;B100,"Ship Before Order","OK")</f>
        <v>OK</v>
      </c>
      <c r="AL100" s="7" t="str">
        <f>IF(ISNUMBER(B100),"Valid","Invalid")</f>
        <v>Valid</v>
      </c>
      <c r="AM100" s="7" t="str">
        <f t="shared" si="10"/>
        <v>Missmatched</v>
      </c>
      <c r="AN100" s="7" t="str">
        <f t="shared" si="11"/>
        <v>Missmatched</v>
      </c>
    </row>
    <row r="101" spans="1:40">
      <c r="A101" t="s">
        <v>407</v>
      </c>
      <c r="B101" s="6">
        <v>45668</v>
      </c>
      <c r="C101" s="4">
        <v>45599</v>
      </c>
      <c r="D101" t="s">
        <v>408</v>
      </c>
      <c r="E101" t="s">
        <v>89</v>
      </c>
      <c r="F101" t="s">
        <v>37</v>
      </c>
      <c r="G101" t="s">
        <v>63</v>
      </c>
      <c r="H101" t="s">
        <v>26</v>
      </c>
      <c r="I101" t="s">
        <v>109</v>
      </c>
      <c r="J101" t="s">
        <v>74</v>
      </c>
      <c r="K101" t="s">
        <v>75</v>
      </c>
      <c r="L101" t="s">
        <v>409</v>
      </c>
      <c r="M101" t="s">
        <v>44</v>
      </c>
      <c r="N101">
        <v>3</v>
      </c>
      <c r="O101">
        <v>2165.29</v>
      </c>
      <c r="P101">
        <v>0</v>
      </c>
      <c r="Q101" s="7">
        <f>IF(P101="", 0, P101)</f>
        <v>0</v>
      </c>
      <c r="R101">
        <v>6495.87</v>
      </c>
      <c r="S101">
        <v>4700.8900000000003</v>
      </c>
      <c r="T101" s="7">
        <f>N101*O101*(1-Q101)</f>
        <v>6495.87</v>
      </c>
      <c r="U101" s="7">
        <f t="shared" si="6"/>
        <v>1794.9799999999996</v>
      </c>
      <c r="V101">
        <v>1794.98</v>
      </c>
      <c r="W101" s="12">
        <f t="shared" si="7"/>
        <v>0.27632634273777024</v>
      </c>
      <c r="X101" t="s">
        <v>32</v>
      </c>
      <c r="Y101" t="str">
        <f t="shared" si="8"/>
        <v>Paid</v>
      </c>
      <c r="Z101" t="s">
        <v>33</v>
      </c>
      <c r="AA101">
        <f>C101-B101</f>
        <v>-69</v>
      </c>
      <c r="AB101" t="str">
        <f>IF(B101="","Missing Order Date",
IF(C101="","Missing Ship Date","OK"))</f>
        <v>OK</v>
      </c>
      <c r="AC101" s="7" t="str">
        <f>IF(C101&lt;B101, "Invalid", "Valid")</f>
        <v>Invalid</v>
      </c>
      <c r="AD101" s="7" t="str">
        <f>IF(COUNTIF($A:$A, A101)&gt;1, "Duplicate", "Unique")</f>
        <v>Unique</v>
      </c>
      <c r="AE101" s="7" t="str">
        <f>IF(G101="","Unknown",G101)</f>
        <v>West</v>
      </c>
      <c r="AF101" s="7" t="str">
        <f>IF(M101="","Unknown",M101)</f>
        <v>Same Day</v>
      </c>
      <c r="AG101" s="7" t="str">
        <f>IF(P101&lt;0,"Invalid",
IF(P101&gt;1,"Invalid","Valid"))</f>
        <v>Valid</v>
      </c>
      <c r="AH101" s="7" t="str">
        <f>TEXT(B101,"mmmm")</f>
        <v>January</v>
      </c>
      <c r="AI101" s="7">
        <f t="shared" si="9"/>
        <v>2025</v>
      </c>
      <c r="AJ101" s="7" t="str">
        <f>IF(OR(R101&lt;0,C101&lt;B101),"Invalid",
IF(OR(G101="Unknown",M101="Unknown"),"Warning","Clean"))</f>
        <v>Invalid</v>
      </c>
      <c r="AK101" s="7" t="str">
        <f>IF(C101&lt;B101,"Ship Before Order","OK")</f>
        <v>Ship Before Order</v>
      </c>
      <c r="AL101" s="7" t="str">
        <f>IF(ISNUMBER(B101),"Valid","Invalid")</f>
        <v>Valid</v>
      </c>
      <c r="AM101" s="7" t="str">
        <f t="shared" si="10"/>
        <v>Ok</v>
      </c>
      <c r="AN101" s="7" t="str">
        <f t="shared" si="11"/>
        <v>Ok</v>
      </c>
    </row>
    <row r="102" spans="1:40">
      <c r="A102" t="s">
        <v>410</v>
      </c>
      <c r="B102" s="6">
        <v>46000</v>
      </c>
      <c r="C102" s="4">
        <v>45600</v>
      </c>
      <c r="D102" t="s">
        <v>411</v>
      </c>
      <c r="E102" t="s">
        <v>128</v>
      </c>
      <c r="F102" t="s">
        <v>95</v>
      </c>
      <c r="G102" t="s">
        <v>54</v>
      </c>
      <c r="H102" t="s">
        <v>185</v>
      </c>
      <c r="I102" t="s">
        <v>186</v>
      </c>
      <c r="J102" t="s">
        <v>28</v>
      </c>
      <c r="K102" t="s">
        <v>124</v>
      </c>
      <c r="L102" t="s">
        <v>412</v>
      </c>
      <c r="M102" t="s">
        <v>59</v>
      </c>
      <c r="N102">
        <v>6</v>
      </c>
      <c r="O102">
        <v>1673.8</v>
      </c>
      <c r="P102">
        <v>0.05</v>
      </c>
      <c r="Q102" s="7">
        <f>IF(P102="", 0, P102)</f>
        <v>0.05</v>
      </c>
      <c r="R102">
        <v>9540.66</v>
      </c>
      <c r="S102">
        <v>5561.49</v>
      </c>
      <c r="T102" s="7">
        <f>N102*O102*(1-Q102)</f>
        <v>9540.659999999998</v>
      </c>
      <c r="U102" s="7">
        <f t="shared" si="6"/>
        <v>3979.1699999999983</v>
      </c>
      <c r="V102">
        <v>3979.17</v>
      </c>
      <c r="W102" s="12">
        <f t="shared" si="7"/>
        <v>0.41707491934520241</v>
      </c>
      <c r="X102" t="s">
        <v>32</v>
      </c>
      <c r="Y102" t="str">
        <f t="shared" si="8"/>
        <v>Paid</v>
      </c>
      <c r="Z102" t="s">
        <v>33</v>
      </c>
      <c r="AA102">
        <f>C102-B102</f>
        <v>-400</v>
      </c>
      <c r="AB102" t="str">
        <f>IF(B102="","Missing Order Date",
IF(C102="","Missing Ship Date","OK"))</f>
        <v>OK</v>
      </c>
      <c r="AC102" s="7" t="str">
        <f>IF(C102&lt;B102, "Invalid", "Valid")</f>
        <v>Invalid</v>
      </c>
      <c r="AD102" s="7" t="str">
        <f>IF(COUNTIF($A:$A, A102)&gt;1, "Duplicate", "Unique")</f>
        <v>Unique</v>
      </c>
      <c r="AE102" s="7" t="str">
        <f>IF(G102="","Unknown",G102)</f>
        <v>South</v>
      </c>
      <c r="AF102" s="7" t="str">
        <f>IF(M102="","Unknown",M102)</f>
        <v>Standard Class</v>
      </c>
      <c r="AG102" s="7" t="str">
        <f>IF(P102&lt;0,"Invalid",
IF(P102&gt;1,"Invalid","Valid"))</f>
        <v>Valid</v>
      </c>
      <c r="AH102" s="7" t="str">
        <f>TEXT(B102,"mmmm")</f>
        <v>December</v>
      </c>
      <c r="AI102" s="7">
        <f t="shared" si="9"/>
        <v>2025</v>
      </c>
      <c r="AJ102" s="7" t="str">
        <f>IF(OR(R102&lt;0,C102&lt;B102),"Invalid",
IF(OR(G102="Unknown",M102="Unknown"),"Warning","Clean"))</f>
        <v>Invalid</v>
      </c>
      <c r="AK102" s="7" t="str">
        <f>IF(C102&lt;B102,"Ship Before Order","OK")</f>
        <v>Ship Before Order</v>
      </c>
      <c r="AL102" s="7" t="str">
        <f>IF(ISNUMBER(B102),"Valid","Invalid")</f>
        <v>Valid</v>
      </c>
      <c r="AM102" s="7" t="str">
        <f t="shared" si="10"/>
        <v>Ok</v>
      </c>
      <c r="AN102" s="7" t="str">
        <f t="shared" si="11"/>
        <v>Ok</v>
      </c>
    </row>
    <row r="103" spans="1:40">
      <c r="A103" t="s">
        <v>413</v>
      </c>
      <c r="B103" s="6">
        <v>45465</v>
      </c>
      <c r="C103" s="4">
        <v>45601</v>
      </c>
      <c r="D103" t="s">
        <v>414</v>
      </c>
      <c r="E103" t="s">
        <v>141</v>
      </c>
      <c r="F103" t="s">
        <v>95</v>
      </c>
      <c r="G103" t="s">
        <v>38</v>
      </c>
      <c r="H103" t="s">
        <v>145</v>
      </c>
      <c r="I103" t="s">
        <v>146</v>
      </c>
      <c r="J103" t="s">
        <v>41</v>
      </c>
      <c r="K103" t="s">
        <v>57</v>
      </c>
      <c r="L103" t="s">
        <v>415</v>
      </c>
      <c r="M103" t="s">
        <v>50</v>
      </c>
      <c r="N103">
        <v>5</v>
      </c>
      <c r="O103">
        <v>4396.5200000000004</v>
      </c>
      <c r="P103">
        <v>0.25</v>
      </c>
      <c r="Q103" s="7">
        <f>IF(P103="", 0, P103)</f>
        <v>0.25</v>
      </c>
      <c r="R103">
        <v>16486.95</v>
      </c>
      <c r="S103">
        <v>12054.14</v>
      </c>
      <c r="T103" s="7">
        <f>N103*O103*(1-Q103)</f>
        <v>16486.95</v>
      </c>
      <c r="U103" s="7">
        <f t="shared" si="6"/>
        <v>4432.8100000000013</v>
      </c>
      <c r="V103">
        <v>4432.8100000000004</v>
      </c>
      <c r="W103" s="12">
        <f t="shared" si="7"/>
        <v>0.26886780150361356</v>
      </c>
      <c r="X103" t="s">
        <v>32</v>
      </c>
      <c r="Y103" t="str">
        <f t="shared" si="8"/>
        <v>Paid</v>
      </c>
      <c r="Z103" t="s">
        <v>33</v>
      </c>
      <c r="AA103">
        <f>C103-B103</f>
        <v>136</v>
      </c>
      <c r="AB103" t="str">
        <f>IF(B103="","Missing Order Date",
IF(C103="","Missing Ship Date","OK"))</f>
        <v>OK</v>
      </c>
      <c r="AC103" s="7" t="str">
        <f>IF(C103&lt;B103, "Invalid", "Valid")</f>
        <v>Valid</v>
      </c>
      <c r="AD103" s="7" t="str">
        <f>IF(COUNTIF($A:$A, A103)&gt;1, "Duplicate", "Unique")</f>
        <v>Unique</v>
      </c>
      <c r="AE103" s="7" t="str">
        <f>IF(G103="","Unknown",G103)</f>
        <v>East</v>
      </c>
      <c r="AF103" s="7" t="str">
        <f>IF(M103="","Unknown",M103)</f>
        <v>First Class</v>
      </c>
      <c r="AG103" s="7" t="str">
        <f>IF(P103&lt;0,"Invalid",
IF(P103&gt;1,"Invalid","Valid"))</f>
        <v>Valid</v>
      </c>
      <c r="AH103" s="7" t="str">
        <f>TEXT(B103,"mmmm")</f>
        <v>June</v>
      </c>
      <c r="AI103" s="7">
        <f t="shared" si="9"/>
        <v>2024</v>
      </c>
      <c r="AJ103" s="7" t="str">
        <f>IF(OR(R103&lt;0,C103&lt;B103),"Invalid",
IF(OR(G103="Unknown",M103="Unknown"),"Warning","Clean"))</f>
        <v>Clean</v>
      </c>
      <c r="AK103" s="7" t="str">
        <f>IF(C103&lt;B103,"Ship Before Order","OK")</f>
        <v>OK</v>
      </c>
      <c r="AL103" s="7" t="str">
        <f>IF(ISNUMBER(B103),"Valid","Invalid")</f>
        <v>Valid</v>
      </c>
      <c r="AM103" s="7" t="str">
        <f t="shared" si="10"/>
        <v>Ok</v>
      </c>
      <c r="AN103" s="7" t="str">
        <f t="shared" si="11"/>
        <v>Ok</v>
      </c>
    </row>
    <row r="104" spans="1:40">
      <c r="A104" t="s">
        <v>416</v>
      </c>
      <c r="B104" s="6">
        <v>45998</v>
      </c>
      <c r="C104" s="4">
        <v>45602</v>
      </c>
      <c r="D104" t="s">
        <v>417</v>
      </c>
      <c r="E104" t="s">
        <v>71</v>
      </c>
      <c r="F104" t="s">
        <v>24</v>
      </c>
      <c r="G104" t="s">
        <v>54</v>
      </c>
      <c r="H104" t="s">
        <v>175</v>
      </c>
      <c r="I104" t="s">
        <v>176</v>
      </c>
      <c r="J104" t="s">
        <v>41</v>
      </c>
      <c r="K104" t="s">
        <v>66</v>
      </c>
      <c r="L104" t="s">
        <v>418</v>
      </c>
      <c r="M104" t="s">
        <v>50</v>
      </c>
      <c r="N104">
        <v>4</v>
      </c>
      <c r="O104">
        <v>2865.71</v>
      </c>
      <c r="P104">
        <v>0</v>
      </c>
      <c r="Q104" s="7">
        <f>IF(P104="", 0, P104)</f>
        <v>0</v>
      </c>
      <c r="R104">
        <v>11462.84</v>
      </c>
      <c r="S104">
        <v>8979.7800000000007</v>
      </c>
      <c r="T104" s="7">
        <f>N104*O104*(1-Q104)</f>
        <v>11462.84</v>
      </c>
      <c r="U104" s="7">
        <f t="shared" si="6"/>
        <v>2483.0599999999995</v>
      </c>
      <c r="V104">
        <v>2483.06</v>
      </c>
      <c r="W104" s="12">
        <f t="shared" si="7"/>
        <v>0.21661822026653077</v>
      </c>
      <c r="X104" t="s">
        <v>102</v>
      </c>
      <c r="Y104" t="str">
        <f t="shared" si="8"/>
        <v>Refunded</v>
      </c>
      <c r="Z104" t="s">
        <v>68</v>
      </c>
      <c r="AA104">
        <f>C104-B104</f>
        <v>-396</v>
      </c>
      <c r="AB104" t="str">
        <f>IF(B104="","Missing Order Date",
IF(C104="","Missing Ship Date","OK"))</f>
        <v>OK</v>
      </c>
      <c r="AC104" s="7" t="str">
        <f>IF(C104&lt;B104, "Invalid", "Valid")</f>
        <v>Invalid</v>
      </c>
      <c r="AD104" s="7" t="str">
        <f>IF(COUNTIF($A:$A, A104)&gt;1, "Duplicate", "Unique")</f>
        <v>Unique</v>
      </c>
      <c r="AE104" s="7" t="str">
        <f>IF(G104="","Unknown",G104)</f>
        <v>South</v>
      </c>
      <c r="AF104" s="7" t="str">
        <f>IF(M104="","Unknown",M104)</f>
        <v>First Class</v>
      </c>
      <c r="AG104" s="7" t="str">
        <f>IF(P104&lt;0,"Invalid",
IF(P104&gt;1,"Invalid","Valid"))</f>
        <v>Valid</v>
      </c>
      <c r="AH104" s="7" t="str">
        <f>TEXT(B104,"mmmm")</f>
        <v>December</v>
      </c>
      <c r="AI104" s="7">
        <f t="shared" si="9"/>
        <v>2025</v>
      </c>
      <c r="AJ104" s="7" t="str">
        <f>IF(OR(R104&lt;0,C104&lt;B104),"Invalid",
IF(OR(G104="Unknown",M104="Unknown"),"Warning","Clean"))</f>
        <v>Invalid</v>
      </c>
      <c r="AK104" s="7" t="str">
        <f>IF(C104&lt;B104,"Ship Before Order","OK")</f>
        <v>Ship Before Order</v>
      </c>
      <c r="AL104" s="7" t="str">
        <f>IF(ISNUMBER(B104),"Valid","Invalid")</f>
        <v>Valid</v>
      </c>
      <c r="AM104" s="7" t="str">
        <f t="shared" si="10"/>
        <v>Ok</v>
      </c>
      <c r="AN104" s="7" t="str">
        <f t="shared" si="11"/>
        <v>Ok</v>
      </c>
    </row>
    <row r="105" spans="1:40">
      <c r="A105" t="s">
        <v>419</v>
      </c>
      <c r="B105" s="6">
        <v>45693</v>
      </c>
      <c r="C105" s="4">
        <v>45603</v>
      </c>
      <c r="D105" t="s">
        <v>420</v>
      </c>
      <c r="E105" t="s">
        <v>264</v>
      </c>
      <c r="F105" t="s">
        <v>90</v>
      </c>
      <c r="G105" t="s">
        <v>63</v>
      </c>
      <c r="H105" t="s">
        <v>64</v>
      </c>
      <c r="I105" t="s">
        <v>65</v>
      </c>
      <c r="J105" t="s">
        <v>41</v>
      </c>
      <c r="K105" t="s">
        <v>42</v>
      </c>
      <c r="L105" t="s">
        <v>421</v>
      </c>
      <c r="M105" t="s">
        <v>50</v>
      </c>
      <c r="N105">
        <v>4</v>
      </c>
      <c r="O105">
        <v>2440.34</v>
      </c>
      <c r="P105">
        <v>0.2</v>
      </c>
      <c r="Q105" s="7">
        <f>IF(P105="", 0, P105)</f>
        <v>0.2</v>
      </c>
      <c r="R105">
        <v>7809.09</v>
      </c>
      <c r="S105">
        <v>6657.75</v>
      </c>
      <c r="T105" s="7">
        <f>N105*O105*(1-Q105)</f>
        <v>7809.0880000000006</v>
      </c>
      <c r="U105" s="7">
        <f t="shared" si="6"/>
        <v>1151.3380000000006</v>
      </c>
      <c r="V105">
        <v>1151.3399999999999</v>
      </c>
      <c r="W105" s="12">
        <f t="shared" si="7"/>
        <v>0.14743565445798543</v>
      </c>
      <c r="X105" t="s">
        <v>32</v>
      </c>
      <c r="Y105" t="str">
        <f t="shared" si="8"/>
        <v>Paid</v>
      </c>
      <c r="Z105" t="s">
        <v>33</v>
      </c>
      <c r="AA105">
        <f>C105-B105</f>
        <v>-90</v>
      </c>
      <c r="AB105" t="str">
        <f>IF(B105="","Missing Order Date",
IF(C105="","Missing Ship Date","OK"))</f>
        <v>OK</v>
      </c>
      <c r="AC105" s="7" t="str">
        <f>IF(C105&lt;B105, "Invalid", "Valid")</f>
        <v>Invalid</v>
      </c>
      <c r="AD105" s="7" t="str">
        <f>IF(COUNTIF($A:$A, A105)&gt;1, "Duplicate", "Unique")</f>
        <v>Unique</v>
      </c>
      <c r="AE105" s="7" t="str">
        <f>IF(G105="","Unknown",G105)</f>
        <v>West</v>
      </c>
      <c r="AF105" s="7" t="str">
        <f>IF(M105="","Unknown",M105)</f>
        <v>First Class</v>
      </c>
      <c r="AG105" s="7" t="str">
        <f>IF(P105&lt;0,"Invalid",
IF(P105&gt;1,"Invalid","Valid"))</f>
        <v>Valid</v>
      </c>
      <c r="AH105" s="7" t="str">
        <f>TEXT(B105,"mmmm")</f>
        <v>February</v>
      </c>
      <c r="AI105" s="7">
        <f t="shared" si="9"/>
        <v>2025</v>
      </c>
      <c r="AJ105" s="7" t="str">
        <f>IF(OR(R105&lt;0,C105&lt;B105),"Invalid",
IF(OR(G105="Unknown",M105="Unknown"),"Warning","Clean"))</f>
        <v>Invalid</v>
      </c>
      <c r="AK105" s="7" t="str">
        <f>IF(C105&lt;B105,"Ship Before Order","OK")</f>
        <v>Ship Before Order</v>
      </c>
      <c r="AL105" s="7" t="str">
        <f>IF(ISNUMBER(B105),"Valid","Invalid")</f>
        <v>Valid</v>
      </c>
      <c r="AM105" s="7" t="str">
        <f t="shared" si="10"/>
        <v>Missmatched</v>
      </c>
      <c r="AN105" s="7" t="str">
        <f t="shared" si="11"/>
        <v>Missmatched</v>
      </c>
    </row>
    <row r="106" spans="1:40">
      <c r="A106" t="s">
        <v>422</v>
      </c>
      <c r="B106" s="6">
        <v>45659</v>
      </c>
      <c r="C106" s="4">
        <v>45604</v>
      </c>
      <c r="D106" t="s">
        <v>423</v>
      </c>
      <c r="E106" t="s">
        <v>62</v>
      </c>
      <c r="F106" t="s">
        <v>24</v>
      </c>
      <c r="G106" t="s">
        <v>54</v>
      </c>
      <c r="H106" t="s">
        <v>175</v>
      </c>
      <c r="I106" t="s">
        <v>176</v>
      </c>
      <c r="J106" t="s">
        <v>28</v>
      </c>
      <c r="K106" t="s">
        <v>91</v>
      </c>
      <c r="L106" t="s">
        <v>424</v>
      </c>
      <c r="M106" t="s">
        <v>44</v>
      </c>
      <c r="N106">
        <v>5</v>
      </c>
      <c r="O106">
        <v>2112.54</v>
      </c>
      <c r="P106">
        <v>0.25</v>
      </c>
      <c r="Q106" s="7">
        <f>IF(P106="", 0, P106)</f>
        <v>0.25</v>
      </c>
      <c r="R106">
        <v>8260.4599999999991</v>
      </c>
      <c r="S106">
        <v>5619.95</v>
      </c>
      <c r="T106" s="7">
        <f>N106*O106*(1-Q106)</f>
        <v>7922.0250000000005</v>
      </c>
      <c r="U106" s="7">
        <f t="shared" si="6"/>
        <v>2302.0750000000007</v>
      </c>
      <c r="V106">
        <v>2302.08</v>
      </c>
      <c r="W106" s="12">
        <f t="shared" si="7"/>
        <v>0.29059173633004193</v>
      </c>
      <c r="X106" t="s">
        <v>32</v>
      </c>
      <c r="Y106" t="str">
        <f t="shared" si="8"/>
        <v>Paid</v>
      </c>
      <c r="Z106" t="s">
        <v>68</v>
      </c>
      <c r="AA106">
        <f>C106-B106</f>
        <v>-55</v>
      </c>
      <c r="AB106" t="str">
        <f>IF(B106="","Missing Order Date",
IF(C106="","Missing Ship Date","OK"))</f>
        <v>OK</v>
      </c>
      <c r="AC106" s="7" t="str">
        <f>IF(C106&lt;B106, "Invalid", "Valid")</f>
        <v>Invalid</v>
      </c>
      <c r="AD106" s="7" t="str">
        <f>IF(COUNTIF($A:$A, A106)&gt;1, "Duplicate", "Unique")</f>
        <v>Unique</v>
      </c>
      <c r="AE106" s="7" t="str">
        <f>IF(G106="","Unknown",G106)</f>
        <v>South</v>
      </c>
      <c r="AF106" s="7" t="str">
        <f>IF(M106="","Unknown",M106)</f>
        <v>Same Day</v>
      </c>
      <c r="AG106" s="7" t="str">
        <f>IF(P106&lt;0,"Invalid",
IF(P106&gt;1,"Invalid","Valid"))</f>
        <v>Valid</v>
      </c>
      <c r="AH106" s="7" t="str">
        <f>TEXT(B106,"mmmm")</f>
        <v>January</v>
      </c>
      <c r="AI106" s="7">
        <f t="shared" si="9"/>
        <v>2025</v>
      </c>
      <c r="AJ106" s="7" t="str">
        <f>IF(OR(R106&lt;0,C106&lt;B106),"Invalid",
IF(OR(G106="Unknown",M106="Unknown"),"Warning","Clean"))</f>
        <v>Invalid</v>
      </c>
      <c r="AK106" s="7" t="str">
        <f>IF(C106&lt;B106,"Ship Before Order","OK")</f>
        <v>Ship Before Order</v>
      </c>
      <c r="AL106" s="7" t="str">
        <f>IF(ISNUMBER(B106),"Valid","Invalid")</f>
        <v>Valid</v>
      </c>
      <c r="AM106" s="7" t="str">
        <f t="shared" si="10"/>
        <v>Missmatched</v>
      </c>
      <c r="AN106" s="7" t="str">
        <f t="shared" si="11"/>
        <v>Missmatched</v>
      </c>
    </row>
    <row r="107" spans="1:40">
      <c r="A107" t="s">
        <v>425</v>
      </c>
      <c r="B107" s="6">
        <v>45467</v>
      </c>
      <c r="C107" s="4">
        <v>45605</v>
      </c>
      <c r="D107" t="s">
        <v>426</v>
      </c>
      <c r="E107" t="s">
        <v>36</v>
      </c>
      <c r="F107" t="s">
        <v>95</v>
      </c>
      <c r="G107" t="s">
        <v>38</v>
      </c>
      <c r="H107" t="s">
        <v>99</v>
      </c>
      <c r="I107" t="s">
        <v>100</v>
      </c>
      <c r="J107" t="s">
        <v>41</v>
      </c>
      <c r="K107" t="s">
        <v>42</v>
      </c>
      <c r="L107" t="s">
        <v>427</v>
      </c>
      <c r="M107" t="s">
        <v>31</v>
      </c>
      <c r="N107">
        <v>2</v>
      </c>
      <c r="O107">
        <v>685</v>
      </c>
      <c r="P107">
        <v>0.1</v>
      </c>
      <c r="Q107" s="7">
        <f>IF(P107="", 0, P107)</f>
        <v>0.1</v>
      </c>
      <c r="R107">
        <v>1233</v>
      </c>
      <c r="S107">
        <v>1006.9</v>
      </c>
      <c r="T107" s="7">
        <f>N107*O107*(1-Q107)</f>
        <v>1233</v>
      </c>
      <c r="U107" s="7">
        <f t="shared" si="6"/>
        <v>226.10000000000002</v>
      </c>
      <c r="V107">
        <v>226.1</v>
      </c>
      <c r="W107" s="12">
        <f t="shared" si="7"/>
        <v>0.18337388483373887</v>
      </c>
      <c r="X107" t="s">
        <v>32</v>
      </c>
      <c r="Y107" t="str">
        <f t="shared" si="8"/>
        <v>Paid</v>
      </c>
      <c r="Z107" t="s">
        <v>33</v>
      </c>
      <c r="AA107">
        <f>C107-B107</f>
        <v>138</v>
      </c>
      <c r="AB107" t="str">
        <f>IF(B107="","Missing Order Date",
IF(C107="","Missing Ship Date","OK"))</f>
        <v>OK</v>
      </c>
      <c r="AC107" s="7" t="str">
        <f>IF(C107&lt;B107, "Invalid", "Valid")</f>
        <v>Valid</v>
      </c>
      <c r="AD107" s="7" t="str">
        <f>IF(COUNTIF($A:$A, A107)&gt;1, "Duplicate", "Unique")</f>
        <v>Unique</v>
      </c>
      <c r="AE107" s="7" t="str">
        <f>IF(G107="","Unknown",G107)</f>
        <v>East</v>
      </c>
      <c r="AF107" s="7" t="str">
        <f>IF(M107="","Unknown",M107)</f>
        <v>Second Class</v>
      </c>
      <c r="AG107" s="7" t="str">
        <f>IF(P107&lt;0,"Invalid",
IF(P107&gt;1,"Invalid","Valid"))</f>
        <v>Valid</v>
      </c>
      <c r="AH107" s="7" t="str">
        <f>TEXT(B107,"mmmm")</f>
        <v>June</v>
      </c>
      <c r="AI107" s="7">
        <f t="shared" si="9"/>
        <v>2024</v>
      </c>
      <c r="AJ107" s="7" t="str">
        <f>IF(OR(R107&lt;0,C107&lt;B107),"Invalid",
IF(OR(G107="Unknown",M107="Unknown"),"Warning","Clean"))</f>
        <v>Clean</v>
      </c>
      <c r="AK107" s="7" t="str">
        <f>IF(C107&lt;B107,"Ship Before Order","OK")</f>
        <v>OK</v>
      </c>
      <c r="AL107" s="7" t="str">
        <f>IF(ISNUMBER(B107),"Valid","Invalid")</f>
        <v>Valid</v>
      </c>
      <c r="AM107" s="7" t="str">
        <f t="shared" si="10"/>
        <v>Ok</v>
      </c>
      <c r="AN107" s="7" t="str">
        <f t="shared" si="11"/>
        <v>Ok</v>
      </c>
    </row>
    <row r="108" spans="1:40">
      <c r="A108" t="s">
        <v>428</v>
      </c>
      <c r="B108" s="6">
        <v>45342</v>
      </c>
      <c r="C108" s="4">
        <v>45606</v>
      </c>
      <c r="D108" t="s">
        <v>429</v>
      </c>
      <c r="E108" t="s">
        <v>53</v>
      </c>
      <c r="F108" t="s">
        <v>95</v>
      </c>
      <c r="G108" t="s">
        <v>38</v>
      </c>
      <c r="H108" t="s">
        <v>99</v>
      </c>
      <c r="I108" t="s">
        <v>100</v>
      </c>
      <c r="J108" t="s">
        <v>28</v>
      </c>
      <c r="K108" t="s">
        <v>29</v>
      </c>
      <c r="L108" t="s">
        <v>430</v>
      </c>
      <c r="M108" t="s">
        <v>59</v>
      </c>
      <c r="N108">
        <v>2</v>
      </c>
      <c r="O108">
        <v>4004.04</v>
      </c>
      <c r="Q108" s="7">
        <f>IF(P108="", 0, P108)</f>
        <v>0</v>
      </c>
      <c r="R108">
        <v>7207.27</v>
      </c>
      <c r="S108">
        <v>5709.39</v>
      </c>
      <c r="T108" s="7">
        <f>N108*O108*(1-Q108)</f>
        <v>8008.08</v>
      </c>
      <c r="U108" s="7">
        <f t="shared" si="6"/>
        <v>2298.6899999999996</v>
      </c>
      <c r="V108">
        <v>1497.88</v>
      </c>
      <c r="W108" s="12">
        <f t="shared" si="7"/>
        <v>0.28704633320346445</v>
      </c>
      <c r="X108" t="s">
        <v>32</v>
      </c>
      <c r="Y108" t="str">
        <f t="shared" si="8"/>
        <v>Paid</v>
      </c>
      <c r="Z108" t="s">
        <v>68</v>
      </c>
      <c r="AA108">
        <f>C108-B108</f>
        <v>264</v>
      </c>
      <c r="AB108" t="str">
        <f>IF(B108="","Missing Order Date",
IF(C108="","Missing Ship Date","OK"))</f>
        <v>OK</v>
      </c>
      <c r="AC108" s="7" t="str">
        <f>IF(C108&lt;B108, "Invalid", "Valid")</f>
        <v>Valid</v>
      </c>
      <c r="AD108" s="7" t="str">
        <f>IF(COUNTIF($A:$A, A108)&gt;1, "Duplicate", "Unique")</f>
        <v>Unique</v>
      </c>
      <c r="AE108" s="7" t="str">
        <f>IF(G108="","Unknown",G108)</f>
        <v>East</v>
      </c>
      <c r="AF108" s="7" t="str">
        <f>IF(M108="","Unknown",M108)</f>
        <v>Standard Class</v>
      </c>
      <c r="AG108" s="7" t="str">
        <f>IF(P108&lt;0,"Invalid",
IF(P108&gt;1,"Invalid","Valid"))</f>
        <v>Valid</v>
      </c>
      <c r="AH108" s="7" t="str">
        <f>TEXT(B108,"mmmm")</f>
        <v>February</v>
      </c>
      <c r="AI108" s="7">
        <f t="shared" si="9"/>
        <v>2024</v>
      </c>
      <c r="AJ108" s="7" t="str">
        <f>IF(OR(R108&lt;0,C108&lt;B108),"Invalid",
IF(OR(G108="Unknown",M108="Unknown"),"Warning","Clean"))</f>
        <v>Clean</v>
      </c>
      <c r="AK108" s="7" t="str">
        <f>IF(C108&lt;B108,"Ship Before Order","OK")</f>
        <v>OK</v>
      </c>
      <c r="AL108" s="7" t="str">
        <f>IF(ISNUMBER(B108),"Valid","Invalid")</f>
        <v>Valid</v>
      </c>
      <c r="AM108" s="7" t="str">
        <f t="shared" si="10"/>
        <v>Missmatched</v>
      </c>
      <c r="AN108" s="7" t="str">
        <f t="shared" si="11"/>
        <v>Missmatched</v>
      </c>
    </row>
    <row r="109" spans="1:40">
      <c r="A109" t="s">
        <v>431</v>
      </c>
      <c r="B109" s="6">
        <v>45594</v>
      </c>
      <c r="C109" s="4">
        <v>45607</v>
      </c>
      <c r="D109" t="s">
        <v>432</v>
      </c>
      <c r="E109" t="s">
        <v>141</v>
      </c>
      <c r="F109" t="s">
        <v>95</v>
      </c>
      <c r="G109" t="s">
        <v>38</v>
      </c>
      <c r="H109" t="s">
        <v>99</v>
      </c>
      <c r="I109" t="s">
        <v>100</v>
      </c>
      <c r="J109" t="s">
        <v>41</v>
      </c>
      <c r="K109" t="s">
        <v>57</v>
      </c>
      <c r="L109" t="s">
        <v>433</v>
      </c>
      <c r="M109" t="s">
        <v>50</v>
      </c>
      <c r="N109">
        <v>3</v>
      </c>
      <c r="O109">
        <v>4302.8900000000003</v>
      </c>
      <c r="P109">
        <v>0.05</v>
      </c>
      <c r="Q109" s="7">
        <f>IF(P109="", 0, P109)</f>
        <v>0.05</v>
      </c>
      <c r="R109">
        <v>12263.24</v>
      </c>
      <c r="S109">
        <v>8925.57</v>
      </c>
      <c r="T109" s="7">
        <f>N109*O109*(1-Q109)</f>
        <v>12263.236500000001</v>
      </c>
      <c r="U109" s="7">
        <f t="shared" si="6"/>
        <v>3337.6665000000012</v>
      </c>
      <c r="V109">
        <v>3337.67</v>
      </c>
      <c r="W109" s="12">
        <f t="shared" si="7"/>
        <v>0.27216848504878799</v>
      </c>
      <c r="X109" t="s">
        <v>32</v>
      </c>
      <c r="Y109" t="str">
        <f t="shared" si="8"/>
        <v>Paid</v>
      </c>
      <c r="Z109" t="s">
        <v>33</v>
      </c>
      <c r="AA109">
        <f>C109-B109</f>
        <v>13</v>
      </c>
      <c r="AB109" t="str">
        <f>IF(B109="","Missing Order Date",
IF(C109="","Missing Ship Date","OK"))</f>
        <v>OK</v>
      </c>
      <c r="AC109" s="7" t="str">
        <f>IF(C109&lt;B109, "Invalid", "Valid")</f>
        <v>Valid</v>
      </c>
      <c r="AD109" s="7" t="str">
        <f>IF(COUNTIF($A:$A, A109)&gt;1, "Duplicate", "Unique")</f>
        <v>Unique</v>
      </c>
      <c r="AE109" s="7" t="str">
        <f>IF(G109="","Unknown",G109)</f>
        <v>East</v>
      </c>
      <c r="AF109" s="7" t="str">
        <f>IF(M109="","Unknown",M109)</f>
        <v>First Class</v>
      </c>
      <c r="AG109" s="7" t="str">
        <f>IF(P109&lt;0,"Invalid",
IF(P109&gt;1,"Invalid","Valid"))</f>
        <v>Valid</v>
      </c>
      <c r="AH109" s="7" t="str">
        <f>TEXT(B109,"mmmm")</f>
        <v>October</v>
      </c>
      <c r="AI109" s="7">
        <f t="shared" si="9"/>
        <v>2024</v>
      </c>
      <c r="AJ109" s="7" t="str">
        <f>IF(OR(R109&lt;0,C109&lt;B109),"Invalid",
IF(OR(G109="Unknown",M109="Unknown"),"Warning","Clean"))</f>
        <v>Clean</v>
      </c>
      <c r="AK109" s="7" t="str">
        <f>IF(C109&lt;B109,"Ship Before Order","OK")</f>
        <v>OK</v>
      </c>
      <c r="AL109" s="7" t="str">
        <f>IF(ISNUMBER(B109),"Valid","Invalid")</f>
        <v>Valid</v>
      </c>
      <c r="AM109" s="7" t="str">
        <f t="shared" si="10"/>
        <v>Missmatched</v>
      </c>
      <c r="AN109" s="7" t="str">
        <f t="shared" si="11"/>
        <v>Missmatched</v>
      </c>
    </row>
    <row r="110" spans="1:40">
      <c r="A110" t="s">
        <v>434</v>
      </c>
      <c r="B110" s="6">
        <v>45519</v>
      </c>
      <c r="C110" s="4">
        <v>45608</v>
      </c>
      <c r="D110" t="s">
        <v>435</v>
      </c>
      <c r="E110" t="s">
        <v>89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158</v>
      </c>
      <c r="L110" t="s">
        <v>436</v>
      </c>
      <c r="M110" t="s">
        <v>44</v>
      </c>
      <c r="N110">
        <v>2</v>
      </c>
      <c r="O110">
        <v>537.54</v>
      </c>
      <c r="P110">
        <v>0.25</v>
      </c>
      <c r="Q110" s="7">
        <f>IF(P110="", 0, P110)</f>
        <v>0.25</v>
      </c>
      <c r="R110">
        <v>806.31</v>
      </c>
      <c r="S110">
        <v>498.5</v>
      </c>
      <c r="T110" s="7">
        <f>N110*O110*(1-Q110)</f>
        <v>806.31</v>
      </c>
      <c r="U110" s="7">
        <f t="shared" si="6"/>
        <v>307.80999999999995</v>
      </c>
      <c r="V110">
        <v>307.81</v>
      </c>
      <c r="W110" s="12">
        <f t="shared" si="7"/>
        <v>0.38175143555208291</v>
      </c>
      <c r="X110" t="s">
        <v>32</v>
      </c>
      <c r="Y110" t="str">
        <f t="shared" si="8"/>
        <v>Paid</v>
      </c>
      <c r="Z110" t="s">
        <v>33</v>
      </c>
      <c r="AA110">
        <f>C110-B110</f>
        <v>89</v>
      </c>
      <c r="AB110" t="str">
        <f>IF(B110="","Missing Order Date",
IF(C110="","Missing Ship Date","OK"))</f>
        <v>OK</v>
      </c>
      <c r="AC110" s="7" t="str">
        <f>IF(C110&lt;B110, "Invalid", "Valid")</f>
        <v>Valid</v>
      </c>
      <c r="AD110" s="7" t="str">
        <f>IF(COUNTIF($A:$A, A110)&gt;1, "Duplicate", "Unique")</f>
        <v>Unique</v>
      </c>
      <c r="AE110" s="7" t="str">
        <f>IF(G110="","Unknown",G110)</f>
        <v>East</v>
      </c>
      <c r="AF110" s="7" t="str">
        <f>IF(M110="","Unknown",M110)</f>
        <v>Same Day</v>
      </c>
      <c r="AG110" s="7" t="str">
        <f>IF(P110&lt;0,"Invalid",
IF(P110&gt;1,"Invalid","Valid"))</f>
        <v>Valid</v>
      </c>
      <c r="AH110" s="7" t="str">
        <f>TEXT(B110,"mmmm")</f>
        <v>August</v>
      </c>
      <c r="AI110" s="7">
        <f t="shared" si="9"/>
        <v>2024</v>
      </c>
      <c r="AJ110" s="7" t="str">
        <f>IF(OR(R110&lt;0,C110&lt;B110),"Invalid",
IF(OR(G110="Unknown",M110="Unknown"),"Warning","Clean"))</f>
        <v>Clean</v>
      </c>
      <c r="AK110" s="7" t="str">
        <f>IF(C110&lt;B110,"Ship Before Order","OK")</f>
        <v>OK</v>
      </c>
      <c r="AL110" s="7" t="str">
        <f>IF(ISNUMBER(B110),"Valid","Invalid")</f>
        <v>Valid</v>
      </c>
      <c r="AM110" s="7" t="str">
        <f t="shared" si="10"/>
        <v>Ok</v>
      </c>
      <c r="AN110" s="7" t="str">
        <f t="shared" si="11"/>
        <v>Ok</v>
      </c>
    </row>
    <row r="111" spans="1:40">
      <c r="A111" t="s">
        <v>437</v>
      </c>
      <c r="B111" s="6">
        <v>45892</v>
      </c>
      <c r="C111" s="4">
        <v>45609</v>
      </c>
      <c r="D111" t="s">
        <v>438</v>
      </c>
      <c r="E111" t="s">
        <v>132</v>
      </c>
      <c r="F111" t="s">
        <v>24</v>
      </c>
      <c r="G111" t="s">
        <v>25</v>
      </c>
      <c r="H111" t="s">
        <v>350</v>
      </c>
      <c r="I111" t="s">
        <v>351</v>
      </c>
      <c r="J111" t="s">
        <v>28</v>
      </c>
      <c r="K111" t="s">
        <v>153</v>
      </c>
      <c r="L111" t="s">
        <v>439</v>
      </c>
      <c r="M111" t="s">
        <v>31</v>
      </c>
      <c r="N111">
        <v>1</v>
      </c>
      <c r="O111">
        <v>2788.62</v>
      </c>
      <c r="P111">
        <v>0.25</v>
      </c>
      <c r="Q111" s="7">
        <f>IF(P111="", 0, P111)</f>
        <v>0.25</v>
      </c>
      <c r="R111">
        <v>2091.4699999999998</v>
      </c>
      <c r="S111">
        <v>1317.22</v>
      </c>
      <c r="T111" s="7">
        <f>N111*O111*(1-Q111)</f>
        <v>2091.4650000000001</v>
      </c>
      <c r="U111" s="7">
        <f t="shared" si="6"/>
        <v>774.24500000000012</v>
      </c>
      <c r="V111">
        <v>774.25</v>
      </c>
      <c r="W111" s="12">
        <f t="shared" si="7"/>
        <v>0.37019266399389905</v>
      </c>
      <c r="X111" t="s">
        <v>32</v>
      </c>
      <c r="Y111" t="str">
        <f t="shared" si="8"/>
        <v>Paid</v>
      </c>
      <c r="Z111" t="s">
        <v>33</v>
      </c>
      <c r="AA111">
        <f>C111-B111</f>
        <v>-283</v>
      </c>
      <c r="AB111" t="str">
        <f>IF(B111="","Missing Order Date",
IF(C111="","Missing Ship Date","OK"))</f>
        <v>OK</v>
      </c>
      <c r="AC111" s="7" t="str">
        <f>IF(C111&lt;B111, "Invalid", "Valid")</f>
        <v>Invalid</v>
      </c>
      <c r="AD111" s="7" t="str">
        <f>IF(COUNTIF($A:$A, A111)&gt;1, "Duplicate", "Unique")</f>
        <v>Unique</v>
      </c>
      <c r="AE111" s="7" t="str">
        <f>IF(G111="","Unknown",G111)</f>
        <v>North</v>
      </c>
      <c r="AF111" s="7" t="str">
        <f>IF(M111="","Unknown",M111)</f>
        <v>Second Class</v>
      </c>
      <c r="AG111" s="7" t="str">
        <f>IF(P111&lt;0,"Invalid",
IF(P111&gt;1,"Invalid","Valid"))</f>
        <v>Valid</v>
      </c>
      <c r="AH111" s="7" t="str">
        <f>TEXT(B111,"mmmm")</f>
        <v>August</v>
      </c>
      <c r="AI111" s="7">
        <f t="shared" si="9"/>
        <v>2025</v>
      </c>
      <c r="AJ111" s="7" t="str">
        <f>IF(OR(R111&lt;0,C111&lt;B111),"Invalid",
IF(OR(G111="Unknown",M111="Unknown"),"Warning","Clean"))</f>
        <v>Invalid</v>
      </c>
      <c r="AK111" s="7" t="str">
        <f>IF(C111&lt;B111,"Ship Before Order","OK")</f>
        <v>Ship Before Order</v>
      </c>
      <c r="AL111" s="7" t="str">
        <f>IF(ISNUMBER(B111),"Valid","Invalid")</f>
        <v>Valid</v>
      </c>
      <c r="AM111" s="7" t="str">
        <f t="shared" si="10"/>
        <v>Missmatched</v>
      </c>
      <c r="AN111" s="7" t="str">
        <f t="shared" si="11"/>
        <v>Missmatched</v>
      </c>
    </row>
    <row r="112" spans="1:40">
      <c r="A112" t="s">
        <v>440</v>
      </c>
      <c r="B112" s="6">
        <v>45583</v>
      </c>
      <c r="C112" s="4">
        <v>45610</v>
      </c>
      <c r="D112" t="s">
        <v>441</v>
      </c>
      <c r="E112" t="s">
        <v>71</v>
      </c>
      <c r="F112" t="s">
        <v>90</v>
      </c>
      <c r="G112" t="s">
        <v>54</v>
      </c>
      <c r="H112" t="s">
        <v>185</v>
      </c>
      <c r="I112" t="s">
        <v>186</v>
      </c>
      <c r="J112" t="s">
        <v>28</v>
      </c>
      <c r="K112" t="s">
        <v>91</v>
      </c>
      <c r="L112" t="s">
        <v>442</v>
      </c>
      <c r="M112" t="s">
        <v>50</v>
      </c>
      <c r="N112">
        <v>2</v>
      </c>
      <c r="O112">
        <v>2250.4699999999998</v>
      </c>
      <c r="P112">
        <v>0</v>
      </c>
      <c r="Q112" s="7">
        <f>IF(P112="", 0, P112)</f>
        <v>0</v>
      </c>
      <c r="R112">
        <v>4500.9399999999996</v>
      </c>
      <c r="S112">
        <v>2607.73</v>
      </c>
      <c r="T112" s="7">
        <f>N112*O112*(1-Q112)</f>
        <v>4500.9399999999996</v>
      </c>
      <c r="U112" s="7">
        <f t="shared" si="6"/>
        <v>1893.2099999999996</v>
      </c>
      <c r="V112">
        <v>1893.21</v>
      </c>
      <c r="W112" s="12">
        <f t="shared" si="7"/>
        <v>0.42062546934640316</v>
      </c>
      <c r="X112" t="s">
        <v>102</v>
      </c>
      <c r="Y112" t="str">
        <f t="shared" si="8"/>
        <v>Refunded</v>
      </c>
      <c r="Z112" t="s">
        <v>68</v>
      </c>
      <c r="AA112">
        <f>C112-B112</f>
        <v>27</v>
      </c>
      <c r="AB112" t="str">
        <f>IF(B112="","Missing Order Date",
IF(C112="","Missing Ship Date","OK"))</f>
        <v>OK</v>
      </c>
      <c r="AC112" s="7" t="str">
        <f>IF(C112&lt;B112, "Invalid", "Valid")</f>
        <v>Valid</v>
      </c>
      <c r="AD112" s="7" t="str">
        <f>IF(COUNTIF($A:$A, A112)&gt;1, "Duplicate", "Unique")</f>
        <v>Unique</v>
      </c>
      <c r="AE112" s="7" t="str">
        <f>IF(G112="","Unknown",G112)</f>
        <v>South</v>
      </c>
      <c r="AF112" s="7" t="str">
        <f>IF(M112="","Unknown",M112)</f>
        <v>First Class</v>
      </c>
      <c r="AG112" s="7" t="str">
        <f>IF(P112&lt;0,"Invalid",
IF(P112&gt;1,"Invalid","Valid"))</f>
        <v>Valid</v>
      </c>
      <c r="AH112" s="7" t="str">
        <f>TEXT(B112,"mmmm")</f>
        <v>October</v>
      </c>
      <c r="AI112" s="7">
        <f t="shared" si="9"/>
        <v>2024</v>
      </c>
      <c r="AJ112" s="7" t="str">
        <f>IF(OR(R112&lt;0,C112&lt;B112),"Invalid",
IF(OR(G112="Unknown",M112="Unknown"),"Warning","Clean"))</f>
        <v>Clean</v>
      </c>
      <c r="AK112" s="7" t="str">
        <f>IF(C112&lt;B112,"Ship Before Order","OK")</f>
        <v>OK</v>
      </c>
      <c r="AL112" s="7" t="str">
        <f>IF(ISNUMBER(B112),"Valid","Invalid")</f>
        <v>Valid</v>
      </c>
      <c r="AM112" s="7" t="str">
        <f t="shared" si="10"/>
        <v>Ok</v>
      </c>
      <c r="AN112" s="7" t="str">
        <f t="shared" si="11"/>
        <v>Ok</v>
      </c>
    </row>
    <row r="113" spans="1:40">
      <c r="A113" t="s">
        <v>443</v>
      </c>
      <c r="B113" s="6">
        <v>45835</v>
      </c>
      <c r="C113" s="4">
        <v>45611</v>
      </c>
      <c r="D113" t="s">
        <v>444</v>
      </c>
      <c r="E113" t="s">
        <v>79</v>
      </c>
      <c r="F113" t="s">
        <v>90</v>
      </c>
      <c r="G113" t="s">
        <v>38</v>
      </c>
      <c r="H113" t="s">
        <v>145</v>
      </c>
      <c r="I113" t="s">
        <v>146</v>
      </c>
      <c r="J113" t="s">
        <v>74</v>
      </c>
      <c r="K113" t="s">
        <v>75</v>
      </c>
      <c r="L113" t="s">
        <v>445</v>
      </c>
      <c r="M113" t="s">
        <v>50</v>
      </c>
      <c r="N113">
        <v>1</v>
      </c>
      <c r="O113">
        <v>1708.44</v>
      </c>
      <c r="P113">
        <v>0.05</v>
      </c>
      <c r="Q113" s="7">
        <f>IF(P113="", 0, P113)</f>
        <v>0.05</v>
      </c>
      <c r="R113">
        <v>1623.02</v>
      </c>
      <c r="S113">
        <v>1077.46</v>
      </c>
      <c r="T113" s="7">
        <f>N113*O113*(1-Q113)</f>
        <v>1623.018</v>
      </c>
      <c r="U113" s="7">
        <f t="shared" si="6"/>
        <v>545.55799999999999</v>
      </c>
      <c r="V113">
        <v>545.55999999999995</v>
      </c>
      <c r="W113" s="12">
        <f t="shared" si="7"/>
        <v>0.3361379849145234</v>
      </c>
      <c r="X113" t="s">
        <v>111</v>
      </c>
      <c r="Y113" t="str">
        <f t="shared" si="8"/>
        <v>Pending</v>
      </c>
      <c r="Z113" t="s">
        <v>68</v>
      </c>
      <c r="AA113">
        <f>C113-B113</f>
        <v>-224</v>
      </c>
      <c r="AB113" t="str">
        <f>IF(B113="","Missing Order Date",
IF(C113="","Missing Ship Date","OK"))</f>
        <v>OK</v>
      </c>
      <c r="AC113" s="7" t="str">
        <f>IF(C113&lt;B113, "Invalid", "Valid")</f>
        <v>Invalid</v>
      </c>
      <c r="AD113" s="7" t="str">
        <f>IF(COUNTIF($A:$A, A113)&gt;1, "Duplicate", "Unique")</f>
        <v>Unique</v>
      </c>
      <c r="AE113" s="7" t="str">
        <f>IF(G113="","Unknown",G113)</f>
        <v>East</v>
      </c>
      <c r="AF113" s="7" t="str">
        <f>IF(M113="","Unknown",M113)</f>
        <v>First Class</v>
      </c>
      <c r="AG113" s="7" t="str">
        <f>IF(P113&lt;0,"Invalid",
IF(P113&gt;1,"Invalid","Valid"))</f>
        <v>Valid</v>
      </c>
      <c r="AH113" s="7" t="str">
        <f>TEXT(B113,"mmmm")</f>
        <v>June</v>
      </c>
      <c r="AI113" s="7">
        <f t="shared" si="9"/>
        <v>2025</v>
      </c>
      <c r="AJ113" s="7" t="str">
        <f>IF(OR(R113&lt;0,C113&lt;B113),"Invalid",
IF(OR(G113="Unknown",M113="Unknown"),"Warning","Clean"))</f>
        <v>Invalid</v>
      </c>
      <c r="AK113" s="7" t="str">
        <f>IF(C113&lt;B113,"Ship Before Order","OK")</f>
        <v>Ship Before Order</v>
      </c>
      <c r="AL113" s="7" t="str">
        <f>IF(ISNUMBER(B113),"Valid","Invalid")</f>
        <v>Valid</v>
      </c>
      <c r="AM113" s="7" t="str">
        <f t="shared" si="10"/>
        <v>Missmatched</v>
      </c>
      <c r="AN113" s="7" t="str">
        <f t="shared" si="11"/>
        <v>Missmatched</v>
      </c>
    </row>
    <row r="114" spans="1:40">
      <c r="A114" t="s">
        <v>446</v>
      </c>
      <c r="B114" s="6">
        <v>45566</v>
      </c>
      <c r="C114" s="4">
        <v>45612</v>
      </c>
      <c r="D114" t="s">
        <v>447</v>
      </c>
      <c r="E114" t="s">
        <v>132</v>
      </c>
      <c r="F114" t="s">
        <v>24</v>
      </c>
      <c r="G114" t="s">
        <v>2785</v>
      </c>
      <c r="H114" t="s">
        <v>180</v>
      </c>
      <c r="I114" t="s">
        <v>181</v>
      </c>
      <c r="J114" t="s">
        <v>74</v>
      </c>
      <c r="K114" t="s">
        <v>75</v>
      </c>
      <c r="L114" t="s">
        <v>448</v>
      </c>
      <c r="M114" t="s">
        <v>59</v>
      </c>
      <c r="N114">
        <v>3</v>
      </c>
      <c r="O114">
        <v>3829.48</v>
      </c>
      <c r="P114">
        <v>0.05</v>
      </c>
      <c r="Q114" s="7">
        <f>IF(P114="", 0, P114)</f>
        <v>0.05</v>
      </c>
      <c r="R114">
        <v>10914.02</v>
      </c>
      <c r="S114">
        <v>6548.74</v>
      </c>
      <c r="T114" s="7">
        <f>N114*O114*(1-Q114)</f>
        <v>10914.018</v>
      </c>
      <c r="U114" s="7">
        <f t="shared" si="6"/>
        <v>4365.2780000000002</v>
      </c>
      <c r="V114">
        <v>4365.28</v>
      </c>
      <c r="W114" s="12">
        <f t="shared" si="7"/>
        <v>0.39996983695647198</v>
      </c>
      <c r="X114" t="s">
        <v>32</v>
      </c>
      <c r="Y114" t="str">
        <f t="shared" si="8"/>
        <v>Paid</v>
      </c>
      <c r="Z114" t="s">
        <v>33</v>
      </c>
      <c r="AA114">
        <f>C114-B114</f>
        <v>46</v>
      </c>
      <c r="AB114" t="str">
        <f>IF(B114="","Missing Order Date",
IF(C114="","Missing Ship Date","OK"))</f>
        <v>OK</v>
      </c>
      <c r="AC114" s="7" t="str">
        <f>IF(C114&lt;B114, "Invalid", "Valid")</f>
        <v>Valid</v>
      </c>
      <c r="AD114" s="7" t="str">
        <f>IF(COUNTIF($A:$A, A114)&gt;1, "Duplicate", "Unique")</f>
        <v>Unique</v>
      </c>
      <c r="AE114" s="7" t="str">
        <f>IF(G114="","Unknown",G114)</f>
        <v>Unknown</v>
      </c>
      <c r="AF114" s="7" t="str">
        <f>IF(M114="","Unknown",M114)</f>
        <v>Standard Class</v>
      </c>
      <c r="AG114" s="7" t="str">
        <f>IF(P114&lt;0,"Invalid",
IF(P114&gt;1,"Invalid","Valid"))</f>
        <v>Valid</v>
      </c>
      <c r="AH114" s="7" t="str">
        <f>TEXT(B114,"mmmm")</f>
        <v>October</v>
      </c>
      <c r="AI114" s="7">
        <f t="shared" si="9"/>
        <v>2024</v>
      </c>
      <c r="AJ114" s="7" t="str">
        <f>IF(OR(R114&lt;0,C114&lt;B114),"Invalid",
IF(OR(G114="Unknown",M114="Unknown"),"Warning","Clean"))</f>
        <v>Clean</v>
      </c>
      <c r="AK114" s="7" t="str">
        <f>IF(C114&lt;B114,"Ship Before Order","OK")</f>
        <v>OK</v>
      </c>
      <c r="AL114" s="7" t="str">
        <f>IF(ISNUMBER(B114),"Valid","Invalid")</f>
        <v>Valid</v>
      </c>
      <c r="AM114" s="7" t="str">
        <f t="shared" si="10"/>
        <v>Missmatched</v>
      </c>
      <c r="AN114" s="7" t="str">
        <f t="shared" si="11"/>
        <v>Missmatched</v>
      </c>
    </row>
    <row r="115" spans="1:40">
      <c r="A115" t="s">
        <v>449</v>
      </c>
      <c r="B115" s="6">
        <v>45334</v>
      </c>
      <c r="C115" s="4">
        <v>45613</v>
      </c>
      <c r="D115" t="s">
        <v>360</v>
      </c>
      <c r="E115" t="s">
        <v>47</v>
      </c>
      <c r="F115" t="s">
        <v>95</v>
      </c>
      <c r="G115" t="s">
        <v>54</v>
      </c>
      <c r="H115" t="s">
        <v>247</v>
      </c>
      <c r="I115" t="s">
        <v>248</v>
      </c>
      <c r="J115" t="s">
        <v>41</v>
      </c>
      <c r="K115" t="s">
        <v>42</v>
      </c>
      <c r="L115" t="s">
        <v>450</v>
      </c>
      <c r="M115" t="s">
        <v>59</v>
      </c>
      <c r="N115">
        <v>3</v>
      </c>
      <c r="O115">
        <v>1089.1500000000001</v>
      </c>
      <c r="P115">
        <v>0.25</v>
      </c>
      <c r="Q115" s="7">
        <f>IF(P115="", 0, P115)</f>
        <v>0.25</v>
      </c>
      <c r="R115">
        <v>2450.59</v>
      </c>
      <c r="S115">
        <v>1639.89</v>
      </c>
      <c r="T115" s="7">
        <f>N115*O115*(1-Q115)</f>
        <v>2450.5875000000001</v>
      </c>
      <c r="U115" s="7">
        <f t="shared" si="6"/>
        <v>810.69749999999999</v>
      </c>
      <c r="V115">
        <v>810.7</v>
      </c>
      <c r="W115" s="12">
        <f t="shared" si="7"/>
        <v>0.33081761006289306</v>
      </c>
      <c r="X115" t="s">
        <v>32</v>
      </c>
      <c r="Y115" t="str">
        <f t="shared" si="8"/>
        <v>Paid</v>
      </c>
      <c r="Z115" t="s">
        <v>33</v>
      </c>
      <c r="AA115">
        <f>C115-B115</f>
        <v>279</v>
      </c>
      <c r="AB115" t="str">
        <f>IF(B115="","Missing Order Date",
IF(C115="","Missing Ship Date","OK"))</f>
        <v>OK</v>
      </c>
      <c r="AC115" s="7" t="str">
        <f>IF(C115&lt;B115, "Invalid", "Valid")</f>
        <v>Valid</v>
      </c>
      <c r="AD115" s="7" t="str">
        <f>IF(COUNTIF($A:$A, A115)&gt;1, "Duplicate", "Unique")</f>
        <v>Unique</v>
      </c>
      <c r="AE115" s="7" t="str">
        <f>IF(G115="","Unknown",G115)</f>
        <v>South</v>
      </c>
      <c r="AF115" s="7" t="str">
        <f>IF(M115="","Unknown",M115)</f>
        <v>Standard Class</v>
      </c>
      <c r="AG115" s="7" t="str">
        <f>IF(P115&lt;0,"Invalid",
IF(P115&gt;1,"Invalid","Valid"))</f>
        <v>Valid</v>
      </c>
      <c r="AH115" s="7" t="str">
        <f>TEXT(B115,"mmmm")</f>
        <v>February</v>
      </c>
      <c r="AI115" s="7">
        <f t="shared" si="9"/>
        <v>2024</v>
      </c>
      <c r="AJ115" s="7" t="str">
        <f>IF(OR(R115&lt;0,C115&lt;B115),"Invalid",
IF(OR(G115="Unknown",M115="Unknown"),"Warning","Clean"))</f>
        <v>Clean</v>
      </c>
      <c r="AK115" s="7" t="str">
        <f>IF(C115&lt;B115,"Ship Before Order","OK")</f>
        <v>OK</v>
      </c>
      <c r="AL115" s="7" t="str">
        <f>IF(ISNUMBER(B115),"Valid","Invalid")</f>
        <v>Valid</v>
      </c>
      <c r="AM115" s="7" t="str">
        <f t="shared" si="10"/>
        <v>Missmatched</v>
      </c>
      <c r="AN115" s="7" t="str">
        <f t="shared" si="11"/>
        <v>Missmatched</v>
      </c>
    </row>
    <row r="116" spans="1:40">
      <c r="A116" t="s">
        <v>451</v>
      </c>
      <c r="B116" s="6">
        <v>45560</v>
      </c>
      <c r="C116" s="4">
        <v>45614</v>
      </c>
      <c r="D116" t="s">
        <v>452</v>
      </c>
      <c r="E116" t="s">
        <v>79</v>
      </c>
      <c r="F116" t="s">
        <v>37</v>
      </c>
      <c r="G116" t="s">
        <v>25</v>
      </c>
      <c r="H116" t="s">
        <v>26</v>
      </c>
      <c r="I116" t="s">
        <v>27</v>
      </c>
      <c r="J116" t="s">
        <v>74</v>
      </c>
      <c r="K116" t="s">
        <v>75</v>
      </c>
      <c r="L116" t="s">
        <v>453</v>
      </c>
      <c r="M116" t="s">
        <v>31</v>
      </c>
      <c r="N116">
        <v>1</v>
      </c>
      <c r="O116">
        <v>4388.3999999999996</v>
      </c>
      <c r="P116">
        <v>0.1</v>
      </c>
      <c r="Q116" s="7">
        <f>IF(P116="", 0, P116)</f>
        <v>0.1</v>
      </c>
      <c r="R116">
        <v>3949.56</v>
      </c>
      <c r="S116">
        <v>3186.73</v>
      </c>
      <c r="T116" s="7">
        <f>N116*O116*(1-Q116)</f>
        <v>3949.56</v>
      </c>
      <c r="U116" s="7">
        <f t="shared" si="6"/>
        <v>762.82999999999993</v>
      </c>
      <c r="V116">
        <v>762.83</v>
      </c>
      <c r="W116" s="12">
        <f t="shared" si="7"/>
        <v>0.19314303365438173</v>
      </c>
      <c r="X116" t="s">
        <v>111</v>
      </c>
      <c r="Y116" t="str">
        <f t="shared" si="8"/>
        <v>Pending</v>
      </c>
      <c r="Z116" t="s">
        <v>68</v>
      </c>
      <c r="AA116">
        <f>C116-B116</f>
        <v>54</v>
      </c>
      <c r="AB116" t="str">
        <f>IF(B116="","Missing Order Date",
IF(C116="","Missing Ship Date","OK"))</f>
        <v>OK</v>
      </c>
      <c r="AC116" s="7" t="str">
        <f>IF(C116&lt;B116, "Invalid", "Valid")</f>
        <v>Valid</v>
      </c>
      <c r="AD116" s="7" t="str">
        <f>IF(COUNTIF($A:$A, A116)&gt;1, "Duplicate", "Unique")</f>
        <v>Unique</v>
      </c>
      <c r="AE116" s="7" t="str">
        <f>IF(G116="","Unknown",G116)</f>
        <v>North</v>
      </c>
      <c r="AF116" s="7" t="str">
        <f>IF(M116="","Unknown",M116)</f>
        <v>Second Class</v>
      </c>
      <c r="AG116" s="7" t="str">
        <f>IF(P116&lt;0,"Invalid",
IF(P116&gt;1,"Invalid","Valid"))</f>
        <v>Valid</v>
      </c>
      <c r="AH116" s="7" t="str">
        <f>TEXT(B116,"mmmm")</f>
        <v>September</v>
      </c>
      <c r="AI116" s="7">
        <f t="shared" si="9"/>
        <v>2024</v>
      </c>
      <c r="AJ116" s="7" t="str">
        <f>IF(OR(R116&lt;0,C116&lt;B116),"Invalid",
IF(OR(G116="Unknown",M116="Unknown"),"Warning","Clean"))</f>
        <v>Clean</v>
      </c>
      <c r="AK116" s="7" t="str">
        <f>IF(C116&lt;B116,"Ship Before Order","OK")</f>
        <v>OK</v>
      </c>
      <c r="AL116" s="7" t="str">
        <f>IF(ISNUMBER(B116),"Valid","Invalid")</f>
        <v>Valid</v>
      </c>
      <c r="AM116" s="7" t="str">
        <f t="shared" si="10"/>
        <v>Ok</v>
      </c>
      <c r="AN116" s="7" t="str">
        <f t="shared" si="11"/>
        <v>Ok</v>
      </c>
    </row>
    <row r="117" spans="1:40">
      <c r="A117" t="s">
        <v>454</v>
      </c>
      <c r="B117" s="6">
        <v>45653</v>
      </c>
      <c r="C117" s="4">
        <v>45615</v>
      </c>
      <c r="D117" t="s">
        <v>455</v>
      </c>
      <c r="E117" t="s">
        <v>264</v>
      </c>
      <c r="F117" t="s">
        <v>90</v>
      </c>
      <c r="G117" t="s">
        <v>54</v>
      </c>
      <c r="H117" t="s">
        <v>247</v>
      </c>
      <c r="I117" t="s">
        <v>248</v>
      </c>
      <c r="J117" t="s">
        <v>28</v>
      </c>
      <c r="K117" t="s">
        <v>153</v>
      </c>
      <c r="L117" t="s">
        <v>456</v>
      </c>
      <c r="M117" t="s">
        <v>44</v>
      </c>
      <c r="N117">
        <v>2</v>
      </c>
      <c r="O117">
        <v>446.34</v>
      </c>
      <c r="P117">
        <v>0.15</v>
      </c>
      <c r="Q117" s="7">
        <f>IF(P117="", 0, P117)</f>
        <v>0.15</v>
      </c>
      <c r="R117">
        <v>758.78</v>
      </c>
      <c r="S117">
        <v>490.74</v>
      </c>
      <c r="T117" s="7">
        <f>N117*O117*(1-Q117)</f>
        <v>758.77799999999991</v>
      </c>
      <c r="U117" s="7">
        <f t="shared" si="6"/>
        <v>268.0379999999999</v>
      </c>
      <c r="V117">
        <v>268.04000000000002</v>
      </c>
      <c r="W117" s="12">
        <f t="shared" si="7"/>
        <v>0.35324956706704719</v>
      </c>
      <c r="X117" t="s">
        <v>32</v>
      </c>
      <c r="Y117" t="str">
        <f t="shared" si="8"/>
        <v>Paid</v>
      </c>
      <c r="Z117" t="s">
        <v>68</v>
      </c>
      <c r="AA117">
        <f>C117-B117</f>
        <v>-38</v>
      </c>
      <c r="AB117" t="str">
        <f>IF(B117="","Missing Order Date",
IF(C117="","Missing Ship Date","OK"))</f>
        <v>OK</v>
      </c>
      <c r="AC117" s="7" t="str">
        <f>IF(C117&lt;B117, "Invalid", "Valid")</f>
        <v>Invalid</v>
      </c>
      <c r="AD117" s="7" t="str">
        <f>IF(COUNTIF($A:$A, A117)&gt;1, "Duplicate", "Unique")</f>
        <v>Unique</v>
      </c>
      <c r="AE117" s="7" t="str">
        <f>IF(G117="","Unknown",G117)</f>
        <v>South</v>
      </c>
      <c r="AF117" s="7" t="str">
        <f>IF(M117="","Unknown",M117)</f>
        <v>Same Day</v>
      </c>
      <c r="AG117" s="7" t="str">
        <f>IF(P117&lt;0,"Invalid",
IF(P117&gt;1,"Invalid","Valid"))</f>
        <v>Valid</v>
      </c>
      <c r="AH117" s="7" t="str">
        <f>TEXT(B117,"mmmm")</f>
        <v>December</v>
      </c>
      <c r="AI117" s="7">
        <f t="shared" si="9"/>
        <v>2024</v>
      </c>
      <c r="AJ117" s="7" t="str">
        <f>IF(OR(R117&lt;0,C117&lt;B117),"Invalid",
IF(OR(G117="Unknown",M117="Unknown"),"Warning","Clean"))</f>
        <v>Invalid</v>
      </c>
      <c r="AK117" s="7" t="str">
        <f>IF(C117&lt;B117,"Ship Before Order","OK")</f>
        <v>Ship Before Order</v>
      </c>
      <c r="AL117" s="7" t="str">
        <f>IF(ISNUMBER(B117),"Valid","Invalid")</f>
        <v>Valid</v>
      </c>
      <c r="AM117" s="7" t="str">
        <f t="shared" si="10"/>
        <v>Missmatched</v>
      </c>
      <c r="AN117" s="7" t="str">
        <f t="shared" si="11"/>
        <v>Missmatched</v>
      </c>
    </row>
    <row r="118" spans="1:40">
      <c r="A118" t="s">
        <v>457</v>
      </c>
      <c r="B118" s="6">
        <v>45703</v>
      </c>
      <c r="C118" s="4">
        <v>45616</v>
      </c>
      <c r="D118" t="s">
        <v>458</v>
      </c>
      <c r="E118" t="s">
        <v>62</v>
      </c>
      <c r="F118" t="s">
        <v>37</v>
      </c>
      <c r="G118" t="s">
        <v>2785</v>
      </c>
      <c r="H118" t="s">
        <v>72</v>
      </c>
      <c r="I118" t="s">
        <v>73</v>
      </c>
      <c r="J118" t="s">
        <v>28</v>
      </c>
      <c r="K118" t="s">
        <v>153</v>
      </c>
      <c r="L118" t="s">
        <v>459</v>
      </c>
      <c r="M118" t="s">
        <v>50</v>
      </c>
      <c r="N118">
        <v>9</v>
      </c>
      <c r="O118">
        <v>531.99</v>
      </c>
      <c r="P118">
        <v>0.25</v>
      </c>
      <c r="Q118" s="7">
        <f>IF(P118="", 0, P118)</f>
        <v>0.25</v>
      </c>
      <c r="R118">
        <v>3590.93</v>
      </c>
      <c r="S118">
        <v>3061.39</v>
      </c>
      <c r="T118" s="7">
        <f>N118*O118*(1-Q118)</f>
        <v>3590.9324999999999</v>
      </c>
      <c r="U118" s="7">
        <f t="shared" si="6"/>
        <v>529.54250000000002</v>
      </c>
      <c r="V118">
        <v>529.54</v>
      </c>
      <c r="W118" s="12">
        <f t="shared" si="7"/>
        <v>0.14746657031286442</v>
      </c>
      <c r="X118" t="s">
        <v>155</v>
      </c>
      <c r="Y118" t="str">
        <f t="shared" si="8"/>
        <v>Failed</v>
      </c>
      <c r="Z118" t="s">
        <v>68</v>
      </c>
      <c r="AA118">
        <f>C118-B118</f>
        <v>-87</v>
      </c>
      <c r="AB118" t="str">
        <f>IF(B118="","Missing Order Date",
IF(C118="","Missing Ship Date","OK"))</f>
        <v>OK</v>
      </c>
      <c r="AC118" s="7" t="str">
        <f>IF(C118&lt;B118, "Invalid", "Valid")</f>
        <v>Invalid</v>
      </c>
      <c r="AD118" s="7" t="str">
        <f>IF(COUNTIF($A:$A, A118)&gt;1, "Duplicate", "Unique")</f>
        <v>Unique</v>
      </c>
      <c r="AE118" s="7" t="str">
        <f>IF(G118="","Unknown",G118)</f>
        <v>Unknown</v>
      </c>
      <c r="AF118" s="7" t="str">
        <f>IF(M118="","Unknown",M118)</f>
        <v>First Class</v>
      </c>
      <c r="AG118" s="7" t="str">
        <f>IF(P118&lt;0,"Invalid",
IF(P118&gt;1,"Invalid","Valid"))</f>
        <v>Valid</v>
      </c>
      <c r="AH118" s="7" t="str">
        <f>TEXT(B118,"mmmm")</f>
        <v>February</v>
      </c>
      <c r="AI118" s="7">
        <f t="shared" si="9"/>
        <v>2025</v>
      </c>
      <c r="AJ118" s="7" t="str">
        <f>IF(OR(R118&lt;0,C118&lt;B118),"Invalid",
IF(OR(G118="Unknown",M118="Unknown"),"Warning","Clean"))</f>
        <v>Invalid</v>
      </c>
      <c r="AK118" s="7" t="str">
        <f>IF(C118&lt;B118,"Ship Before Order","OK")</f>
        <v>Ship Before Order</v>
      </c>
      <c r="AL118" s="7" t="str">
        <f>IF(ISNUMBER(B118),"Valid","Invalid")</f>
        <v>Valid</v>
      </c>
      <c r="AM118" s="7" t="str">
        <f t="shared" si="10"/>
        <v>Missmatched</v>
      </c>
      <c r="AN118" s="7" t="str">
        <f t="shared" si="11"/>
        <v>Missmatched</v>
      </c>
    </row>
    <row r="119" spans="1:40">
      <c r="A119" t="s">
        <v>460</v>
      </c>
      <c r="B119" s="6">
        <v>45337</v>
      </c>
      <c r="C119" s="4">
        <v>45617</v>
      </c>
      <c r="D119" t="s">
        <v>461</v>
      </c>
      <c r="E119" t="s">
        <v>36</v>
      </c>
      <c r="F119" t="s">
        <v>95</v>
      </c>
      <c r="G119" t="s">
        <v>54</v>
      </c>
      <c r="H119" t="s">
        <v>247</v>
      </c>
      <c r="I119" t="s">
        <v>248</v>
      </c>
      <c r="J119" t="s">
        <v>74</v>
      </c>
      <c r="K119" t="s">
        <v>274</v>
      </c>
      <c r="L119" t="s">
        <v>462</v>
      </c>
      <c r="M119" t="s">
        <v>59</v>
      </c>
      <c r="N119">
        <v>9</v>
      </c>
      <c r="O119">
        <v>3324.55</v>
      </c>
      <c r="P119" t="s">
        <v>463</v>
      </c>
      <c r="Q119" s="7" t="str">
        <f>IF(P119="", 0, P119)</f>
        <v>70%</v>
      </c>
      <c r="R119">
        <v>25432.81</v>
      </c>
      <c r="S119">
        <v>20370.16</v>
      </c>
      <c r="T119" s="7">
        <f>N119*O119*(1-Q119)</f>
        <v>8976.2850000000017</v>
      </c>
      <c r="U119" s="7">
        <f t="shared" si="6"/>
        <v>-11393.874999999998</v>
      </c>
      <c r="V119">
        <v>5062.6499999999996</v>
      </c>
      <c r="W119" s="12">
        <f t="shared" si="7"/>
        <v>-1.2693307977632167</v>
      </c>
      <c r="X119" t="s">
        <v>32</v>
      </c>
      <c r="Y119" t="str">
        <f t="shared" si="8"/>
        <v>Paid</v>
      </c>
      <c r="Z119" t="s">
        <v>33</v>
      </c>
      <c r="AA119">
        <f>C119-B119</f>
        <v>280</v>
      </c>
      <c r="AB119" t="str">
        <f>IF(B119="","Missing Order Date",
IF(C119="","Missing Ship Date","OK"))</f>
        <v>OK</v>
      </c>
      <c r="AC119" s="7" t="str">
        <f>IF(C119&lt;B119, "Invalid", "Valid")</f>
        <v>Valid</v>
      </c>
      <c r="AD119" s="7" t="str">
        <f>IF(COUNTIF($A:$A, A119)&gt;1, "Duplicate", "Unique")</f>
        <v>Unique</v>
      </c>
      <c r="AE119" s="7" t="str">
        <f>IF(G119="","Unknown",G119)</f>
        <v>South</v>
      </c>
      <c r="AF119" s="7" t="str">
        <f>IF(M119="","Unknown",M119)</f>
        <v>Standard Class</v>
      </c>
      <c r="AG119" s="7" t="str">
        <f>IF(P119&lt;0,"Invalid",
IF(P119&gt;1,"Invalid","Valid"))</f>
        <v>Invalid</v>
      </c>
      <c r="AH119" s="7" t="str">
        <f>TEXT(B119,"mmmm")</f>
        <v>February</v>
      </c>
      <c r="AI119" s="7">
        <f t="shared" si="9"/>
        <v>2024</v>
      </c>
      <c r="AJ119" s="7" t="str">
        <f>IF(OR(R119&lt;0,C119&lt;B119),"Invalid",
IF(OR(G119="Unknown",M119="Unknown"),"Warning","Clean"))</f>
        <v>Clean</v>
      </c>
      <c r="AK119" s="7" t="str">
        <f>IF(C119&lt;B119,"Ship Before Order","OK")</f>
        <v>OK</v>
      </c>
      <c r="AL119" s="7" t="str">
        <f>IF(ISNUMBER(B119),"Valid","Invalid")</f>
        <v>Valid</v>
      </c>
      <c r="AM119" s="7" t="str">
        <f t="shared" si="10"/>
        <v>Missmatched</v>
      </c>
      <c r="AN119" s="7" t="str">
        <f t="shared" si="11"/>
        <v>Missmatched</v>
      </c>
    </row>
    <row r="120" spans="1:40">
      <c r="A120" t="s">
        <v>464</v>
      </c>
      <c r="B120" s="6">
        <v>45571</v>
      </c>
      <c r="C120" s="4">
        <v>45618</v>
      </c>
      <c r="D120" t="s">
        <v>465</v>
      </c>
      <c r="E120" t="s">
        <v>71</v>
      </c>
      <c r="F120" t="s">
        <v>95</v>
      </c>
      <c r="G120" t="s">
        <v>54</v>
      </c>
      <c r="H120" t="s">
        <v>84</v>
      </c>
      <c r="I120" t="s">
        <v>85</v>
      </c>
      <c r="J120" t="s">
        <v>74</v>
      </c>
      <c r="K120" t="s">
        <v>80</v>
      </c>
      <c r="L120" t="s">
        <v>466</v>
      </c>
      <c r="M120" t="s">
        <v>44</v>
      </c>
      <c r="N120">
        <v>5</v>
      </c>
      <c r="O120">
        <v>1580.27</v>
      </c>
      <c r="P120">
        <v>0.2</v>
      </c>
      <c r="Q120" s="7">
        <f>IF(P120="", 0, P120)</f>
        <v>0.2</v>
      </c>
      <c r="R120">
        <v>6321.08</v>
      </c>
      <c r="S120">
        <v>4407.22</v>
      </c>
      <c r="T120" s="7">
        <f>N120*O120*(1-Q120)</f>
        <v>6321.0800000000008</v>
      </c>
      <c r="U120" s="7">
        <f t="shared" si="6"/>
        <v>1913.8600000000006</v>
      </c>
      <c r="V120">
        <v>1913.86</v>
      </c>
      <c r="W120" s="12">
        <f t="shared" si="7"/>
        <v>0.30277420947053357</v>
      </c>
      <c r="X120" t="s">
        <v>32</v>
      </c>
      <c r="Y120" t="str">
        <f t="shared" si="8"/>
        <v>Paid</v>
      </c>
      <c r="Z120" t="s">
        <v>33</v>
      </c>
      <c r="AA120">
        <f>C120-B120</f>
        <v>47</v>
      </c>
      <c r="AB120" t="str">
        <f>IF(B120="","Missing Order Date",
IF(C120="","Missing Ship Date","OK"))</f>
        <v>OK</v>
      </c>
      <c r="AC120" s="7" t="str">
        <f>IF(C120&lt;B120, "Invalid", "Valid")</f>
        <v>Valid</v>
      </c>
      <c r="AD120" s="7" t="str">
        <f>IF(COUNTIF($A:$A, A120)&gt;1, "Duplicate", "Unique")</f>
        <v>Unique</v>
      </c>
      <c r="AE120" s="7" t="str">
        <f>IF(G120="","Unknown",G120)</f>
        <v>South</v>
      </c>
      <c r="AF120" s="7" t="str">
        <f>IF(M120="","Unknown",M120)</f>
        <v>Same Day</v>
      </c>
      <c r="AG120" s="7" t="str">
        <f>IF(P120&lt;0,"Invalid",
IF(P120&gt;1,"Invalid","Valid"))</f>
        <v>Valid</v>
      </c>
      <c r="AH120" s="7" t="str">
        <f>TEXT(B120,"mmmm")</f>
        <v>October</v>
      </c>
      <c r="AI120" s="7">
        <f t="shared" si="9"/>
        <v>2024</v>
      </c>
      <c r="AJ120" s="7" t="str">
        <f>IF(OR(R120&lt;0,C120&lt;B120),"Invalid",
IF(OR(G120="Unknown",M120="Unknown"),"Warning","Clean"))</f>
        <v>Clean</v>
      </c>
      <c r="AK120" s="7" t="str">
        <f>IF(C120&lt;B120,"Ship Before Order","OK")</f>
        <v>OK</v>
      </c>
      <c r="AL120" s="7" t="str">
        <f>IF(ISNUMBER(B120),"Valid","Invalid")</f>
        <v>Valid</v>
      </c>
      <c r="AM120" s="7" t="str">
        <f t="shared" si="10"/>
        <v>Ok</v>
      </c>
      <c r="AN120" s="7" t="str">
        <f t="shared" si="11"/>
        <v>Ok</v>
      </c>
    </row>
    <row r="121" spans="1:40">
      <c r="A121" t="s">
        <v>467</v>
      </c>
      <c r="B121" s="6">
        <v>45632</v>
      </c>
      <c r="C121" s="4">
        <v>45619</v>
      </c>
      <c r="D121" t="s">
        <v>468</v>
      </c>
      <c r="E121" t="s">
        <v>89</v>
      </c>
      <c r="F121" t="s">
        <v>37</v>
      </c>
      <c r="G121" t="s">
        <v>54</v>
      </c>
      <c r="H121" t="s">
        <v>185</v>
      </c>
      <c r="I121" t="s">
        <v>186</v>
      </c>
      <c r="J121" t="s">
        <v>41</v>
      </c>
      <c r="K121" t="s">
        <v>66</v>
      </c>
      <c r="L121" t="s">
        <v>469</v>
      </c>
      <c r="M121" t="s">
        <v>59</v>
      </c>
      <c r="N121">
        <v>8</v>
      </c>
      <c r="O121">
        <v>314.05</v>
      </c>
      <c r="P121">
        <v>0.25</v>
      </c>
      <c r="Q121" s="7">
        <f>IF(P121="", 0, P121)</f>
        <v>0.25</v>
      </c>
      <c r="R121">
        <v>1884.3</v>
      </c>
      <c r="S121">
        <v>1517.69</v>
      </c>
      <c r="T121" s="7">
        <f>N121*O121*(1-Q121)</f>
        <v>1884.3000000000002</v>
      </c>
      <c r="U121" s="7">
        <f t="shared" si="6"/>
        <v>366.61000000000013</v>
      </c>
      <c r="V121">
        <v>366.61</v>
      </c>
      <c r="W121" s="12">
        <f t="shared" si="7"/>
        <v>0.19456031417502526</v>
      </c>
      <c r="X121" t="s">
        <v>102</v>
      </c>
      <c r="Y121" t="str">
        <f t="shared" si="8"/>
        <v>Refunded</v>
      </c>
      <c r="Z121" t="s">
        <v>103</v>
      </c>
      <c r="AA121">
        <f>C121-B121</f>
        <v>-13</v>
      </c>
      <c r="AB121" t="str">
        <f>IF(B121="","Missing Order Date",
IF(C121="","Missing Ship Date","OK"))</f>
        <v>OK</v>
      </c>
      <c r="AC121" s="7" t="str">
        <f>IF(C121&lt;B121, "Invalid", "Valid")</f>
        <v>Invalid</v>
      </c>
      <c r="AD121" s="7" t="str">
        <f>IF(COUNTIF($A:$A, A121)&gt;1, "Duplicate", "Unique")</f>
        <v>Unique</v>
      </c>
      <c r="AE121" s="7" t="str">
        <f>IF(G121="","Unknown",G121)</f>
        <v>South</v>
      </c>
      <c r="AF121" s="7" t="str">
        <f>IF(M121="","Unknown",M121)</f>
        <v>Standard Class</v>
      </c>
      <c r="AG121" s="7" t="str">
        <f>IF(P121&lt;0,"Invalid",
IF(P121&gt;1,"Invalid","Valid"))</f>
        <v>Valid</v>
      </c>
      <c r="AH121" s="7" t="str">
        <f>TEXT(B121,"mmmm")</f>
        <v>December</v>
      </c>
      <c r="AI121" s="7">
        <f t="shared" si="9"/>
        <v>2024</v>
      </c>
      <c r="AJ121" s="7" t="str">
        <f>IF(OR(R121&lt;0,C121&lt;B121),"Invalid",
IF(OR(G121="Unknown",M121="Unknown"),"Warning","Clean"))</f>
        <v>Invalid</v>
      </c>
      <c r="AK121" s="7" t="str">
        <f>IF(C121&lt;B121,"Ship Before Order","OK")</f>
        <v>Ship Before Order</v>
      </c>
      <c r="AL121" s="7" t="str">
        <f>IF(ISNUMBER(B121),"Valid","Invalid")</f>
        <v>Valid</v>
      </c>
      <c r="AM121" s="7" t="str">
        <f t="shared" si="10"/>
        <v>Ok</v>
      </c>
      <c r="AN121" s="7" t="str">
        <f t="shared" si="11"/>
        <v>Ok</v>
      </c>
    </row>
    <row r="122" spans="1:40">
      <c r="A122" t="s">
        <v>470</v>
      </c>
      <c r="B122" s="6">
        <v>45573</v>
      </c>
      <c r="C122" s="4">
        <v>45620</v>
      </c>
      <c r="D122" t="s">
        <v>471</v>
      </c>
      <c r="E122" t="s">
        <v>132</v>
      </c>
      <c r="F122" t="s">
        <v>37</v>
      </c>
      <c r="G122" t="s">
        <v>38</v>
      </c>
      <c r="H122" t="s">
        <v>145</v>
      </c>
      <c r="I122" t="s">
        <v>146</v>
      </c>
      <c r="J122" t="s">
        <v>74</v>
      </c>
      <c r="K122" t="s">
        <v>171</v>
      </c>
      <c r="L122" t="s">
        <v>472</v>
      </c>
      <c r="M122" t="s">
        <v>59</v>
      </c>
      <c r="N122">
        <v>1</v>
      </c>
      <c r="O122">
        <v>1823.67</v>
      </c>
      <c r="P122">
        <v>0.2</v>
      </c>
      <c r="Q122" s="7">
        <f>IF(P122="", 0, P122)</f>
        <v>0.2</v>
      </c>
      <c r="R122">
        <v>1458.94</v>
      </c>
      <c r="S122">
        <v>893.2</v>
      </c>
      <c r="T122" s="7">
        <f>N122*O122*(1-Q122)</f>
        <v>1458.9360000000001</v>
      </c>
      <c r="U122" s="7">
        <f t="shared" si="6"/>
        <v>565.7360000000001</v>
      </c>
      <c r="V122">
        <v>565.74</v>
      </c>
      <c r="W122" s="12">
        <f t="shared" si="7"/>
        <v>0.38777300717783375</v>
      </c>
      <c r="X122" t="s">
        <v>32</v>
      </c>
      <c r="Y122" t="str">
        <f t="shared" si="8"/>
        <v>Paid</v>
      </c>
      <c r="Z122" t="s">
        <v>103</v>
      </c>
      <c r="AA122">
        <f>C122-B122</f>
        <v>47</v>
      </c>
      <c r="AB122" t="str">
        <f>IF(B122="","Missing Order Date",
IF(C122="","Missing Ship Date","OK"))</f>
        <v>OK</v>
      </c>
      <c r="AC122" s="7" t="str">
        <f>IF(C122&lt;B122, "Invalid", "Valid")</f>
        <v>Valid</v>
      </c>
      <c r="AD122" s="7" t="str">
        <f>IF(COUNTIF($A:$A, A122)&gt;1, "Duplicate", "Unique")</f>
        <v>Unique</v>
      </c>
      <c r="AE122" s="7" t="str">
        <f>IF(G122="","Unknown",G122)</f>
        <v>East</v>
      </c>
      <c r="AF122" s="7" t="str">
        <f>IF(M122="","Unknown",M122)</f>
        <v>Standard Class</v>
      </c>
      <c r="AG122" s="7" t="str">
        <f>IF(P122&lt;0,"Invalid",
IF(P122&gt;1,"Invalid","Valid"))</f>
        <v>Valid</v>
      </c>
      <c r="AH122" s="7" t="str">
        <f>TEXT(B122,"mmmm")</f>
        <v>October</v>
      </c>
      <c r="AI122" s="7">
        <f t="shared" si="9"/>
        <v>2024</v>
      </c>
      <c r="AJ122" s="7" t="str">
        <f>IF(OR(R122&lt;0,C122&lt;B122),"Invalid",
IF(OR(G122="Unknown",M122="Unknown"),"Warning","Clean"))</f>
        <v>Clean</v>
      </c>
      <c r="AK122" s="7" t="str">
        <f>IF(C122&lt;B122,"Ship Before Order","OK")</f>
        <v>OK</v>
      </c>
      <c r="AL122" s="7" t="str">
        <f>IF(ISNUMBER(B122),"Valid","Invalid")</f>
        <v>Valid</v>
      </c>
      <c r="AM122" s="7" t="str">
        <f t="shared" si="10"/>
        <v>Missmatched</v>
      </c>
      <c r="AN122" s="7" t="str">
        <f t="shared" si="11"/>
        <v>Missmatched</v>
      </c>
    </row>
    <row r="123" spans="1:40">
      <c r="A123" t="s">
        <v>473</v>
      </c>
      <c r="B123" s="6">
        <v>45891</v>
      </c>
      <c r="C123" s="4">
        <v>45621</v>
      </c>
      <c r="D123" t="s">
        <v>474</v>
      </c>
      <c r="E123" t="s">
        <v>264</v>
      </c>
      <c r="F123" t="s">
        <v>37</v>
      </c>
      <c r="G123" t="s">
        <v>54</v>
      </c>
      <c r="H123" t="s">
        <v>84</v>
      </c>
      <c r="I123" t="s">
        <v>85</v>
      </c>
      <c r="J123" t="s">
        <v>74</v>
      </c>
      <c r="K123" t="s">
        <v>274</v>
      </c>
      <c r="L123" t="s">
        <v>475</v>
      </c>
      <c r="M123" t="s">
        <v>31</v>
      </c>
      <c r="N123">
        <v>5</v>
      </c>
      <c r="O123">
        <v>3482.92</v>
      </c>
      <c r="P123">
        <v>0</v>
      </c>
      <c r="Q123" s="7">
        <f>IF(P123="", 0, P123)</f>
        <v>0</v>
      </c>
      <c r="R123">
        <v>17414.599999999999</v>
      </c>
      <c r="S123">
        <v>11760.91</v>
      </c>
      <c r="T123" s="7">
        <f>N123*O123*(1-Q123)</f>
        <v>17414.599999999999</v>
      </c>
      <c r="U123" s="7">
        <f t="shared" si="6"/>
        <v>5653.6899999999987</v>
      </c>
      <c r="V123">
        <v>5653.69</v>
      </c>
      <c r="W123" s="12">
        <f t="shared" si="7"/>
        <v>0.3246523032398102</v>
      </c>
      <c r="X123" t="s">
        <v>102</v>
      </c>
      <c r="Y123" t="str">
        <f t="shared" si="8"/>
        <v>Refunded</v>
      </c>
      <c r="Z123" t="s">
        <v>68</v>
      </c>
      <c r="AA123">
        <f>C123-B123</f>
        <v>-270</v>
      </c>
      <c r="AB123" t="str">
        <f>IF(B123="","Missing Order Date",
IF(C123="","Missing Ship Date","OK"))</f>
        <v>OK</v>
      </c>
      <c r="AC123" s="7" t="str">
        <f>IF(C123&lt;B123, "Invalid", "Valid")</f>
        <v>Invalid</v>
      </c>
      <c r="AD123" s="7" t="str">
        <f>IF(COUNTIF($A:$A, A123)&gt;1, "Duplicate", "Unique")</f>
        <v>Unique</v>
      </c>
      <c r="AE123" s="7" t="str">
        <f>IF(G123="","Unknown",G123)</f>
        <v>South</v>
      </c>
      <c r="AF123" s="7" t="str">
        <f>IF(M123="","Unknown",M123)</f>
        <v>Second Class</v>
      </c>
      <c r="AG123" s="7" t="str">
        <f>IF(P123&lt;0,"Invalid",
IF(P123&gt;1,"Invalid","Valid"))</f>
        <v>Valid</v>
      </c>
      <c r="AH123" s="7" t="str">
        <f>TEXT(B123,"mmmm")</f>
        <v>August</v>
      </c>
      <c r="AI123" s="7">
        <f t="shared" si="9"/>
        <v>2025</v>
      </c>
      <c r="AJ123" s="7" t="str">
        <f>IF(OR(R123&lt;0,C123&lt;B123),"Invalid",
IF(OR(G123="Unknown",M123="Unknown"),"Warning","Clean"))</f>
        <v>Invalid</v>
      </c>
      <c r="AK123" s="7" t="str">
        <f>IF(C123&lt;B123,"Ship Before Order","OK")</f>
        <v>Ship Before Order</v>
      </c>
      <c r="AL123" s="7" t="str">
        <f>IF(ISNUMBER(B123),"Valid","Invalid")</f>
        <v>Valid</v>
      </c>
      <c r="AM123" s="7" t="str">
        <f t="shared" si="10"/>
        <v>Ok</v>
      </c>
      <c r="AN123" s="7" t="str">
        <f t="shared" si="11"/>
        <v>Ok</v>
      </c>
    </row>
    <row r="124" spans="1:40">
      <c r="A124" t="s">
        <v>476</v>
      </c>
      <c r="B124" s="6">
        <v>45626</v>
      </c>
      <c r="C124" s="4">
        <v>45622</v>
      </c>
      <c r="D124" t="s">
        <v>477</v>
      </c>
      <c r="E124" t="s">
        <v>62</v>
      </c>
      <c r="F124" t="s">
        <v>37</v>
      </c>
      <c r="G124" t="s">
        <v>38</v>
      </c>
      <c r="H124" t="s">
        <v>166</v>
      </c>
      <c r="I124" t="s">
        <v>167</v>
      </c>
      <c r="J124" t="s">
        <v>41</v>
      </c>
      <c r="K124" t="s">
        <v>66</v>
      </c>
      <c r="L124" t="s">
        <v>478</v>
      </c>
      <c r="M124" t="s">
        <v>31</v>
      </c>
      <c r="N124">
        <v>3</v>
      </c>
      <c r="O124">
        <v>170.35</v>
      </c>
      <c r="P124">
        <v>0</v>
      </c>
      <c r="Q124" s="7">
        <f>IF(P124="", 0, P124)</f>
        <v>0</v>
      </c>
      <c r="R124">
        <v>511.05</v>
      </c>
      <c r="S124">
        <v>367.18</v>
      </c>
      <c r="T124" s="7">
        <f>N124*O124*(1-Q124)</f>
        <v>511.04999999999995</v>
      </c>
      <c r="U124" s="7">
        <f t="shared" si="6"/>
        <v>143.86999999999995</v>
      </c>
      <c r="V124">
        <v>143.87</v>
      </c>
      <c r="W124" s="12">
        <f t="shared" si="7"/>
        <v>0.28151844242246349</v>
      </c>
      <c r="X124" t="s">
        <v>32</v>
      </c>
      <c r="Y124" t="str">
        <f t="shared" si="8"/>
        <v>Paid</v>
      </c>
      <c r="Z124" t="s">
        <v>33</v>
      </c>
      <c r="AA124">
        <f>C124-B124</f>
        <v>-4</v>
      </c>
      <c r="AB124" t="str">
        <f>IF(B124="","Missing Order Date",
IF(C124="","Missing Ship Date","OK"))</f>
        <v>OK</v>
      </c>
      <c r="AC124" s="7" t="str">
        <f>IF(C124&lt;B124, "Invalid", "Valid")</f>
        <v>Invalid</v>
      </c>
      <c r="AD124" s="7" t="str">
        <f>IF(COUNTIF($A:$A, A124)&gt;1, "Duplicate", "Unique")</f>
        <v>Unique</v>
      </c>
      <c r="AE124" s="7" t="str">
        <f>IF(G124="","Unknown",G124)</f>
        <v>East</v>
      </c>
      <c r="AF124" s="7" t="str">
        <f>IF(M124="","Unknown",M124)</f>
        <v>Second Class</v>
      </c>
      <c r="AG124" s="7" t="str">
        <f>IF(P124&lt;0,"Invalid",
IF(P124&gt;1,"Invalid","Valid"))</f>
        <v>Valid</v>
      </c>
      <c r="AH124" s="7" t="str">
        <f>TEXT(B124,"mmmm")</f>
        <v>November</v>
      </c>
      <c r="AI124" s="7">
        <f t="shared" si="9"/>
        <v>2024</v>
      </c>
      <c r="AJ124" s="7" t="str">
        <f>IF(OR(R124&lt;0,C124&lt;B124),"Invalid",
IF(OR(G124="Unknown",M124="Unknown"),"Warning","Clean"))</f>
        <v>Invalid</v>
      </c>
      <c r="AK124" s="7" t="str">
        <f>IF(C124&lt;B124,"Ship Before Order","OK")</f>
        <v>Ship Before Order</v>
      </c>
      <c r="AL124" s="7" t="str">
        <f>IF(ISNUMBER(B124),"Valid","Invalid")</f>
        <v>Valid</v>
      </c>
      <c r="AM124" s="7" t="str">
        <f t="shared" si="10"/>
        <v>Ok</v>
      </c>
      <c r="AN124" s="7" t="str">
        <f t="shared" si="11"/>
        <v>Ok</v>
      </c>
    </row>
    <row r="125" spans="1:40">
      <c r="A125" t="s">
        <v>479</v>
      </c>
      <c r="B125" s="6">
        <v>45436</v>
      </c>
      <c r="C125" s="4">
        <v>45623</v>
      </c>
      <c r="D125" t="s">
        <v>480</v>
      </c>
      <c r="E125" t="s">
        <v>132</v>
      </c>
      <c r="F125" t="s">
        <v>37</v>
      </c>
      <c r="G125" t="s">
        <v>25</v>
      </c>
      <c r="H125" t="s">
        <v>122</v>
      </c>
      <c r="I125" t="s">
        <v>123</v>
      </c>
      <c r="J125" t="s">
        <v>74</v>
      </c>
      <c r="K125" t="s">
        <v>80</v>
      </c>
      <c r="L125" t="s">
        <v>481</v>
      </c>
      <c r="M125" t="s">
        <v>44</v>
      </c>
      <c r="N125">
        <v>1</v>
      </c>
      <c r="O125">
        <v>634.13</v>
      </c>
      <c r="P125">
        <v>0</v>
      </c>
      <c r="Q125" s="7">
        <f>IF(P125="", 0, P125)</f>
        <v>0</v>
      </c>
      <c r="R125">
        <v>634.13</v>
      </c>
      <c r="S125">
        <v>453.35</v>
      </c>
      <c r="T125" s="7">
        <f>N125*O125*(1-Q125)</f>
        <v>634.13</v>
      </c>
      <c r="U125" s="7">
        <f t="shared" si="6"/>
        <v>180.77999999999997</v>
      </c>
      <c r="V125">
        <v>180.78</v>
      </c>
      <c r="W125" s="12">
        <f t="shared" si="7"/>
        <v>0.28508350022865969</v>
      </c>
      <c r="X125" t="s">
        <v>102</v>
      </c>
      <c r="Y125" t="str">
        <f t="shared" si="8"/>
        <v>Refunded</v>
      </c>
      <c r="Z125" t="s">
        <v>68</v>
      </c>
      <c r="AA125">
        <f>C125-B125</f>
        <v>187</v>
      </c>
      <c r="AB125" t="str">
        <f>IF(B125="","Missing Order Date",
IF(C125="","Missing Ship Date","OK"))</f>
        <v>OK</v>
      </c>
      <c r="AC125" s="7" t="str">
        <f>IF(C125&lt;B125, "Invalid", "Valid")</f>
        <v>Valid</v>
      </c>
      <c r="AD125" s="7" t="str">
        <f>IF(COUNTIF($A:$A, A125)&gt;1, "Duplicate", "Unique")</f>
        <v>Duplicate</v>
      </c>
      <c r="AE125" s="7" t="str">
        <f>IF(G125="","Unknown",G125)</f>
        <v>North</v>
      </c>
      <c r="AF125" s="7" t="str">
        <f>IF(M125="","Unknown",M125)</f>
        <v>Same Day</v>
      </c>
      <c r="AG125" s="7" t="str">
        <f>IF(P125&lt;0,"Invalid",
IF(P125&gt;1,"Invalid","Valid"))</f>
        <v>Valid</v>
      </c>
      <c r="AH125" s="7" t="str">
        <f>TEXT(B125,"mmmm")</f>
        <v>May</v>
      </c>
      <c r="AI125" s="7">
        <f t="shared" si="9"/>
        <v>2024</v>
      </c>
      <c r="AJ125" s="7" t="str">
        <f>IF(OR(R125&lt;0,C125&lt;B125),"Invalid",
IF(OR(G125="Unknown",M125="Unknown"),"Warning","Clean"))</f>
        <v>Clean</v>
      </c>
      <c r="AK125" s="7" t="str">
        <f>IF(C125&lt;B125,"Ship Before Order","OK")</f>
        <v>OK</v>
      </c>
      <c r="AL125" s="7" t="str">
        <f>IF(ISNUMBER(B125),"Valid","Invalid")</f>
        <v>Valid</v>
      </c>
      <c r="AM125" s="7" t="str">
        <f t="shared" si="10"/>
        <v>Ok</v>
      </c>
      <c r="AN125" s="7" t="str">
        <f t="shared" si="11"/>
        <v>Ok</v>
      </c>
    </row>
    <row r="126" spans="1:40">
      <c r="A126" t="s">
        <v>482</v>
      </c>
      <c r="B126" s="6">
        <v>45494</v>
      </c>
      <c r="C126" s="4">
        <v>45624</v>
      </c>
      <c r="D126" t="s">
        <v>483</v>
      </c>
      <c r="E126" t="s">
        <v>47</v>
      </c>
      <c r="F126" t="s">
        <v>90</v>
      </c>
      <c r="G126" t="s">
        <v>54</v>
      </c>
      <c r="H126" t="s">
        <v>175</v>
      </c>
      <c r="I126" t="s">
        <v>176</v>
      </c>
      <c r="J126" t="s">
        <v>74</v>
      </c>
      <c r="K126" t="s">
        <v>80</v>
      </c>
      <c r="L126" t="s">
        <v>484</v>
      </c>
      <c r="M126" t="s">
        <v>59</v>
      </c>
      <c r="N126">
        <v>9</v>
      </c>
      <c r="O126">
        <v>465.06</v>
      </c>
      <c r="P126">
        <v>-0.15</v>
      </c>
      <c r="Q126" s="7">
        <f>IF(P126="", 0, P126)</f>
        <v>-0.15</v>
      </c>
      <c r="R126">
        <v>4185.54</v>
      </c>
      <c r="S126">
        <v>3443.74</v>
      </c>
      <c r="T126" s="7">
        <f>N126*O126*(1-Q126)</f>
        <v>4813.3709999999992</v>
      </c>
      <c r="U126" s="7">
        <f t="shared" si="6"/>
        <v>1369.6309999999994</v>
      </c>
      <c r="V126">
        <v>741.8</v>
      </c>
      <c r="W126" s="12">
        <f t="shared" si="7"/>
        <v>0.28454715001191466</v>
      </c>
      <c r="X126" t="s">
        <v>32</v>
      </c>
      <c r="Y126" t="str">
        <f t="shared" si="8"/>
        <v>Paid</v>
      </c>
      <c r="Z126" t="s">
        <v>33</v>
      </c>
      <c r="AA126">
        <f>C126-B126</f>
        <v>130</v>
      </c>
      <c r="AB126" t="str">
        <f>IF(B126="","Missing Order Date",
IF(C126="","Missing Ship Date","OK"))</f>
        <v>OK</v>
      </c>
      <c r="AC126" s="7" t="str">
        <f>IF(C126&lt;B126, "Invalid", "Valid")</f>
        <v>Valid</v>
      </c>
      <c r="AD126" s="7" t="str">
        <f>IF(COUNTIF($A:$A, A126)&gt;1, "Duplicate", "Unique")</f>
        <v>Unique</v>
      </c>
      <c r="AE126" s="7" t="str">
        <f>IF(G126="","Unknown",G126)</f>
        <v>South</v>
      </c>
      <c r="AF126" s="7" t="str">
        <f>IF(M126="","Unknown",M126)</f>
        <v>Standard Class</v>
      </c>
      <c r="AG126" s="7" t="str">
        <f>IF(P126&lt;0,"Invalid",
IF(P126&gt;1,"Invalid","Valid"))</f>
        <v>Invalid</v>
      </c>
      <c r="AH126" s="7" t="str">
        <f>TEXT(B126,"mmmm")</f>
        <v>July</v>
      </c>
      <c r="AI126" s="7">
        <f t="shared" si="9"/>
        <v>2024</v>
      </c>
      <c r="AJ126" s="7" t="str">
        <f>IF(OR(R126&lt;0,C126&lt;B126),"Invalid",
IF(OR(G126="Unknown",M126="Unknown"),"Warning","Clean"))</f>
        <v>Clean</v>
      </c>
      <c r="AK126" s="7" t="str">
        <f>IF(C126&lt;B126,"Ship Before Order","OK")</f>
        <v>OK</v>
      </c>
      <c r="AL126" s="7" t="str">
        <f>IF(ISNUMBER(B126),"Valid","Invalid")</f>
        <v>Valid</v>
      </c>
      <c r="AM126" s="7" t="str">
        <f t="shared" si="10"/>
        <v>Missmatched</v>
      </c>
      <c r="AN126" s="7" t="str">
        <f t="shared" si="11"/>
        <v>Missmatched</v>
      </c>
    </row>
    <row r="127" spans="1:40">
      <c r="A127" t="s">
        <v>485</v>
      </c>
      <c r="B127" s="6">
        <v>45855</v>
      </c>
      <c r="C127" s="4">
        <v>45625</v>
      </c>
      <c r="D127" t="s">
        <v>486</v>
      </c>
      <c r="E127" t="s">
        <v>79</v>
      </c>
      <c r="F127" t="s">
        <v>37</v>
      </c>
      <c r="G127" t="s">
        <v>63</v>
      </c>
      <c r="H127" t="s">
        <v>26</v>
      </c>
      <c r="I127" t="s">
        <v>109</v>
      </c>
      <c r="J127" t="s">
        <v>41</v>
      </c>
      <c r="K127" t="s">
        <v>42</v>
      </c>
      <c r="L127" t="s">
        <v>487</v>
      </c>
      <c r="M127" t="s">
        <v>44</v>
      </c>
      <c r="N127">
        <v>6</v>
      </c>
      <c r="O127">
        <v>3235.27</v>
      </c>
      <c r="P127">
        <v>0.25</v>
      </c>
      <c r="Q127" s="7">
        <f>IF(P127="", 0, P127)</f>
        <v>0.25</v>
      </c>
      <c r="R127">
        <v>14558.72</v>
      </c>
      <c r="S127">
        <v>9591.48</v>
      </c>
      <c r="T127" s="7">
        <f>N127*O127*(1-Q127)</f>
        <v>14558.715</v>
      </c>
      <c r="U127" s="7">
        <f t="shared" si="6"/>
        <v>4967.2350000000006</v>
      </c>
      <c r="V127">
        <v>4967.24</v>
      </c>
      <c r="W127" s="12">
        <f t="shared" si="7"/>
        <v>0.34118636157105903</v>
      </c>
      <c r="X127" t="s">
        <v>102</v>
      </c>
      <c r="Y127" t="str">
        <f t="shared" si="8"/>
        <v>Refunded</v>
      </c>
      <c r="Z127" t="s">
        <v>103</v>
      </c>
      <c r="AA127">
        <f>C127-B127</f>
        <v>-230</v>
      </c>
      <c r="AB127" t="str">
        <f>IF(B127="","Missing Order Date",
IF(C127="","Missing Ship Date","OK"))</f>
        <v>OK</v>
      </c>
      <c r="AC127" s="7" t="str">
        <f>IF(C127&lt;B127, "Invalid", "Valid")</f>
        <v>Invalid</v>
      </c>
      <c r="AD127" s="7" t="str">
        <f>IF(COUNTIF($A:$A, A127)&gt;1, "Duplicate", "Unique")</f>
        <v>Unique</v>
      </c>
      <c r="AE127" s="7" t="str">
        <f>IF(G127="","Unknown",G127)</f>
        <v>West</v>
      </c>
      <c r="AF127" s="7" t="str">
        <f>IF(M127="","Unknown",M127)</f>
        <v>Same Day</v>
      </c>
      <c r="AG127" s="7" t="str">
        <f>IF(P127&lt;0,"Invalid",
IF(P127&gt;1,"Invalid","Valid"))</f>
        <v>Valid</v>
      </c>
      <c r="AH127" s="7" t="str">
        <f>TEXT(B127,"mmmm")</f>
        <v>July</v>
      </c>
      <c r="AI127" s="7">
        <f t="shared" si="9"/>
        <v>2025</v>
      </c>
      <c r="AJ127" s="7" t="str">
        <f>IF(OR(R127&lt;0,C127&lt;B127),"Invalid",
IF(OR(G127="Unknown",M127="Unknown"),"Warning","Clean"))</f>
        <v>Invalid</v>
      </c>
      <c r="AK127" s="7" t="str">
        <f>IF(C127&lt;B127,"Ship Before Order","OK")</f>
        <v>Ship Before Order</v>
      </c>
      <c r="AL127" s="7" t="str">
        <f>IF(ISNUMBER(B127),"Valid","Invalid")</f>
        <v>Valid</v>
      </c>
      <c r="AM127" s="7" t="str">
        <f t="shared" si="10"/>
        <v>Missmatched</v>
      </c>
      <c r="AN127" s="7" t="str">
        <f t="shared" si="11"/>
        <v>Missmatched</v>
      </c>
    </row>
    <row r="128" spans="1:40">
      <c r="A128" t="s">
        <v>488</v>
      </c>
      <c r="B128" s="6">
        <v>45924</v>
      </c>
      <c r="C128" s="4">
        <v>45626</v>
      </c>
      <c r="D128" t="s">
        <v>489</v>
      </c>
      <c r="E128" t="s">
        <v>114</v>
      </c>
      <c r="F128" t="s">
        <v>90</v>
      </c>
      <c r="G128" t="s">
        <v>25</v>
      </c>
      <c r="H128" t="s">
        <v>350</v>
      </c>
      <c r="I128" t="s">
        <v>351</v>
      </c>
      <c r="J128" t="s">
        <v>74</v>
      </c>
      <c r="K128" t="s">
        <v>80</v>
      </c>
      <c r="L128" t="s">
        <v>490</v>
      </c>
      <c r="M128" t="s">
        <v>59</v>
      </c>
      <c r="N128">
        <v>3</v>
      </c>
      <c r="O128">
        <v>1593.86</v>
      </c>
      <c r="P128">
        <v>0.1</v>
      </c>
      <c r="Q128" s="7">
        <f>IF(P128="", 0, P128)</f>
        <v>0.1</v>
      </c>
      <c r="R128">
        <v>4303.42</v>
      </c>
      <c r="S128">
        <v>2568.5700000000002</v>
      </c>
      <c r="T128" s="7">
        <f>N128*O128*(1-Q128)</f>
        <v>4303.4220000000005</v>
      </c>
      <c r="U128" s="7">
        <f t="shared" si="6"/>
        <v>1734.8520000000003</v>
      </c>
      <c r="V128">
        <v>1734.85</v>
      </c>
      <c r="W128" s="12">
        <f t="shared" si="7"/>
        <v>0.40313313451481175</v>
      </c>
      <c r="X128" t="s">
        <v>32</v>
      </c>
      <c r="Y128" t="str">
        <f t="shared" si="8"/>
        <v>Paid</v>
      </c>
      <c r="Z128" t="s">
        <v>33</v>
      </c>
      <c r="AA128">
        <f>C128-B128</f>
        <v>-298</v>
      </c>
      <c r="AB128" t="str">
        <f>IF(B128="","Missing Order Date",
IF(C128="","Missing Ship Date","OK"))</f>
        <v>OK</v>
      </c>
      <c r="AC128" s="7" t="str">
        <f>IF(C128&lt;B128, "Invalid", "Valid")</f>
        <v>Invalid</v>
      </c>
      <c r="AD128" s="7" t="str">
        <f>IF(COUNTIF($A:$A, A128)&gt;1, "Duplicate", "Unique")</f>
        <v>Unique</v>
      </c>
      <c r="AE128" s="7" t="str">
        <f>IF(G128="","Unknown",G128)</f>
        <v>North</v>
      </c>
      <c r="AF128" s="7" t="str">
        <f>IF(M128="","Unknown",M128)</f>
        <v>Standard Class</v>
      </c>
      <c r="AG128" s="7" t="str">
        <f>IF(P128&lt;0,"Invalid",
IF(P128&gt;1,"Invalid","Valid"))</f>
        <v>Valid</v>
      </c>
      <c r="AH128" s="7" t="str">
        <f>TEXT(B128,"mmmm")</f>
        <v>September</v>
      </c>
      <c r="AI128" s="7">
        <f t="shared" si="9"/>
        <v>2025</v>
      </c>
      <c r="AJ128" s="7" t="str">
        <f>IF(OR(R128&lt;0,C128&lt;B128),"Invalid",
IF(OR(G128="Unknown",M128="Unknown"),"Warning","Clean"))</f>
        <v>Invalid</v>
      </c>
      <c r="AK128" s="7" t="str">
        <f>IF(C128&lt;B128,"Ship Before Order","OK")</f>
        <v>Ship Before Order</v>
      </c>
      <c r="AL128" s="7" t="str">
        <f>IF(ISNUMBER(B128),"Valid","Invalid")</f>
        <v>Valid</v>
      </c>
      <c r="AM128" s="7" t="str">
        <f t="shared" si="10"/>
        <v>Missmatched</v>
      </c>
      <c r="AN128" s="7" t="str">
        <f t="shared" si="11"/>
        <v>Missmatched</v>
      </c>
    </row>
    <row r="129" spans="1:40">
      <c r="A129" t="s">
        <v>491</v>
      </c>
      <c r="B129" s="6">
        <v>45687</v>
      </c>
      <c r="C129" s="4">
        <v>45627</v>
      </c>
      <c r="D129" t="s">
        <v>492</v>
      </c>
      <c r="E129" t="s">
        <v>114</v>
      </c>
      <c r="F129" t="s">
        <v>90</v>
      </c>
      <c r="G129" t="s">
        <v>63</v>
      </c>
      <c r="H129" t="s">
        <v>72</v>
      </c>
      <c r="I129" t="s">
        <v>73</v>
      </c>
      <c r="J129" t="s">
        <v>28</v>
      </c>
      <c r="K129" t="s">
        <v>124</v>
      </c>
      <c r="L129" t="s">
        <v>493</v>
      </c>
      <c r="M129" t="s">
        <v>31</v>
      </c>
      <c r="N129">
        <v>2</v>
      </c>
      <c r="O129">
        <v>3039.3</v>
      </c>
      <c r="P129">
        <v>0.05</v>
      </c>
      <c r="Q129" s="7">
        <f>IF(P129="", 0, P129)</f>
        <v>0.05</v>
      </c>
      <c r="R129">
        <v>5774.67</v>
      </c>
      <c r="S129">
        <v>3518.36</v>
      </c>
      <c r="T129" s="7">
        <f>N129*O129*(1-Q129)</f>
        <v>5774.67</v>
      </c>
      <c r="U129" s="7">
        <f t="shared" si="6"/>
        <v>2256.31</v>
      </c>
      <c r="V129">
        <v>2256.31</v>
      </c>
      <c r="W129" s="12">
        <f t="shared" si="7"/>
        <v>0.39072535746631409</v>
      </c>
      <c r="X129" t="s">
        <v>32</v>
      </c>
      <c r="Y129" t="str">
        <f t="shared" si="8"/>
        <v>Paid</v>
      </c>
      <c r="Z129" t="s">
        <v>33</v>
      </c>
      <c r="AA129">
        <f>C129-B129</f>
        <v>-60</v>
      </c>
      <c r="AB129" t="str">
        <f>IF(B129="","Missing Order Date",
IF(C129="","Missing Ship Date","OK"))</f>
        <v>OK</v>
      </c>
      <c r="AC129" s="7" t="str">
        <f>IF(C129&lt;B129, "Invalid", "Valid")</f>
        <v>Invalid</v>
      </c>
      <c r="AD129" s="7" t="str">
        <f>IF(COUNTIF($A:$A, A129)&gt;1, "Duplicate", "Unique")</f>
        <v>Duplicate</v>
      </c>
      <c r="AE129" s="7" t="str">
        <f>IF(G129="","Unknown",G129)</f>
        <v>West</v>
      </c>
      <c r="AF129" s="7" t="str">
        <f>IF(M129="","Unknown",M129)</f>
        <v>Second Class</v>
      </c>
      <c r="AG129" s="7" t="str">
        <f>IF(P129&lt;0,"Invalid",
IF(P129&gt;1,"Invalid","Valid"))</f>
        <v>Valid</v>
      </c>
      <c r="AH129" s="7" t="str">
        <f>TEXT(B129,"mmmm")</f>
        <v>January</v>
      </c>
      <c r="AI129" s="7">
        <f t="shared" si="9"/>
        <v>2025</v>
      </c>
      <c r="AJ129" s="7" t="str">
        <f>IF(OR(R129&lt;0,C129&lt;B129),"Invalid",
IF(OR(G129="Unknown",M129="Unknown"),"Warning","Clean"))</f>
        <v>Invalid</v>
      </c>
      <c r="AK129" s="7" t="str">
        <f>IF(C129&lt;B129,"Ship Before Order","OK")</f>
        <v>Ship Before Order</v>
      </c>
      <c r="AL129" s="7" t="str">
        <f>IF(ISNUMBER(B129),"Valid","Invalid")</f>
        <v>Valid</v>
      </c>
      <c r="AM129" s="7" t="str">
        <f t="shared" si="10"/>
        <v>Ok</v>
      </c>
      <c r="AN129" s="7" t="str">
        <f t="shared" si="11"/>
        <v>Ok</v>
      </c>
    </row>
    <row r="130" spans="1:40">
      <c r="A130" t="s">
        <v>494</v>
      </c>
      <c r="B130" s="6">
        <v>45639</v>
      </c>
      <c r="C130" s="4">
        <v>45628</v>
      </c>
      <c r="D130" t="s">
        <v>495</v>
      </c>
      <c r="E130" t="s">
        <v>79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57</v>
      </c>
      <c r="L130" t="s">
        <v>496</v>
      </c>
      <c r="M130" t="s">
        <v>59</v>
      </c>
      <c r="N130">
        <v>5</v>
      </c>
      <c r="O130">
        <v>923.45</v>
      </c>
      <c r="P130">
        <v>0.05</v>
      </c>
      <c r="Q130" s="7">
        <f>IF(P130="", 0, P130)</f>
        <v>0.05</v>
      </c>
      <c r="R130">
        <v>4386.3900000000003</v>
      </c>
      <c r="S130">
        <v>3366.88</v>
      </c>
      <c r="T130" s="7">
        <f>N130*O130*(1-Q130)</f>
        <v>4386.3874999999998</v>
      </c>
      <c r="U130" s="7">
        <f t="shared" ref="U130:U193" si="12">T130-S130</f>
        <v>1019.5074999999997</v>
      </c>
      <c r="V130">
        <v>1019.51</v>
      </c>
      <c r="W130" s="12">
        <f t="shared" ref="W130:W193" si="13">IF(T130=0,0,U130/T130)</f>
        <v>0.2324253158208206</v>
      </c>
      <c r="X130" t="s">
        <v>32</v>
      </c>
      <c r="Y130" t="str">
        <f t="shared" ref="Y130:Y193" si="14">PROPER(TRIM(X130))</f>
        <v>Paid</v>
      </c>
      <c r="Z130" t="s">
        <v>103</v>
      </c>
      <c r="AA130">
        <f>C130-B130</f>
        <v>-11</v>
      </c>
      <c r="AB130" t="str">
        <f>IF(B130="","Missing Order Date",
IF(C130="","Missing Ship Date","OK"))</f>
        <v>OK</v>
      </c>
      <c r="AC130" s="7" t="str">
        <f>IF(C130&lt;B130, "Invalid", "Valid")</f>
        <v>Invalid</v>
      </c>
      <c r="AD130" s="7" t="str">
        <f>IF(COUNTIF($A:$A, A130)&gt;1, "Duplicate", "Unique")</f>
        <v>Unique</v>
      </c>
      <c r="AE130" s="7" t="str">
        <f>IF(G130="","Unknown",G130)</f>
        <v>East</v>
      </c>
      <c r="AF130" s="7" t="str">
        <f>IF(M130="","Unknown",M130)</f>
        <v>Standard Class</v>
      </c>
      <c r="AG130" s="7" t="str">
        <f>IF(P130&lt;0,"Invalid",
IF(P130&gt;1,"Invalid","Valid"))</f>
        <v>Valid</v>
      </c>
      <c r="AH130" s="7" t="str">
        <f>TEXT(B130,"mmmm")</f>
        <v>December</v>
      </c>
      <c r="AI130" s="7">
        <f t="shared" ref="AI130:AI193" si="15">YEAR(B130)</f>
        <v>2024</v>
      </c>
      <c r="AJ130" s="7" t="str">
        <f>IF(OR(R130&lt;0,C130&lt;B130),"Invalid",
IF(OR(G130="Unknown",M130="Unknown"),"Warning","Clean"))</f>
        <v>Invalid</v>
      </c>
      <c r="AK130" s="7" t="str">
        <f>IF(C130&lt;B130,"Ship Before Order","OK")</f>
        <v>Ship Before Order</v>
      </c>
      <c r="AL130" s="7" t="str">
        <f>IF(ISNUMBER(B130),"Valid","Invalid")</f>
        <v>Valid</v>
      </c>
      <c r="AM130" s="7" t="str">
        <f t="shared" ref="AM130:AM193" si="16">IF(R130&lt;&gt;T130, "Missmatched", "Ok")</f>
        <v>Missmatched</v>
      </c>
      <c r="AN130" s="7" t="str">
        <f t="shared" ref="AN130:AN193" si="17">IF(V130&lt;&gt;U130, "Missmatched", "Ok")</f>
        <v>Missmatched</v>
      </c>
    </row>
    <row r="131" spans="1:40">
      <c r="A131" t="s">
        <v>497</v>
      </c>
      <c r="B131" s="6">
        <v>45492</v>
      </c>
      <c r="C131" s="4">
        <v>45629</v>
      </c>
      <c r="D131" t="s">
        <v>498</v>
      </c>
      <c r="E131" t="s">
        <v>47</v>
      </c>
      <c r="F131" t="s">
        <v>37</v>
      </c>
      <c r="G131" t="s">
        <v>63</v>
      </c>
      <c r="H131" t="s">
        <v>190</v>
      </c>
      <c r="I131" t="s">
        <v>191</v>
      </c>
      <c r="J131" t="s">
        <v>28</v>
      </c>
      <c r="K131" t="s">
        <v>153</v>
      </c>
      <c r="L131" t="s">
        <v>499</v>
      </c>
      <c r="M131" t="s">
        <v>59</v>
      </c>
      <c r="N131">
        <v>7</v>
      </c>
      <c r="O131">
        <v>2741.29</v>
      </c>
      <c r="P131">
        <v>0.05</v>
      </c>
      <c r="Q131" s="7">
        <f>IF(P131="", 0, P131)</f>
        <v>0.05</v>
      </c>
      <c r="R131">
        <v>18229.580000000002</v>
      </c>
      <c r="S131">
        <v>15139.15</v>
      </c>
      <c r="T131" s="7">
        <f>N131*O131*(1-Q131)</f>
        <v>18229.5785</v>
      </c>
      <c r="U131" s="7">
        <f t="shared" si="12"/>
        <v>3090.4285</v>
      </c>
      <c r="V131">
        <v>3090.43</v>
      </c>
      <c r="W131" s="12">
        <f t="shared" si="13"/>
        <v>0.16952824773211295</v>
      </c>
      <c r="X131" t="s">
        <v>32</v>
      </c>
      <c r="Y131" t="str">
        <f t="shared" si="14"/>
        <v>Paid</v>
      </c>
      <c r="Z131" t="s">
        <v>33</v>
      </c>
      <c r="AA131">
        <f>C131-B131</f>
        <v>137</v>
      </c>
      <c r="AB131" t="str">
        <f>IF(B131="","Missing Order Date",
IF(C131="","Missing Ship Date","OK"))</f>
        <v>OK</v>
      </c>
      <c r="AC131" s="7" t="str">
        <f>IF(C131&lt;B131, "Invalid", "Valid")</f>
        <v>Valid</v>
      </c>
      <c r="AD131" s="7" t="str">
        <f>IF(COUNTIF($A:$A, A131)&gt;1, "Duplicate", "Unique")</f>
        <v>Unique</v>
      </c>
      <c r="AE131" s="7" t="str">
        <f>IF(G131="","Unknown",G131)</f>
        <v>West</v>
      </c>
      <c r="AF131" s="7" t="str">
        <f>IF(M131="","Unknown",M131)</f>
        <v>Standard Class</v>
      </c>
      <c r="AG131" s="7" t="str">
        <f>IF(P131&lt;0,"Invalid",
IF(P131&gt;1,"Invalid","Valid"))</f>
        <v>Valid</v>
      </c>
      <c r="AH131" s="7" t="str">
        <f>TEXT(B131,"mmmm")</f>
        <v>July</v>
      </c>
      <c r="AI131" s="7">
        <f t="shared" si="15"/>
        <v>2024</v>
      </c>
      <c r="AJ131" s="7" t="str">
        <f>IF(OR(R131&lt;0,C131&lt;B131),"Invalid",
IF(OR(G131="Unknown",M131="Unknown"),"Warning","Clean"))</f>
        <v>Clean</v>
      </c>
      <c r="AK131" s="7" t="str">
        <f>IF(C131&lt;B131,"Ship Before Order","OK")</f>
        <v>OK</v>
      </c>
      <c r="AL131" s="7" t="str">
        <f>IF(ISNUMBER(B131),"Valid","Invalid")</f>
        <v>Valid</v>
      </c>
      <c r="AM131" s="7" t="str">
        <f t="shared" si="16"/>
        <v>Missmatched</v>
      </c>
      <c r="AN131" s="7" t="str">
        <f t="shared" si="17"/>
        <v>Missmatched</v>
      </c>
    </row>
    <row r="132" spans="1:40">
      <c r="A132" t="s">
        <v>500</v>
      </c>
      <c r="B132" s="6">
        <v>45318</v>
      </c>
      <c r="C132" s="4">
        <v>45630</v>
      </c>
      <c r="D132" t="s">
        <v>501</v>
      </c>
      <c r="E132" t="s">
        <v>53</v>
      </c>
      <c r="F132" t="s">
        <v>24</v>
      </c>
      <c r="G132" t="s">
        <v>63</v>
      </c>
      <c r="H132" t="s">
        <v>180</v>
      </c>
      <c r="I132" t="s">
        <v>181</v>
      </c>
      <c r="J132" t="s">
        <v>28</v>
      </c>
      <c r="K132" t="s">
        <v>91</v>
      </c>
      <c r="L132" t="s">
        <v>502</v>
      </c>
      <c r="M132" t="s">
        <v>44</v>
      </c>
      <c r="N132">
        <v>5</v>
      </c>
      <c r="O132">
        <v>218.42</v>
      </c>
      <c r="P132">
        <v>0.2</v>
      </c>
      <c r="Q132" s="7">
        <f>IF(P132="", 0, P132)</f>
        <v>0.2</v>
      </c>
      <c r="R132">
        <v>873.68</v>
      </c>
      <c r="S132">
        <v>661.72</v>
      </c>
      <c r="T132" s="7">
        <f>N132*O132*(1-Q132)</f>
        <v>873.68</v>
      </c>
      <c r="U132" s="7">
        <f t="shared" si="12"/>
        <v>211.95999999999992</v>
      </c>
      <c r="V132">
        <v>211.96</v>
      </c>
      <c r="W132" s="12">
        <f t="shared" si="13"/>
        <v>0.24260598846259493</v>
      </c>
      <c r="X132" t="s">
        <v>111</v>
      </c>
      <c r="Y132" t="str">
        <f t="shared" si="14"/>
        <v>Pending</v>
      </c>
      <c r="Z132" t="s">
        <v>68</v>
      </c>
      <c r="AA132">
        <f>C132-B132</f>
        <v>312</v>
      </c>
      <c r="AB132" t="str">
        <f>IF(B132="","Missing Order Date",
IF(C132="","Missing Ship Date","OK"))</f>
        <v>OK</v>
      </c>
      <c r="AC132" s="7" t="str">
        <f>IF(C132&lt;B132, "Invalid", "Valid")</f>
        <v>Valid</v>
      </c>
      <c r="AD132" s="7" t="str">
        <f>IF(COUNTIF($A:$A, A132)&gt;1, "Duplicate", "Unique")</f>
        <v>Unique</v>
      </c>
      <c r="AE132" s="7" t="str">
        <f>IF(G132="","Unknown",G132)</f>
        <v>West</v>
      </c>
      <c r="AF132" s="7" t="str">
        <f>IF(M132="","Unknown",M132)</f>
        <v>Same Day</v>
      </c>
      <c r="AG132" s="7" t="str">
        <f>IF(P132&lt;0,"Invalid",
IF(P132&gt;1,"Invalid","Valid"))</f>
        <v>Valid</v>
      </c>
      <c r="AH132" s="7" t="str">
        <f>TEXT(B132,"mmmm")</f>
        <v>January</v>
      </c>
      <c r="AI132" s="7">
        <f t="shared" si="15"/>
        <v>2024</v>
      </c>
      <c r="AJ132" s="7" t="str">
        <f>IF(OR(R132&lt;0,C132&lt;B132),"Invalid",
IF(OR(G132="Unknown",M132="Unknown"),"Warning","Clean"))</f>
        <v>Clean</v>
      </c>
      <c r="AK132" s="7" t="str">
        <f>IF(C132&lt;B132,"Ship Before Order","OK")</f>
        <v>OK</v>
      </c>
      <c r="AL132" s="7" t="str">
        <f>IF(ISNUMBER(B132),"Valid","Invalid")</f>
        <v>Valid</v>
      </c>
      <c r="AM132" s="7" t="str">
        <f t="shared" si="16"/>
        <v>Ok</v>
      </c>
      <c r="AN132" s="7" t="str">
        <f t="shared" si="17"/>
        <v>Ok</v>
      </c>
    </row>
    <row r="133" spans="1:40">
      <c r="A133" t="s">
        <v>503</v>
      </c>
      <c r="B133" s="6">
        <v>45929</v>
      </c>
      <c r="C133" s="4">
        <v>45631</v>
      </c>
      <c r="D133" t="s">
        <v>504</v>
      </c>
      <c r="E133" t="s">
        <v>62</v>
      </c>
      <c r="F133" t="s">
        <v>95</v>
      </c>
      <c r="G133" t="s">
        <v>38</v>
      </c>
      <c r="H133" t="s">
        <v>228</v>
      </c>
      <c r="I133" t="s">
        <v>229</v>
      </c>
      <c r="J133" t="s">
        <v>28</v>
      </c>
      <c r="K133" t="s">
        <v>29</v>
      </c>
      <c r="L133" t="s">
        <v>505</v>
      </c>
      <c r="M133" t="s">
        <v>44</v>
      </c>
      <c r="N133">
        <v>9</v>
      </c>
      <c r="O133">
        <v>373.91</v>
      </c>
      <c r="P133">
        <v>0.2</v>
      </c>
      <c r="Q133" s="7">
        <f>IF(P133="", 0, P133)</f>
        <v>0.2</v>
      </c>
      <c r="R133">
        <v>2692.15</v>
      </c>
      <c r="S133">
        <v>2044.49</v>
      </c>
      <c r="T133" s="7">
        <f>N133*O133*(1-Q133)</f>
        <v>2692.152</v>
      </c>
      <c r="U133" s="7">
        <f t="shared" si="12"/>
        <v>647.66200000000003</v>
      </c>
      <c r="V133">
        <v>647.66</v>
      </c>
      <c r="W133" s="12">
        <f t="shared" si="13"/>
        <v>0.24057408348414205</v>
      </c>
      <c r="X133" t="s">
        <v>32</v>
      </c>
      <c r="Y133" t="str">
        <f t="shared" si="14"/>
        <v>Paid</v>
      </c>
      <c r="Z133" t="s">
        <v>33</v>
      </c>
      <c r="AA133">
        <f>C133-B133</f>
        <v>-298</v>
      </c>
      <c r="AB133" t="str">
        <f>IF(B133="","Missing Order Date",
IF(C133="","Missing Ship Date","OK"))</f>
        <v>OK</v>
      </c>
      <c r="AC133" s="7" t="str">
        <f>IF(C133&lt;B133, "Invalid", "Valid")</f>
        <v>Invalid</v>
      </c>
      <c r="AD133" s="7" t="str">
        <f>IF(COUNTIF($A:$A, A133)&gt;1, "Duplicate", "Unique")</f>
        <v>Unique</v>
      </c>
      <c r="AE133" s="7" t="str">
        <f>IF(G133="","Unknown",G133)</f>
        <v>East</v>
      </c>
      <c r="AF133" s="7" t="str">
        <f>IF(M133="","Unknown",M133)</f>
        <v>Same Day</v>
      </c>
      <c r="AG133" s="7" t="str">
        <f>IF(P133&lt;0,"Invalid",
IF(P133&gt;1,"Invalid","Valid"))</f>
        <v>Valid</v>
      </c>
      <c r="AH133" s="7" t="str">
        <f>TEXT(B133,"mmmm")</f>
        <v>September</v>
      </c>
      <c r="AI133" s="7">
        <f t="shared" si="15"/>
        <v>2025</v>
      </c>
      <c r="AJ133" s="7" t="str">
        <f>IF(OR(R133&lt;0,C133&lt;B133),"Invalid",
IF(OR(G133="Unknown",M133="Unknown"),"Warning","Clean"))</f>
        <v>Invalid</v>
      </c>
      <c r="AK133" s="7" t="str">
        <f>IF(C133&lt;B133,"Ship Before Order","OK")</f>
        <v>Ship Before Order</v>
      </c>
      <c r="AL133" s="7" t="str">
        <f>IF(ISNUMBER(B133),"Valid","Invalid")</f>
        <v>Valid</v>
      </c>
      <c r="AM133" s="7" t="str">
        <f t="shared" si="16"/>
        <v>Missmatched</v>
      </c>
      <c r="AN133" s="7" t="str">
        <f t="shared" si="17"/>
        <v>Missmatched</v>
      </c>
    </row>
    <row r="134" spans="1:40">
      <c r="A134" t="s">
        <v>506</v>
      </c>
      <c r="B134" s="6">
        <v>45393</v>
      </c>
      <c r="C134" s="4">
        <v>45632</v>
      </c>
      <c r="D134" t="s">
        <v>507</v>
      </c>
      <c r="E134" t="s">
        <v>264</v>
      </c>
      <c r="F134" t="s">
        <v>90</v>
      </c>
      <c r="G134" t="s">
        <v>38</v>
      </c>
      <c r="H134" t="s">
        <v>166</v>
      </c>
      <c r="I134" t="s">
        <v>167</v>
      </c>
      <c r="J134" t="s">
        <v>74</v>
      </c>
      <c r="K134" t="s">
        <v>274</v>
      </c>
      <c r="L134" t="s">
        <v>508</v>
      </c>
      <c r="M134" t="s">
        <v>50</v>
      </c>
      <c r="N134">
        <v>2</v>
      </c>
      <c r="O134">
        <v>533.08000000000004</v>
      </c>
      <c r="P134">
        <v>0</v>
      </c>
      <c r="Q134" s="7">
        <f>IF(P134="", 0, P134)</f>
        <v>0</v>
      </c>
      <c r="R134">
        <v>1066.1600000000001</v>
      </c>
      <c r="S134">
        <v>656.3</v>
      </c>
      <c r="T134" s="7">
        <f>N134*O134*(1-Q134)</f>
        <v>1066.1600000000001</v>
      </c>
      <c r="U134" s="7">
        <f t="shared" si="12"/>
        <v>409.86000000000013</v>
      </c>
      <c r="V134">
        <v>409.86</v>
      </c>
      <c r="W134" s="12">
        <f t="shared" si="13"/>
        <v>0.38442635251744589</v>
      </c>
      <c r="X134" t="s">
        <v>155</v>
      </c>
      <c r="Y134" t="str">
        <f t="shared" si="14"/>
        <v>Failed</v>
      </c>
      <c r="Z134" t="s">
        <v>68</v>
      </c>
      <c r="AA134">
        <f>C134-B134</f>
        <v>239</v>
      </c>
      <c r="AB134" t="str">
        <f>IF(B134="","Missing Order Date",
IF(C134="","Missing Ship Date","OK"))</f>
        <v>OK</v>
      </c>
      <c r="AC134" s="7" t="str">
        <f>IF(C134&lt;B134, "Invalid", "Valid")</f>
        <v>Valid</v>
      </c>
      <c r="AD134" s="7" t="str">
        <f>IF(COUNTIF($A:$A, A134)&gt;1, "Duplicate", "Unique")</f>
        <v>Unique</v>
      </c>
      <c r="AE134" s="7" t="str">
        <f>IF(G134="","Unknown",G134)</f>
        <v>East</v>
      </c>
      <c r="AF134" s="7" t="str">
        <f>IF(M134="","Unknown",M134)</f>
        <v>First Class</v>
      </c>
      <c r="AG134" s="7" t="str">
        <f>IF(P134&lt;0,"Invalid",
IF(P134&gt;1,"Invalid","Valid"))</f>
        <v>Valid</v>
      </c>
      <c r="AH134" s="7" t="str">
        <f>TEXT(B134,"mmmm")</f>
        <v>April</v>
      </c>
      <c r="AI134" s="7">
        <f t="shared" si="15"/>
        <v>2024</v>
      </c>
      <c r="AJ134" s="7" t="str">
        <f>IF(OR(R134&lt;0,C134&lt;B134),"Invalid",
IF(OR(G134="Unknown",M134="Unknown"),"Warning","Clean"))</f>
        <v>Clean</v>
      </c>
      <c r="AK134" s="7" t="str">
        <f>IF(C134&lt;B134,"Ship Before Order","OK")</f>
        <v>OK</v>
      </c>
      <c r="AL134" s="7" t="str">
        <f>IF(ISNUMBER(B134),"Valid","Invalid")</f>
        <v>Valid</v>
      </c>
      <c r="AM134" s="7" t="str">
        <f t="shared" si="16"/>
        <v>Ok</v>
      </c>
      <c r="AN134" s="7" t="str">
        <f t="shared" si="17"/>
        <v>Ok</v>
      </c>
    </row>
    <row r="135" spans="1:40">
      <c r="A135" t="s">
        <v>509</v>
      </c>
      <c r="B135" s="6">
        <v>45639</v>
      </c>
      <c r="C135" s="4">
        <v>45633</v>
      </c>
      <c r="D135" t="s">
        <v>510</v>
      </c>
      <c r="E135" t="s">
        <v>23</v>
      </c>
      <c r="F135" t="s">
        <v>24</v>
      </c>
      <c r="G135" t="s">
        <v>63</v>
      </c>
      <c r="H135" t="s">
        <v>190</v>
      </c>
      <c r="I135" t="s">
        <v>191</v>
      </c>
      <c r="J135" t="s">
        <v>74</v>
      </c>
      <c r="K135" t="s">
        <v>171</v>
      </c>
      <c r="L135" t="s">
        <v>511</v>
      </c>
      <c r="M135" t="s">
        <v>31</v>
      </c>
      <c r="N135">
        <v>8</v>
      </c>
      <c r="O135">
        <v>3372.15</v>
      </c>
      <c r="P135">
        <v>0.15</v>
      </c>
      <c r="Q135" s="7">
        <f>IF(P135="", 0, P135)</f>
        <v>0.15</v>
      </c>
      <c r="R135">
        <v>22930.62</v>
      </c>
      <c r="S135">
        <v>16875.55</v>
      </c>
      <c r="T135" s="7">
        <f>N135*O135*(1-Q135)</f>
        <v>22930.62</v>
      </c>
      <c r="U135" s="7">
        <f t="shared" si="12"/>
        <v>6055.07</v>
      </c>
      <c r="V135">
        <v>6055.07</v>
      </c>
      <c r="W135" s="12">
        <f t="shared" si="13"/>
        <v>0.26406045715292475</v>
      </c>
      <c r="X135" t="s">
        <v>32</v>
      </c>
      <c r="Y135" t="str">
        <f t="shared" si="14"/>
        <v>Paid</v>
      </c>
      <c r="Z135" t="s">
        <v>33</v>
      </c>
      <c r="AA135">
        <f>C135-B135</f>
        <v>-6</v>
      </c>
      <c r="AB135" t="str">
        <f>IF(B135="","Missing Order Date",
IF(C135="","Missing Ship Date","OK"))</f>
        <v>OK</v>
      </c>
      <c r="AC135" s="7" t="str">
        <f>IF(C135&lt;B135, "Invalid", "Valid")</f>
        <v>Invalid</v>
      </c>
      <c r="AD135" s="7" t="str">
        <f>IF(COUNTIF($A:$A, A135)&gt;1, "Duplicate", "Unique")</f>
        <v>Duplicate</v>
      </c>
      <c r="AE135" s="7" t="str">
        <f>IF(G135="","Unknown",G135)</f>
        <v>West</v>
      </c>
      <c r="AF135" s="7" t="str">
        <f>IF(M135="","Unknown",M135)</f>
        <v>Second Class</v>
      </c>
      <c r="AG135" s="7" t="str">
        <f>IF(P135&lt;0,"Invalid",
IF(P135&gt;1,"Invalid","Valid"))</f>
        <v>Valid</v>
      </c>
      <c r="AH135" s="7" t="str">
        <f>TEXT(B135,"mmmm")</f>
        <v>December</v>
      </c>
      <c r="AI135" s="7">
        <f t="shared" si="15"/>
        <v>2024</v>
      </c>
      <c r="AJ135" s="7" t="str">
        <f>IF(OR(R135&lt;0,C135&lt;B135),"Invalid",
IF(OR(G135="Unknown",M135="Unknown"),"Warning","Clean"))</f>
        <v>Invalid</v>
      </c>
      <c r="AK135" s="7" t="str">
        <f>IF(C135&lt;B135,"Ship Before Order","OK")</f>
        <v>Ship Before Order</v>
      </c>
      <c r="AL135" s="7" t="str">
        <f>IF(ISNUMBER(B135),"Valid","Invalid")</f>
        <v>Valid</v>
      </c>
      <c r="AM135" s="7" t="str">
        <f t="shared" si="16"/>
        <v>Ok</v>
      </c>
      <c r="AN135" s="7" t="str">
        <f t="shared" si="17"/>
        <v>Ok</v>
      </c>
    </row>
    <row r="136" spans="1:40">
      <c r="A136" t="s">
        <v>512</v>
      </c>
      <c r="B136" s="6">
        <v>45852</v>
      </c>
      <c r="C136" s="4">
        <v>45634</v>
      </c>
      <c r="D136" t="s">
        <v>513</v>
      </c>
      <c r="E136" t="s">
        <v>71</v>
      </c>
      <c r="F136" t="s">
        <v>95</v>
      </c>
      <c r="G136" t="s">
        <v>38</v>
      </c>
      <c r="H136" t="s">
        <v>99</v>
      </c>
      <c r="I136" t="s">
        <v>100</v>
      </c>
      <c r="J136" t="s">
        <v>41</v>
      </c>
      <c r="K136" t="s">
        <v>158</v>
      </c>
      <c r="L136" t="s">
        <v>514</v>
      </c>
      <c r="M136" t="s">
        <v>2785</v>
      </c>
      <c r="N136">
        <v>5</v>
      </c>
      <c r="O136">
        <v>383.1</v>
      </c>
      <c r="P136">
        <v>0.25</v>
      </c>
      <c r="Q136" s="7">
        <f>IF(P136="", 0, P136)</f>
        <v>0.25</v>
      </c>
      <c r="R136">
        <v>1436.62</v>
      </c>
      <c r="S136">
        <v>912.52</v>
      </c>
      <c r="T136" s="7">
        <f>N136*O136*(1-Q136)</f>
        <v>1436.625</v>
      </c>
      <c r="U136" s="7">
        <f t="shared" si="12"/>
        <v>524.10500000000002</v>
      </c>
      <c r="V136">
        <v>524.1</v>
      </c>
      <c r="W136" s="12">
        <f t="shared" si="13"/>
        <v>0.36481684503610895</v>
      </c>
      <c r="X136" t="s">
        <v>111</v>
      </c>
      <c r="Y136" t="str">
        <f t="shared" si="14"/>
        <v>Pending</v>
      </c>
      <c r="Z136" t="s">
        <v>68</v>
      </c>
      <c r="AA136">
        <f>C136-B136</f>
        <v>-218</v>
      </c>
      <c r="AB136" t="str">
        <f>IF(B136="","Missing Order Date",
IF(C136="","Missing Ship Date","OK"))</f>
        <v>OK</v>
      </c>
      <c r="AC136" s="7" t="str">
        <f>IF(C136&lt;B136, "Invalid", "Valid")</f>
        <v>Invalid</v>
      </c>
      <c r="AD136" s="7" t="str">
        <f>IF(COUNTIF($A:$A, A136)&gt;1, "Duplicate", "Unique")</f>
        <v>Unique</v>
      </c>
      <c r="AE136" s="7" t="str">
        <f>IF(G136="","Unknown",G136)</f>
        <v>East</v>
      </c>
      <c r="AF136" s="7" t="str">
        <f>IF(M136="","Unknown",M136)</f>
        <v>Unknown</v>
      </c>
      <c r="AG136" s="7" t="str">
        <f>IF(P136&lt;0,"Invalid",
IF(P136&gt;1,"Invalid","Valid"))</f>
        <v>Valid</v>
      </c>
      <c r="AH136" s="7" t="str">
        <f>TEXT(B136,"mmmm")</f>
        <v>July</v>
      </c>
      <c r="AI136" s="7">
        <f t="shared" si="15"/>
        <v>2025</v>
      </c>
      <c r="AJ136" s="7" t="str">
        <f>IF(OR(R136&lt;0,C136&lt;B136),"Invalid",
IF(OR(G136="Unknown",M136="Unknown"),"Warning","Clean"))</f>
        <v>Invalid</v>
      </c>
      <c r="AK136" s="7" t="str">
        <f>IF(C136&lt;B136,"Ship Before Order","OK")</f>
        <v>Ship Before Order</v>
      </c>
      <c r="AL136" s="7" t="str">
        <f>IF(ISNUMBER(B136),"Valid","Invalid")</f>
        <v>Valid</v>
      </c>
      <c r="AM136" s="7" t="str">
        <f t="shared" si="16"/>
        <v>Missmatched</v>
      </c>
      <c r="AN136" s="7" t="str">
        <f t="shared" si="17"/>
        <v>Missmatched</v>
      </c>
    </row>
    <row r="137" spans="1:40">
      <c r="A137" t="s">
        <v>515</v>
      </c>
      <c r="B137" s="6">
        <v>45893</v>
      </c>
      <c r="C137" s="4">
        <v>45635</v>
      </c>
      <c r="D137" t="s">
        <v>516</v>
      </c>
      <c r="E137" t="s">
        <v>162</v>
      </c>
      <c r="F137" t="s">
        <v>37</v>
      </c>
      <c r="G137" t="s">
        <v>54</v>
      </c>
      <c r="H137" t="s">
        <v>185</v>
      </c>
      <c r="I137" t="s">
        <v>186</v>
      </c>
      <c r="J137" t="s">
        <v>41</v>
      </c>
      <c r="K137" t="s">
        <v>158</v>
      </c>
      <c r="L137" t="s">
        <v>517</v>
      </c>
      <c r="M137" t="s">
        <v>59</v>
      </c>
      <c r="N137">
        <v>1</v>
      </c>
      <c r="O137">
        <v>3424.78</v>
      </c>
      <c r="P137">
        <v>0</v>
      </c>
      <c r="Q137" s="7">
        <f>IF(P137="", 0, P137)</f>
        <v>0</v>
      </c>
      <c r="R137">
        <v>3424.78</v>
      </c>
      <c r="S137">
        <v>1951.45</v>
      </c>
      <c r="T137" s="7">
        <f>N137*O137*(1-Q137)</f>
        <v>3424.78</v>
      </c>
      <c r="U137" s="7">
        <f t="shared" si="12"/>
        <v>1473.3300000000002</v>
      </c>
      <c r="V137">
        <v>1473.33</v>
      </c>
      <c r="W137" s="12">
        <f t="shared" si="13"/>
        <v>0.43019697615613267</v>
      </c>
      <c r="X137" t="s">
        <v>32</v>
      </c>
      <c r="Y137" t="str">
        <f t="shared" si="14"/>
        <v>Paid</v>
      </c>
      <c r="Z137" t="s">
        <v>33</v>
      </c>
      <c r="AA137">
        <f>C137-B137</f>
        <v>-258</v>
      </c>
      <c r="AB137" t="str">
        <f>IF(B137="","Missing Order Date",
IF(C137="","Missing Ship Date","OK"))</f>
        <v>OK</v>
      </c>
      <c r="AC137" s="7" t="str">
        <f>IF(C137&lt;B137, "Invalid", "Valid")</f>
        <v>Invalid</v>
      </c>
      <c r="AD137" s="7" t="str">
        <f>IF(COUNTIF($A:$A, A137)&gt;1, "Duplicate", "Unique")</f>
        <v>Unique</v>
      </c>
      <c r="AE137" s="7" t="str">
        <f>IF(G137="","Unknown",G137)</f>
        <v>South</v>
      </c>
      <c r="AF137" s="7" t="str">
        <f>IF(M137="","Unknown",M137)</f>
        <v>Standard Class</v>
      </c>
      <c r="AG137" s="7" t="str">
        <f>IF(P137&lt;0,"Invalid",
IF(P137&gt;1,"Invalid","Valid"))</f>
        <v>Valid</v>
      </c>
      <c r="AH137" s="7" t="str">
        <f>TEXT(B137,"mmmm")</f>
        <v>August</v>
      </c>
      <c r="AI137" s="7">
        <f t="shared" si="15"/>
        <v>2025</v>
      </c>
      <c r="AJ137" s="7" t="str">
        <f>IF(OR(R137&lt;0,C137&lt;B137),"Invalid",
IF(OR(G137="Unknown",M137="Unknown"),"Warning","Clean"))</f>
        <v>Invalid</v>
      </c>
      <c r="AK137" s="7" t="str">
        <f>IF(C137&lt;B137,"Ship Before Order","OK")</f>
        <v>Ship Before Order</v>
      </c>
      <c r="AL137" s="7" t="str">
        <f>IF(ISNUMBER(B137),"Valid","Invalid")</f>
        <v>Valid</v>
      </c>
      <c r="AM137" s="7" t="str">
        <f t="shared" si="16"/>
        <v>Ok</v>
      </c>
      <c r="AN137" s="7" t="str">
        <f t="shared" si="17"/>
        <v>Ok</v>
      </c>
    </row>
    <row r="138" spans="1:40">
      <c r="A138" t="s">
        <v>518</v>
      </c>
      <c r="B138" s="6">
        <v>45697</v>
      </c>
      <c r="C138" s="4">
        <v>45636</v>
      </c>
      <c r="D138" t="s">
        <v>519</v>
      </c>
      <c r="E138" t="s">
        <v>36</v>
      </c>
      <c r="F138" t="s">
        <v>95</v>
      </c>
      <c r="G138" t="s">
        <v>38</v>
      </c>
      <c r="H138" t="s">
        <v>228</v>
      </c>
      <c r="I138" t="s">
        <v>229</v>
      </c>
      <c r="J138" t="s">
        <v>28</v>
      </c>
      <c r="K138" t="s">
        <v>153</v>
      </c>
      <c r="L138" t="s">
        <v>520</v>
      </c>
      <c r="M138" t="s">
        <v>59</v>
      </c>
      <c r="N138">
        <v>9</v>
      </c>
      <c r="O138">
        <v>4330.33</v>
      </c>
      <c r="P138">
        <v>0.2</v>
      </c>
      <c r="Q138" s="7">
        <f>IF(P138="", 0, P138)</f>
        <v>0.2</v>
      </c>
      <c r="R138">
        <v>31178.38</v>
      </c>
      <c r="S138">
        <v>21421.09</v>
      </c>
      <c r="T138" s="7">
        <f>N138*O138*(1-Q138)</f>
        <v>31178.376000000004</v>
      </c>
      <c r="U138" s="7">
        <f t="shared" si="12"/>
        <v>9757.2860000000037</v>
      </c>
      <c r="V138">
        <v>9757.2900000000009</v>
      </c>
      <c r="W138" s="12">
        <f t="shared" si="13"/>
        <v>0.31295042435821552</v>
      </c>
      <c r="X138" t="s">
        <v>32</v>
      </c>
      <c r="Y138" t="str">
        <f t="shared" si="14"/>
        <v>Paid</v>
      </c>
      <c r="Z138" t="s">
        <v>33</v>
      </c>
      <c r="AA138">
        <f>C138-B138</f>
        <v>-61</v>
      </c>
      <c r="AB138" t="str">
        <f>IF(B138="","Missing Order Date",
IF(C138="","Missing Ship Date","OK"))</f>
        <v>OK</v>
      </c>
      <c r="AC138" s="7" t="str">
        <f>IF(C138&lt;B138, "Invalid", "Valid")</f>
        <v>Invalid</v>
      </c>
      <c r="AD138" s="7" t="str">
        <f>IF(COUNTIF($A:$A, A138)&gt;1, "Duplicate", "Unique")</f>
        <v>Unique</v>
      </c>
      <c r="AE138" s="7" t="str">
        <f>IF(G138="","Unknown",G138)</f>
        <v>East</v>
      </c>
      <c r="AF138" s="7" t="str">
        <f>IF(M138="","Unknown",M138)</f>
        <v>Standard Class</v>
      </c>
      <c r="AG138" s="7" t="str">
        <f>IF(P138&lt;0,"Invalid",
IF(P138&gt;1,"Invalid","Valid"))</f>
        <v>Valid</v>
      </c>
      <c r="AH138" s="7" t="str">
        <f>TEXT(B138,"mmmm")</f>
        <v>February</v>
      </c>
      <c r="AI138" s="7">
        <f t="shared" si="15"/>
        <v>2025</v>
      </c>
      <c r="AJ138" s="7" t="str">
        <f>IF(OR(R138&lt;0,C138&lt;B138),"Invalid",
IF(OR(G138="Unknown",M138="Unknown"),"Warning","Clean"))</f>
        <v>Invalid</v>
      </c>
      <c r="AK138" s="7" t="str">
        <f>IF(C138&lt;B138,"Ship Before Order","OK")</f>
        <v>Ship Before Order</v>
      </c>
      <c r="AL138" s="7" t="str">
        <f>IF(ISNUMBER(B138),"Valid","Invalid")</f>
        <v>Valid</v>
      </c>
      <c r="AM138" s="7" t="str">
        <f t="shared" si="16"/>
        <v>Missmatched</v>
      </c>
      <c r="AN138" s="7" t="str">
        <f t="shared" si="17"/>
        <v>Missmatched</v>
      </c>
    </row>
    <row r="139" spans="1:40">
      <c r="A139" t="s">
        <v>521</v>
      </c>
      <c r="B139" s="6">
        <v>45901</v>
      </c>
      <c r="C139" s="4">
        <v>45637</v>
      </c>
      <c r="D139" t="s">
        <v>522</v>
      </c>
      <c r="E139" t="s">
        <v>132</v>
      </c>
      <c r="F139" t="s">
        <v>37</v>
      </c>
      <c r="G139" t="s">
        <v>25</v>
      </c>
      <c r="H139" t="s">
        <v>26</v>
      </c>
      <c r="I139" t="s">
        <v>27</v>
      </c>
      <c r="J139" t="s">
        <v>41</v>
      </c>
      <c r="K139" t="s">
        <v>66</v>
      </c>
      <c r="L139" t="s">
        <v>523</v>
      </c>
      <c r="M139" t="s">
        <v>44</v>
      </c>
      <c r="N139">
        <v>8</v>
      </c>
      <c r="O139">
        <v>2667.07</v>
      </c>
      <c r="P139">
        <v>0.1</v>
      </c>
      <c r="Q139" s="7">
        <f>IF(P139="", 0, P139)</f>
        <v>0.1</v>
      </c>
      <c r="R139">
        <v>19202.900000000001</v>
      </c>
      <c r="S139">
        <v>15526.62</v>
      </c>
      <c r="T139" s="7">
        <f>N139*O139*(1-Q139)</f>
        <v>19202.904000000002</v>
      </c>
      <c r="U139" s="7">
        <f t="shared" si="12"/>
        <v>3676.2840000000015</v>
      </c>
      <c r="V139">
        <v>3676.28</v>
      </c>
      <c r="W139" s="12">
        <f t="shared" si="13"/>
        <v>0.19144416906942829</v>
      </c>
      <c r="X139" t="s">
        <v>32</v>
      </c>
      <c r="Y139" t="str">
        <f t="shared" si="14"/>
        <v>Paid</v>
      </c>
      <c r="Z139" t="s">
        <v>33</v>
      </c>
      <c r="AA139">
        <f>C139-B139</f>
        <v>-264</v>
      </c>
      <c r="AB139" t="str">
        <f>IF(B139="","Missing Order Date",
IF(C139="","Missing Ship Date","OK"))</f>
        <v>OK</v>
      </c>
      <c r="AC139" s="7" t="str">
        <f>IF(C139&lt;B139, "Invalid", "Valid")</f>
        <v>Invalid</v>
      </c>
      <c r="AD139" s="7" t="str">
        <f>IF(COUNTIF($A:$A, A139)&gt;1, "Duplicate", "Unique")</f>
        <v>Unique</v>
      </c>
      <c r="AE139" s="7" t="str">
        <f>IF(G139="","Unknown",G139)</f>
        <v>North</v>
      </c>
      <c r="AF139" s="7" t="str">
        <f>IF(M139="","Unknown",M139)</f>
        <v>Same Day</v>
      </c>
      <c r="AG139" s="7" t="str">
        <f>IF(P139&lt;0,"Invalid",
IF(P139&gt;1,"Invalid","Valid"))</f>
        <v>Valid</v>
      </c>
      <c r="AH139" s="7" t="str">
        <f>TEXT(B139,"mmmm")</f>
        <v>September</v>
      </c>
      <c r="AI139" s="7">
        <f t="shared" si="15"/>
        <v>2025</v>
      </c>
      <c r="AJ139" s="7" t="str">
        <f>IF(OR(R139&lt;0,C139&lt;B139),"Invalid",
IF(OR(G139="Unknown",M139="Unknown"),"Warning","Clean"))</f>
        <v>Invalid</v>
      </c>
      <c r="AK139" s="7" t="str">
        <f>IF(C139&lt;B139,"Ship Before Order","OK")</f>
        <v>Ship Before Order</v>
      </c>
      <c r="AL139" s="7" t="str">
        <f>IF(ISNUMBER(B139),"Valid","Invalid")</f>
        <v>Valid</v>
      </c>
      <c r="AM139" s="7" t="str">
        <f t="shared" si="16"/>
        <v>Missmatched</v>
      </c>
      <c r="AN139" s="7" t="str">
        <f t="shared" si="17"/>
        <v>Missmatched</v>
      </c>
    </row>
    <row r="140" spans="1:40">
      <c r="A140" t="s">
        <v>524</v>
      </c>
      <c r="B140" s="6">
        <v>45311</v>
      </c>
      <c r="C140" s="4">
        <v>45638</v>
      </c>
      <c r="D140" t="s">
        <v>525</v>
      </c>
      <c r="E140" t="s">
        <v>162</v>
      </c>
      <c r="F140" t="s">
        <v>95</v>
      </c>
      <c r="G140" t="s">
        <v>38</v>
      </c>
      <c r="H140" t="s">
        <v>228</v>
      </c>
      <c r="I140" t="s">
        <v>229</v>
      </c>
      <c r="J140" t="s">
        <v>74</v>
      </c>
      <c r="K140" t="s">
        <v>274</v>
      </c>
      <c r="L140" t="s">
        <v>526</v>
      </c>
      <c r="M140" t="s">
        <v>59</v>
      </c>
      <c r="N140">
        <v>8</v>
      </c>
      <c r="O140">
        <v>4003.05</v>
      </c>
      <c r="P140">
        <v>0.25</v>
      </c>
      <c r="Q140" s="7">
        <f>IF(P140="", 0, P140)</f>
        <v>0.25</v>
      </c>
      <c r="R140">
        <v>24018.3</v>
      </c>
      <c r="S140">
        <v>14070.78</v>
      </c>
      <c r="T140" s="7">
        <f>N140*O140*(1-Q140)</f>
        <v>24018.300000000003</v>
      </c>
      <c r="U140" s="7">
        <f t="shared" si="12"/>
        <v>9947.5200000000023</v>
      </c>
      <c r="V140">
        <v>9947.52</v>
      </c>
      <c r="W140" s="12">
        <f t="shared" si="13"/>
        <v>0.41416419979765434</v>
      </c>
      <c r="X140" t="s">
        <v>32</v>
      </c>
      <c r="Y140" t="str">
        <f t="shared" si="14"/>
        <v>Paid</v>
      </c>
      <c r="Z140" t="s">
        <v>33</v>
      </c>
      <c r="AA140">
        <f>C140-B140</f>
        <v>327</v>
      </c>
      <c r="AB140" t="str">
        <f>IF(B140="","Missing Order Date",
IF(C140="","Missing Ship Date","OK"))</f>
        <v>OK</v>
      </c>
      <c r="AC140" s="7" t="str">
        <f>IF(C140&lt;B140, "Invalid", "Valid")</f>
        <v>Valid</v>
      </c>
      <c r="AD140" s="7" t="str">
        <f>IF(COUNTIF($A:$A, A140)&gt;1, "Duplicate", "Unique")</f>
        <v>Unique</v>
      </c>
      <c r="AE140" s="7" t="str">
        <f>IF(G140="","Unknown",G140)</f>
        <v>East</v>
      </c>
      <c r="AF140" s="7" t="str">
        <f>IF(M140="","Unknown",M140)</f>
        <v>Standard Class</v>
      </c>
      <c r="AG140" s="7" t="str">
        <f>IF(P140&lt;0,"Invalid",
IF(P140&gt;1,"Invalid","Valid"))</f>
        <v>Valid</v>
      </c>
      <c r="AH140" s="7" t="str">
        <f>TEXT(B140,"mmmm")</f>
        <v>January</v>
      </c>
      <c r="AI140" s="7">
        <f t="shared" si="15"/>
        <v>2024</v>
      </c>
      <c r="AJ140" s="7" t="str">
        <f>IF(OR(R140&lt;0,C140&lt;B140),"Invalid",
IF(OR(G140="Unknown",M140="Unknown"),"Warning","Clean"))</f>
        <v>Clean</v>
      </c>
      <c r="AK140" s="7" t="str">
        <f>IF(C140&lt;B140,"Ship Before Order","OK")</f>
        <v>OK</v>
      </c>
      <c r="AL140" s="7" t="str">
        <f>IF(ISNUMBER(B140),"Valid","Invalid")</f>
        <v>Valid</v>
      </c>
      <c r="AM140" s="7" t="str">
        <f t="shared" si="16"/>
        <v>Ok</v>
      </c>
      <c r="AN140" s="7" t="str">
        <f t="shared" si="17"/>
        <v>Ok</v>
      </c>
    </row>
    <row r="141" spans="1:40">
      <c r="A141" t="s">
        <v>527</v>
      </c>
      <c r="B141" s="6">
        <v>45691</v>
      </c>
      <c r="C141" s="4">
        <v>45639</v>
      </c>
      <c r="D141" t="s">
        <v>528</v>
      </c>
      <c r="E141" t="s">
        <v>79</v>
      </c>
      <c r="F141" t="s">
        <v>95</v>
      </c>
      <c r="G141" t="s">
        <v>54</v>
      </c>
      <c r="H141" t="s">
        <v>175</v>
      </c>
      <c r="I141" t="s">
        <v>176</v>
      </c>
      <c r="J141" t="s">
        <v>28</v>
      </c>
      <c r="K141" t="s">
        <v>91</v>
      </c>
      <c r="L141" t="s">
        <v>529</v>
      </c>
      <c r="M141" t="s">
        <v>59</v>
      </c>
      <c r="N141">
        <v>8</v>
      </c>
      <c r="O141">
        <v>1287.6300000000001</v>
      </c>
      <c r="P141">
        <v>0</v>
      </c>
      <c r="Q141" s="7">
        <f>IF(P141="", 0, P141)</f>
        <v>0</v>
      </c>
      <c r="R141">
        <v>10301.040000000001</v>
      </c>
      <c r="S141">
        <v>6564.06</v>
      </c>
      <c r="T141" s="7">
        <f>N141*O141*(1-Q141)</f>
        <v>10301.040000000001</v>
      </c>
      <c r="U141" s="7">
        <f t="shared" si="12"/>
        <v>3736.9800000000005</v>
      </c>
      <c r="V141">
        <v>3736.98</v>
      </c>
      <c r="W141" s="12">
        <f t="shared" si="13"/>
        <v>0.3627769623261341</v>
      </c>
      <c r="X141" t="s">
        <v>32</v>
      </c>
      <c r="Y141" t="str">
        <f t="shared" si="14"/>
        <v>Paid</v>
      </c>
      <c r="Z141" t="s">
        <v>33</v>
      </c>
      <c r="AA141">
        <f>C141-B141</f>
        <v>-52</v>
      </c>
      <c r="AB141" t="str">
        <f>IF(B141="","Missing Order Date",
IF(C141="","Missing Ship Date","OK"))</f>
        <v>OK</v>
      </c>
      <c r="AC141" s="7" t="str">
        <f>IF(C141&lt;B141, "Invalid", "Valid")</f>
        <v>Invalid</v>
      </c>
      <c r="AD141" s="7" t="str">
        <f>IF(COUNTIF($A:$A, A141)&gt;1, "Duplicate", "Unique")</f>
        <v>Unique</v>
      </c>
      <c r="AE141" s="7" t="str">
        <f>IF(G141="","Unknown",G141)</f>
        <v>South</v>
      </c>
      <c r="AF141" s="7" t="str">
        <f>IF(M141="","Unknown",M141)</f>
        <v>Standard Class</v>
      </c>
      <c r="AG141" s="7" t="str">
        <f>IF(P141&lt;0,"Invalid",
IF(P141&gt;1,"Invalid","Valid"))</f>
        <v>Valid</v>
      </c>
      <c r="AH141" s="7" t="str">
        <f>TEXT(B141,"mmmm")</f>
        <v>February</v>
      </c>
      <c r="AI141" s="7">
        <f t="shared" si="15"/>
        <v>2025</v>
      </c>
      <c r="AJ141" s="7" t="str">
        <f>IF(OR(R141&lt;0,C141&lt;B141),"Invalid",
IF(OR(G141="Unknown",M141="Unknown"),"Warning","Clean"))</f>
        <v>Invalid</v>
      </c>
      <c r="AK141" s="7" t="str">
        <f>IF(C141&lt;B141,"Ship Before Order","OK")</f>
        <v>Ship Before Order</v>
      </c>
      <c r="AL141" s="7" t="str">
        <f>IF(ISNUMBER(B141),"Valid","Invalid")</f>
        <v>Valid</v>
      </c>
      <c r="AM141" s="7" t="str">
        <f t="shared" si="16"/>
        <v>Ok</v>
      </c>
      <c r="AN141" s="7" t="str">
        <f t="shared" si="17"/>
        <v>Ok</v>
      </c>
    </row>
    <row r="142" spans="1:40">
      <c r="A142" t="s">
        <v>530</v>
      </c>
      <c r="B142" s="6">
        <v>45443</v>
      </c>
      <c r="C142" s="4">
        <v>45640</v>
      </c>
      <c r="D142" t="s">
        <v>531</v>
      </c>
      <c r="E142" t="s">
        <v>36</v>
      </c>
      <c r="F142" t="s">
        <v>90</v>
      </c>
      <c r="G142" t="s">
        <v>54</v>
      </c>
      <c r="H142" t="s">
        <v>175</v>
      </c>
      <c r="I142" t="s">
        <v>176</v>
      </c>
      <c r="J142" t="s">
        <v>41</v>
      </c>
      <c r="K142" t="s">
        <v>158</v>
      </c>
      <c r="L142" t="s">
        <v>532</v>
      </c>
      <c r="M142" t="s">
        <v>44</v>
      </c>
      <c r="N142">
        <v>3</v>
      </c>
      <c r="O142">
        <v>2914.55</v>
      </c>
      <c r="P142">
        <v>0</v>
      </c>
      <c r="Q142" s="7">
        <f>IF(P142="", 0, P142)</f>
        <v>0</v>
      </c>
      <c r="R142">
        <v>8743.65</v>
      </c>
      <c r="S142">
        <v>6603.76</v>
      </c>
      <c r="T142" s="7">
        <f>N142*O142*(1-Q142)</f>
        <v>8743.6500000000015</v>
      </c>
      <c r="U142" s="7">
        <f t="shared" si="12"/>
        <v>2139.8900000000012</v>
      </c>
      <c r="V142">
        <v>2139.89</v>
      </c>
      <c r="W142" s="12">
        <f t="shared" si="13"/>
        <v>0.24473646589239059</v>
      </c>
      <c r="X142" t="s">
        <v>32</v>
      </c>
      <c r="Y142" t="str">
        <f t="shared" si="14"/>
        <v>Paid</v>
      </c>
      <c r="Z142" t="s">
        <v>33</v>
      </c>
      <c r="AA142">
        <f>C142-B142</f>
        <v>197</v>
      </c>
      <c r="AB142" t="str">
        <f>IF(B142="","Missing Order Date",
IF(C142="","Missing Ship Date","OK"))</f>
        <v>OK</v>
      </c>
      <c r="AC142" s="7" t="str">
        <f>IF(C142&lt;B142, "Invalid", "Valid")</f>
        <v>Valid</v>
      </c>
      <c r="AD142" s="7" t="str">
        <f>IF(COUNTIF($A:$A, A142)&gt;1, "Duplicate", "Unique")</f>
        <v>Unique</v>
      </c>
      <c r="AE142" s="7" t="str">
        <f>IF(G142="","Unknown",G142)</f>
        <v>South</v>
      </c>
      <c r="AF142" s="7" t="str">
        <f>IF(M142="","Unknown",M142)</f>
        <v>Same Day</v>
      </c>
      <c r="AG142" s="7" t="str">
        <f>IF(P142&lt;0,"Invalid",
IF(P142&gt;1,"Invalid","Valid"))</f>
        <v>Valid</v>
      </c>
      <c r="AH142" s="7" t="str">
        <f>TEXT(B142,"mmmm")</f>
        <v>May</v>
      </c>
      <c r="AI142" s="7">
        <f t="shared" si="15"/>
        <v>2024</v>
      </c>
      <c r="AJ142" s="7" t="str">
        <f>IF(OR(R142&lt;0,C142&lt;B142),"Invalid",
IF(OR(G142="Unknown",M142="Unknown"),"Warning","Clean"))</f>
        <v>Clean</v>
      </c>
      <c r="AK142" s="7" t="str">
        <f>IF(C142&lt;B142,"Ship Before Order","OK")</f>
        <v>OK</v>
      </c>
      <c r="AL142" s="7" t="str">
        <f>IF(ISNUMBER(B142),"Valid","Invalid")</f>
        <v>Valid</v>
      </c>
      <c r="AM142" s="7" t="str">
        <f t="shared" si="16"/>
        <v>Ok</v>
      </c>
      <c r="AN142" s="7" t="str">
        <f t="shared" si="17"/>
        <v>Ok</v>
      </c>
    </row>
    <row r="143" spans="1:40">
      <c r="A143" t="s">
        <v>533</v>
      </c>
      <c r="B143" s="6">
        <v>45374</v>
      </c>
      <c r="C143" s="4">
        <v>45641</v>
      </c>
      <c r="D143" t="s">
        <v>534</v>
      </c>
      <c r="E143" t="s">
        <v>114</v>
      </c>
      <c r="F143" t="s">
        <v>90</v>
      </c>
      <c r="G143" t="s">
        <v>25</v>
      </c>
      <c r="H143" t="s">
        <v>350</v>
      </c>
      <c r="I143" t="s">
        <v>351</v>
      </c>
      <c r="J143" t="s">
        <v>41</v>
      </c>
      <c r="K143" t="s">
        <v>158</v>
      </c>
      <c r="L143" t="s">
        <v>535</v>
      </c>
      <c r="M143" t="s">
        <v>44</v>
      </c>
      <c r="N143">
        <v>7</v>
      </c>
      <c r="O143">
        <v>634.29</v>
      </c>
      <c r="P143">
        <v>0.1</v>
      </c>
      <c r="Q143" s="7">
        <f>IF(P143="", 0, P143)</f>
        <v>0.1</v>
      </c>
      <c r="R143">
        <v>3996.03</v>
      </c>
      <c r="S143">
        <v>2859.51</v>
      </c>
      <c r="T143" s="7">
        <f>N143*O143*(1-Q143)</f>
        <v>3996.027</v>
      </c>
      <c r="U143" s="7">
        <f t="shared" si="12"/>
        <v>1136.5169999999998</v>
      </c>
      <c r="V143">
        <v>1136.52</v>
      </c>
      <c r="W143" s="12">
        <f t="shared" si="13"/>
        <v>0.28441174196270441</v>
      </c>
      <c r="X143" t="s">
        <v>32</v>
      </c>
      <c r="Y143" t="str">
        <f t="shared" si="14"/>
        <v>Paid</v>
      </c>
      <c r="Z143" t="s">
        <v>103</v>
      </c>
      <c r="AA143">
        <f>C143-B143</f>
        <v>267</v>
      </c>
      <c r="AB143" t="str">
        <f>IF(B143="","Missing Order Date",
IF(C143="","Missing Ship Date","OK"))</f>
        <v>OK</v>
      </c>
      <c r="AC143" s="7" t="str">
        <f>IF(C143&lt;B143, "Invalid", "Valid")</f>
        <v>Valid</v>
      </c>
      <c r="AD143" s="7" t="str">
        <f>IF(COUNTIF($A:$A, A143)&gt;1, "Duplicate", "Unique")</f>
        <v>Unique</v>
      </c>
      <c r="AE143" s="7" t="str">
        <f>IF(G143="","Unknown",G143)</f>
        <v>North</v>
      </c>
      <c r="AF143" s="7" t="str">
        <f>IF(M143="","Unknown",M143)</f>
        <v>Same Day</v>
      </c>
      <c r="AG143" s="7" t="str">
        <f>IF(P143&lt;0,"Invalid",
IF(P143&gt;1,"Invalid","Valid"))</f>
        <v>Valid</v>
      </c>
      <c r="AH143" s="7" t="str">
        <f>TEXT(B143,"mmmm")</f>
        <v>March</v>
      </c>
      <c r="AI143" s="7">
        <f t="shared" si="15"/>
        <v>2024</v>
      </c>
      <c r="AJ143" s="7" t="str">
        <f>IF(OR(R143&lt;0,C143&lt;B143),"Invalid",
IF(OR(G143="Unknown",M143="Unknown"),"Warning","Clean"))</f>
        <v>Clean</v>
      </c>
      <c r="AK143" s="7" t="str">
        <f>IF(C143&lt;B143,"Ship Before Order","OK")</f>
        <v>OK</v>
      </c>
      <c r="AL143" s="7" t="str">
        <f>IF(ISNUMBER(B143),"Valid","Invalid")</f>
        <v>Valid</v>
      </c>
      <c r="AM143" s="7" t="str">
        <f t="shared" si="16"/>
        <v>Missmatched</v>
      </c>
      <c r="AN143" s="7" t="str">
        <f t="shared" si="17"/>
        <v>Missmatched</v>
      </c>
    </row>
    <row r="144" spans="1:40">
      <c r="A144" t="s">
        <v>536</v>
      </c>
      <c r="B144" s="6">
        <v>45381</v>
      </c>
      <c r="C144" s="4">
        <v>45642</v>
      </c>
      <c r="D144" t="s">
        <v>537</v>
      </c>
      <c r="E144" t="s">
        <v>89</v>
      </c>
      <c r="F144" t="s">
        <v>95</v>
      </c>
      <c r="G144" t="s">
        <v>25</v>
      </c>
      <c r="H144" t="s">
        <v>26</v>
      </c>
      <c r="I144" t="s">
        <v>27</v>
      </c>
      <c r="J144" t="s">
        <v>74</v>
      </c>
      <c r="K144" t="s">
        <v>171</v>
      </c>
      <c r="L144" t="s">
        <v>538</v>
      </c>
      <c r="M144" t="s">
        <v>31</v>
      </c>
      <c r="N144">
        <v>5</v>
      </c>
      <c r="O144">
        <v>907.54</v>
      </c>
      <c r="P144">
        <v>0.15</v>
      </c>
      <c r="Q144" s="7">
        <f>IF(P144="", 0, P144)</f>
        <v>0.15</v>
      </c>
      <c r="R144">
        <v>3857.04</v>
      </c>
      <c r="S144">
        <v>2769.26</v>
      </c>
      <c r="T144" s="7">
        <f>N144*O144*(1-Q144)</f>
        <v>3857.0449999999996</v>
      </c>
      <c r="U144" s="7">
        <f t="shared" si="12"/>
        <v>1087.7849999999994</v>
      </c>
      <c r="V144">
        <v>1087.78</v>
      </c>
      <c r="W144" s="12">
        <f t="shared" si="13"/>
        <v>0.28202548842442843</v>
      </c>
      <c r="X144" t="s">
        <v>32</v>
      </c>
      <c r="Y144" t="str">
        <f t="shared" si="14"/>
        <v>Paid</v>
      </c>
      <c r="Z144" t="s">
        <v>33</v>
      </c>
      <c r="AA144">
        <f>C144-B144</f>
        <v>261</v>
      </c>
      <c r="AB144" t="str">
        <f>IF(B144="","Missing Order Date",
IF(C144="","Missing Ship Date","OK"))</f>
        <v>OK</v>
      </c>
      <c r="AC144" s="7" t="str">
        <f>IF(C144&lt;B144, "Invalid", "Valid")</f>
        <v>Valid</v>
      </c>
      <c r="AD144" s="7" t="str">
        <f>IF(COUNTIF($A:$A, A144)&gt;1, "Duplicate", "Unique")</f>
        <v>Duplicate</v>
      </c>
      <c r="AE144" s="7" t="str">
        <f>IF(G144="","Unknown",G144)</f>
        <v>North</v>
      </c>
      <c r="AF144" s="7" t="str">
        <f>IF(M144="","Unknown",M144)</f>
        <v>Second Class</v>
      </c>
      <c r="AG144" s="7" t="str">
        <f>IF(P144&lt;0,"Invalid",
IF(P144&gt;1,"Invalid","Valid"))</f>
        <v>Valid</v>
      </c>
      <c r="AH144" s="7" t="str">
        <f>TEXT(B144,"mmmm")</f>
        <v>March</v>
      </c>
      <c r="AI144" s="7">
        <f t="shared" si="15"/>
        <v>2024</v>
      </c>
      <c r="AJ144" s="7" t="str">
        <f>IF(OR(R144&lt;0,C144&lt;B144),"Invalid",
IF(OR(G144="Unknown",M144="Unknown"),"Warning","Clean"))</f>
        <v>Clean</v>
      </c>
      <c r="AK144" s="7" t="str">
        <f>IF(C144&lt;B144,"Ship Before Order","OK")</f>
        <v>OK</v>
      </c>
      <c r="AL144" s="7" t="str">
        <f>IF(ISNUMBER(B144),"Valid","Invalid")</f>
        <v>Valid</v>
      </c>
      <c r="AM144" s="7" t="str">
        <f t="shared" si="16"/>
        <v>Missmatched</v>
      </c>
      <c r="AN144" s="7" t="str">
        <f t="shared" si="17"/>
        <v>Missmatched</v>
      </c>
    </row>
    <row r="145" spans="1:40">
      <c r="A145" t="s">
        <v>539</v>
      </c>
      <c r="B145" s="6">
        <v>45375</v>
      </c>
      <c r="C145" s="4">
        <v>45643</v>
      </c>
      <c r="D145" t="s">
        <v>540</v>
      </c>
      <c r="E145" t="s">
        <v>114</v>
      </c>
      <c r="F145" t="s">
        <v>24</v>
      </c>
      <c r="G145" t="s">
        <v>63</v>
      </c>
      <c r="H145" t="s">
        <v>180</v>
      </c>
      <c r="I145" t="s">
        <v>181</v>
      </c>
      <c r="J145" t="s">
        <v>28</v>
      </c>
      <c r="K145" t="s">
        <v>29</v>
      </c>
      <c r="L145" t="s">
        <v>541</v>
      </c>
      <c r="M145" t="s">
        <v>31</v>
      </c>
      <c r="N145">
        <v>1</v>
      </c>
      <c r="O145">
        <v>3409.5</v>
      </c>
      <c r="P145">
        <v>0.1</v>
      </c>
      <c r="Q145" s="7">
        <f>IF(P145="", 0, P145)</f>
        <v>0.1</v>
      </c>
      <c r="R145">
        <v>3068.55</v>
      </c>
      <c r="S145">
        <v>1916.16</v>
      </c>
      <c r="T145" s="7">
        <f>N145*O145*(1-Q145)</f>
        <v>3068.55</v>
      </c>
      <c r="U145" s="7">
        <f t="shared" si="12"/>
        <v>1152.3900000000001</v>
      </c>
      <c r="V145">
        <v>1152.3900000000001</v>
      </c>
      <c r="W145" s="12">
        <f t="shared" si="13"/>
        <v>0.3755487119323459</v>
      </c>
      <c r="X145" t="s">
        <v>32</v>
      </c>
      <c r="Y145" t="str">
        <f t="shared" si="14"/>
        <v>Paid</v>
      </c>
      <c r="Z145" t="s">
        <v>103</v>
      </c>
      <c r="AA145">
        <f>C145-B145</f>
        <v>268</v>
      </c>
      <c r="AB145" t="str">
        <f>IF(B145="","Missing Order Date",
IF(C145="","Missing Ship Date","OK"))</f>
        <v>OK</v>
      </c>
      <c r="AC145" s="7" t="str">
        <f>IF(C145&lt;B145, "Invalid", "Valid")</f>
        <v>Valid</v>
      </c>
      <c r="AD145" s="7" t="str">
        <f>IF(COUNTIF($A:$A, A145)&gt;1, "Duplicate", "Unique")</f>
        <v>Unique</v>
      </c>
      <c r="AE145" s="7" t="str">
        <f>IF(G145="","Unknown",G145)</f>
        <v>West</v>
      </c>
      <c r="AF145" s="7" t="str">
        <f>IF(M145="","Unknown",M145)</f>
        <v>Second Class</v>
      </c>
      <c r="AG145" s="7" t="str">
        <f>IF(P145&lt;0,"Invalid",
IF(P145&gt;1,"Invalid","Valid"))</f>
        <v>Valid</v>
      </c>
      <c r="AH145" s="7" t="str">
        <f>TEXT(B145,"mmmm")</f>
        <v>March</v>
      </c>
      <c r="AI145" s="7">
        <f t="shared" si="15"/>
        <v>2024</v>
      </c>
      <c r="AJ145" s="7" t="str">
        <f>IF(OR(R145&lt;0,C145&lt;B145),"Invalid",
IF(OR(G145="Unknown",M145="Unknown"),"Warning","Clean"))</f>
        <v>Clean</v>
      </c>
      <c r="AK145" s="7" t="str">
        <f>IF(C145&lt;B145,"Ship Before Order","OK")</f>
        <v>OK</v>
      </c>
      <c r="AL145" s="7" t="str">
        <f>IF(ISNUMBER(B145),"Valid","Invalid")</f>
        <v>Valid</v>
      </c>
      <c r="AM145" s="7" t="str">
        <f t="shared" si="16"/>
        <v>Ok</v>
      </c>
      <c r="AN145" s="7" t="str">
        <f t="shared" si="17"/>
        <v>Ok</v>
      </c>
    </row>
    <row r="146" spans="1:40">
      <c r="A146" t="s">
        <v>542</v>
      </c>
      <c r="B146" s="6">
        <v>45450</v>
      </c>
      <c r="C146" s="4">
        <v>45644</v>
      </c>
      <c r="D146" t="s">
        <v>543</v>
      </c>
      <c r="E146" t="s">
        <v>264</v>
      </c>
      <c r="F146" t="s">
        <v>37</v>
      </c>
      <c r="G146" t="s">
        <v>54</v>
      </c>
      <c r="H146" t="s">
        <v>55</v>
      </c>
      <c r="I146" t="s">
        <v>56</v>
      </c>
      <c r="J146" t="s">
        <v>74</v>
      </c>
      <c r="K146" t="s">
        <v>75</v>
      </c>
      <c r="L146" t="s">
        <v>544</v>
      </c>
      <c r="M146" t="s">
        <v>50</v>
      </c>
      <c r="N146">
        <v>7</v>
      </c>
      <c r="O146">
        <v>2147.9899999999998</v>
      </c>
      <c r="P146">
        <v>0.25</v>
      </c>
      <c r="Q146" s="7">
        <f>IF(P146="", 0, P146)</f>
        <v>0.25</v>
      </c>
      <c r="R146">
        <v>11276.95</v>
      </c>
      <c r="S146">
        <v>6908.76</v>
      </c>
      <c r="T146" s="7">
        <f>N146*O146*(1-Q146)</f>
        <v>11276.947499999998</v>
      </c>
      <c r="U146" s="7">
        <f t="shared" si="12"/>
        <v>4368.1874999999982</v>
      </c>
      <c r="V146">
        <v>4368.1899999999996</v>
      </c>
      <c r="W146" s="12">
        <f t="shared" si="13"/>
        <v>0.38735548782150481</v>
      </c>
      <c r="X146" t="s">
        <v>102</v>
      </c>
      <c r="Y146" t="str">
        <f t="shared" si="14"/>
        <v>Refunded</v>
      </c>
      <c r="Z146" t="s">
        <v>103</v>
      </c>
      <c r="AA146">
        <f>C146-B146</f>
        <v>194</v>
      </c>
      <c r="AB146" t="str">
        <f>IF(B146="","Missing Order Date",
IF(C146="","Missing Ship Date","OK"))</f>
        <v>OK</v>
      </c>
      <c r="AC146" s="7" t="str">
        <f>IF(C146&lt;B146, "Invalid", "Valid")</f>
        <v>Valid</v>
      </c>
      <c r="AD146" s="7" t="str">
        <f>IF(COUNTIF($A:$A, A146)&gt;1, "Duplicate", "Unique")</f>
        <v>Unique</v>
      </c>
      <c r="AE146" s="7" t="str">
        <f>IF(G146="","Unknown",G146)</f>
        <v>South</v>
      </c>
      <c r="AF146" s="7" t="str">
        <f>IF(M146="","Unknown",M146)</f>
        <v>First Class</v>
      </c>
      <c r="AG146" s="7" t="str">
        <f>IF(P146&lt;0,"Invalid",
IF(P146&gt;1,"Invalid","Valid"))</f>
        <v>Valid</v>
      </c>
      <c r="AH146" s="7" t="str">
        <f>TEXT(B146,"mmmm")</f>
        <v>June</v>
      </c>
      <c r="AI146" s="7">
        <f t="shared" si="15"/>
        <v>2024</v>
      </c>
      <c r="AJ146" s="7" t="str">
        <f>IF(OR(R146&lt;0,C146&lt;B146),"Invalid",
IF(OR(G146="Unknown",M146="Unknown"),"Warning","Clean"))</f>
        <v>Clean</v>
      </c>
      <c r="AK146" s="7" t="str">
        <f>IF(C146&lt;B146,"Ship Before Order","OK")</f>
        <v>OK</v>
      </c>
      <c r="AL146" s="7" t="str">
        <f>IF(ISNUMBER(B146),"Valid","Invalid")</f>
        <v>Valid</v>
      </c>
      <c r="AM146" s="7" t="str">
        <f t="shared" si="16"/>
        <v>Missmatched</v>
      </c>
      <c r="AN146" s="7" t="str">
        <f t="shared" si="17"/>
        <v>Missmatched</v>
      </c>
    </row>
    <row r="147" spans="1:40">
      <c r="A147" t="s">
        <v>545</v>
      </c>
      <c r="B147" s="6">
        <v>45758</v>
      </c>
      <c r="C147" s="4">
        <v>45645</v>
      </c>
      <c r="D147" t="s">
        <v>546</v>
      </c>
      <c r="E147" t="s">
        <v>36</v>
      </c>
      <c r="F147" t="s">
        <v>37</v>
      </c>
      <c r="G147" t="s">
        <v>63</v>
      </c>
      <c r="H147" t="s">
        <v>190</v>
      </c>
      <c r="I147" t="s">
        <v>191</v>
      </c>
      <c r="J147" t="s">
        <v>28</v>
      </c>
      <c r="K147" t="s">
        <v>29</v>
      </c>
      <c r="L147" t="s">
        <v>547</v>
      </c>
      <c r="M147" t="s">
        <v>59</v>
      </c>
      <c r="N147">
        <v>4</v>
      </c>
      <c r="O147">
        <v>4182.1499999999996</v>
      </c>
      <c r="P147">
        <v>0.1</v>
      </c>
      <c r="Q147" s="7">
        <f>IF(P147="", 0, P147)</f>
        <v>0.1</v>
      </c>
      <c r="R147">
        <v>15055.74</v>
      </c>
      <c r="S147">
        <v>9808.83</v>
      </c>
      <c r="T147" s="7">
        <f>N147*O147*(1-Q147)</f>
        <v>15055.74</v>
      </c>
      <c r="U147" s="7">
        <f t="shared" si="12"/>
        <v>5246.91</v>
      </c>
      <c r="V147">
        <v>5246.91</v>
      </c>
      <c r="W147" s="12">
        <f t="shared" si="13"/>
        <v>0.34849897779850075</v>
      </c>
      <c r="X147" t="s">
        <v>32</v>
      </c>
      <c r="Y147" t="str">
        <f t="shared" si="14"/>
        <v>Paid</v>
      </c>
      <c r="Z147" t="s">
        <v>33</v>
      </c>
      <c r="AA147">
        <f>C147-B147</f>
        <v>-113</v>
      </c>
      <c r="AB147" t="str">
        <f>IF(B147="","Missing Order Date",
IF(C147="","Missing Ship Date","OK"))</f>
        <v>OK</v>
      </c>
      <c r="AC147" s="7" t="str">
        <f>IF(C147&lt;B147, "Invalid", "Valid")</f>
        <v>Invalid</v>
      </c>
      <c r="AD147" s="7" t="str">
        <f>IF(COUNTIF($A:$A, A147)&gt;1, "Duplicate", "Unique")</f>
        <v>Unique</v>
      </c>
      <c r="AE147" s="7" t="str">
        <f>IF(G147="","Unknown",G147)</f>
        <v>West</v>
      </c>
      <c r="AF147" s="7" t="str">
        <f>IF(M147="","Unknown",M147)</f>
        <v>Standard Class</v>
      </c>
      <c r="AG147" s="7" t="str">
        <f>IF(P147&lt;0,"Invalid",
IF(P147&gt;1,"Invalid","Valid"))</f>
        <v>Valid</v>
      </c>
      <c r="AH147" s="7" t="str">
        <f>TEXT(B147,"mmmm")</f>
        <v>April</v>
      </c>
      <c r="AI147" s="7">
        <f t="shared" si="15"/>
        <v>2025</v>
      </c>
      <c r="AJ147" s="7" t="str">
        <f>IF(OR(R147&lt;0,C147&lt;B147),"Invalid",
IF(OR(G147="Unknown",M147="Unknown"),"Warning","Clean"))</f>
        <v>Invalid</v>
      </c>
      <c r="AK147" s="7" t="str">
        <f>IF(C147&lt;B147,"Ship Before Order","OK")</f>
        <v>Ship Before Order</v>
      </c>
      <c r="AL147" s="7" t="str">
        <f>IF(ISNUMBER(B147),"Valid","Invalid")</f>
        <v>Valid</v>
      </c>
      <c r="AM147" s="7" t="str">
        <f t="shared" si="16"/>
        <v>Ok</v>
      </c>
      <c r="AN147" s="7" t="str">
        <f t="shared" si="17"/>
        <v>Ok</v>
      </c>
    </row>
    <row r="148" spans="1:40">
      <c r="A148" t="s">
        <v>548</v>
      </c>
      <c r="B148" s="6">
        <v>45868</v>
      </c>
      <c r="C148" s="4">
        <v>45646</v>
      </c>
      <c r="D148" t="s">
        <v>549</v>
      </c>
      <c r="E148" t="s">
        <v>132</v>
      </c>
      <c r="F148" t="s">
        <v>37</v>
      </c>
      <c r="G148" t="s">
        <v>54</v>
      </c>
      <c r="H148" t="s">
        <v>247</v>
      </c>
      <c r="I148" t="s">
        <v>248</v>
      </c>
      <c r="J148" t="s">
        <v>28</v>
      </c>
      <c r="K148" t="s">
        <v>124</v>
      </c>
      <c r="L148" t="s">
        <v>550</v>
      </c>
      <c r="M148" t="s">
        <v>44</v>
      </c>
      <c r="N148">
        <v>9</v>
      </c>
      <c r="O148">
        <v>3165.43</v>
      </c>
      <c r="P148">
        <v>0.1</v>
      </c>
      <c r="Q148" s="7">
        <f>IF(P148="", 0, P148)</f>
        <v>0.1</v>
      </c>
      <c r="R148">
        <v>25639.98</v>
      </c>
      <c r="S148">
        <v>21635.08</v>
      </c>
      <c r="T148" s="7">
        <f>N148*O148*(1-Q148)</f>
        <v>25639.983</v>
      </c>
      <c r="U148" s="7">
        <f t="shared" si="12"/>
        <v>4004.9029999999984</v>
      </c>
      <c r="V148">
        <v>4004.9</v>
      </c>
      <c r="W148" s="12">
        <f t="shared" si="13"/>
        <v>0.1561975684617263</v>
      </c>
      <c r="X148" t="s">
        <v>32</v>
      </c>
      <c r="Y148" t="str">
        <f t="shared" si="14"/>
        <v>Paid</v>
      </c>
      <c r="Z148" t="s">
        <v>33</v>
      </c>
      <c r="AA148">
        <f>C148-B148</f>
        <v>-222</v>
      </c>
      <c r="AB148" t="str">
        <f>IF(B148="","Missing Order Date",
IF(C148="","Missing Ship Date","OK"))</f>
        <v>OK</v>
      </c>
      <c r="AC148" s="7" t="str">
        <f>IF(C148&lt;B148, "Invalid", "Valid")</f>
        <v>Invalid</v>
      </c>
      <c r="AD148" s="7" t="str">
        <f>IF(COUNTIF($A:$A, A148)&gt;1, "Duplicate", "Unique")</f>
        <v>Unique</v>
      </c>
      <c r="AE148" s="7" t="str">
        <f>IF(G148="","Unknown",G148)</f>
        <v>South</v>
      </c>
      <c r="AF148" s="7" t="str">
        <f>IF(M148="","Unknown",M148)</f>
        <v>Same Day</v>
      </c>
      <c r="AG148" s="7" t="str">
        <f>IF(P148&lt;0,"Invalid",
IF(P148&gt;1,"Invalid","Valid"))</f>
        <v>Valid</v>
      </c>
      <c r="AH148" s="7" t="str">
        <f>TEXT(B148,"mmmm")</f>
        <v>July</v>
      </c>
      <c r="AI148" s="7">
        <f t="shared" si="15"/>
        <v>2025</v>
      </c>
      <c r="AJ148" s="7" t="str">
        <f>IF(OR(R148&lt;0,C148&lt;B148),"Invalid",
IF(OR(G148="Unknown",M148="Unknown"),"Warning","Clean"))</f>
        <v>Invalid</v>
      </c>
      <c r="AK148" s="7" t="str">
        <f>IF(C148&lt;B148,"Ship Before Order","OK")</f>
        <v>Ship Before Order</v>
      </c>
      <c r="AL148" s="7" t="str">
        <f>IF(ISNUMBER(B148),"Valid","Invalid")</f>
        <v>Valid</v>
      </c>
      <c r="AM148" s="7" t="str">
        <f t="shared" si="16"/>
        <v>Missmatched</v>
      </c>
      <c r="AN148" s="7" t="str">
        <f t="shared" si="17"/>
        <v>Missmatched</v>
      </c>
    </row>
    <row r="149" spans="1:40">
      <c r="A149" t="s">
        <v>551</v>
      </c>
      <c r="B149" s="6">
        <v>45649</v>
      </c>
      <c r="C149" s="4">
        <v>45647</v>
      </c>
      <c r="D149" t="s">
        <v>552</v>
      </c>
      <c r="E149" t="s">
        <v>114</v>
      </c>
      <c r="F149" t="s">
        <v>95</v>
      </c>
      <c r="G149" t="s">
        <v>63</v>
      </c>
      <c r="H149" t="s">
        <v>190</v>
      </c>
      <c r="I149" t="s">
        <v>191</v>
      </c>
      <c r="J149" t="s">
        <v>41</v>
      </c>
      <c r="K149" t="s">
        <v>57</v>
      </c>
      <c r="L149" t="s">
        <v>553</v>
      </c>
      <c r="M149" t="s">
        <v>50</v>
      </c>
      <c r="N149">
        <v>8</v>
      </c>
      <c r="O149">
        <v>386.1</v>
      </c>
      <c r="P149">
        <v>0.1</v>
      </c>
      <c r="Q149" s="7">
        <f>IF(P149="", 0, P149)</f>
        <v>0.1</v>
      </c>
      <c r="R149">
        <v>2779.92</v>
      </c>
      <c r="S149">
        <v>1744.05</v>
      </c>
      <c r="T149" s="7">
        <f>N149*O149*(1-Q149)</f>
        <v>2779.92</v>
      </c>
      <c r="U149" s="7">
        <f t="shared" si="12"/>
        <v>1035.8700000000001</v>
      </c>
      <c r="V149">
        <v>1035.8699999999999</v>
      </c>
      <c r="W149" s="12">
        <f t="shared" si="13"/>
        <v>0.37262583095916435</v>
      </c>
      <c r="X149" t="s">
        <v>32</v>
      </c>
      <c r="Y149" t="str">
        <f t="shared" si="14"/>
        <v>Paid</v>
      </c>
      <c r="Z149" t="s">
        <v>33</v>
      </c>
      <c r="AA149">
        <f>C149-B149</f>
        <v>-2</v>
      </c>
      <c r="AB149" t="str">
        <f>IF(B149="","Missing Order Date",
IF(C149="","Missing Ship Date","OK"))</f>
        <v>OK</v>
      </c>
      <c r="AC149" s="7" t="str">
        <f>IF(C149&lt;B149, "Invalid", "Valid")</f>
        <v>Invalid</v>
      </c>
      <c r="AD149" s="7" t="str">
        <f>IF(COUNTIF($A:$A, A149)&gt;1, "Duplicate", "Unique")</f>
        <v>Unique</v>
      </c>
      <c r="AE149" s="7" t="str">
        <f>IF(G149="","Unknown",G149)</f>
        <v>West</v>
      </c>
      <c r="AF149" s="7" t="str">
        <f>IF(M149="","Unknown",M149)</f>
        <v>First Class</v>
      </c>
      <c r="AG149" s="7" t="str">
        <f>IF(P149&lt;0,"Invalid",
IF(P149&gt;1,"Invalid","Valid"))</f>
        <v>Valid</v>
      </c>
      <c r="AH149" s="7" t="str">
        <f>TEXT(B149,"mmmm")</f>
        <v>December</v>
      </c>
      <c r="AI149" s="7">
        <f t="shared" si="15"/>
        <v>2024</v>
      </c>
      <c r="AJ149" s="7" t="str">
        <f>IF(OR(R149&lt;0,C149&lt;B149),"Invalid",
IF(OR(G149="Unknown",M149="Unknown"),"Warning","Clean"))</f>
        <v>Invalid</v>
      </c>
      <c r="AK149" s="7" t="str">
        <f>IF(C149&lt;B149,"Ship Before Order","OK")</f>
        <v>Ship Before Order</v>
      </c>
      <c r="AL149" s="7" t="str">
        <f>IF(ISNUMBER(B149),"Valid","Invalid")</f>
        <v>Valid</v>
      </c>
      <c r="AM149" s="7" t="str">
        <f t="shared" si="16"/>
        <v>Ok</v>
      </c>
      <c r="AN149" s="7" t="str">
        <f t="shared" si="17"/>
        <v>Ok</v>
      </c>
    </row>
    <row r="150" spans="1:40">
      <c r="A150" t="s">
        <v>554</v>
      </c>
      <c r="B150" s="6">
        <v>45902</v>
      </c>
      <c r="C150" s="4">
        <v>45648</v>
      </c>
      <c r="D150" t="s">
        <v>555</v>
      </c>
      <c r="E150" t="s">
        <v>36</v>
      </c>
      <c r="F150" t="s">
        <v>95</v>
      </c>
      <c r="G150" t="s">
        <v>63</v>
      </c>
      <c r="H150" t="s">
        <v>72</v>
      </c>
      <c r="I150" t="s">
        <v>73</v>
      </c>
      <c r="J150" t="s">
        <v>74</v>
      </c>
      <c r="K150" t="s">
        <v>171</v>
      </c>
      <c r="L150" t="s">
        <v>556</v>
      </c>
      <c r="M150" t="s">
        <v>2785</v>
      </c>
      <c r="N150">
        <v>8</v>
      </c>
      <c r="O150">
        <v>1696.07</v>
      </c>
      <c r="P150">
        <v>0.25</v>
      </c>
      <c r="Q150" s="7">
        <f>IF(P150="", 0, P150)</f>
        <v>0.25</v>
      </c>
      <c r="R150">
        <v>10176.42</v>
      </c>
      <c r="S150">
        <v>7604.47</v>
      </c>
      <c r="T150" s="7">
        <f>N150*O150*(1-Q150)</f>
        <v>10176.42</v>
      </c>
      <c r="U150" s="7">
        <f t="shared" si="12"/>
        <v>2571.9499999999998</v>
      </c>
      <c r="V150">
        <v>2571.9499999999998</v>
      </c>
      <c r="W150" s="12">
        <f t="shared" si="13"/>
        <v>0.252736227474888</v>
      </c>
      <c r="X150" t="s">
        <v>32</v>
      </c>
      <c r="Y150" t="str">
        <f t="shared" si="14"/>
        <v>Paid</v>
      </c>
      <c r="Z150" t="s">
        <v>33</v>
      </c>
      <c r="AA150">
        <f>C150-B150</f>
        <v>-254</v>
      </c>
      <c r="AB150" t="str">
        <f>IF(B150="","Missing Order Date",
IF(C150="","Missing Ship Date","OK"))</f>
        <v>OK</v>
      </c>
      <c r="AC150" s="7" t="str">
        <f>IF(C150&lt;B150, "Invalid", "Valid")</f>
        <v>Invalid</v>
      </c>
      <c r="AD150" s="7" t="str">
        <f>IF(COUNTIF($A:$A, A150)&gt;1, "Duplicate", "Unique")</f>
        <v>Unique</v>
      </c>
      <c r="AE150" s="7" t="str">
        <f>IF(G150="","Unknown",G150)</f>
        <v>West</v>
      </c>
      <c r="AF150" s="7" t="str">
        <f>IF(M150="","Unknown",M150)</f>
        <v>Unknown</v>
      </c>
      <c r="AG150" s="7" t="str">
        <f>IF(P150&lt;0,"Invalid",
IF(P150&gt;1,"Invalid","Valid"))</f>
        <v>Valid</v>
      </c>
      <c r="AH150" s="7" t="str">
        <f>TEXT(B150,"mmmm")</f>
        <v>September</v>
      </c>
      <c r="AI150" s="7">
        <f t="shared" si="15"/>
        <v>2025</v>
      </c>
      <c r="AJ150" s="7" t="str">
        <f>IF(OR(R150&lt;0,C150&lt;B150),"Invalid",
IF(OR(G150="Unknown",M150="Unknown"),"Warning","Clean"))</f>
        <v>Invalid</v>
      </c>
      <c r="AK150" s="7" t="str">
        <f>IF(C150&lt;B150,"Ship Before Order","OK")</f>
        <v>Ship Before Order</v>
      </c>
      <c r="AL150" s="7" t="str">
        <f>IF(ISNUMBER(B150),"Valid","Invalid")</f>
        <v>Valid</v>
      </c>
      <c r="AM150" s="7" t="str">
        <f t="shared" si="16"/>
        <v>Ok</v>
      </c>
      <c r="AN150" s="7" t="str">
        <f t="shared" si="17"/>
        <v>Ok</v>
      </c>
    </row>
    <row r="151" spans="1:40">
      <c r="A151" t="s">
        <v>557</v>
      </c>
      <c r="B151" s="6">
        <v>45321</v>
      </c>
      <c r="C151" s="4">
        <v>45649</v>
      </c>
      <c r="D151" t="s">
        <v>558</v>
      </c>
      <c r="E151" t="s">
        <v>128</v>
      </c>
      <c r="F151" t="s">
        <v>37</v>
      </c>
      <c r="G151" t="s">
        <v>63</v>
      </c>
      <c r="H151" t="s">
        <v>26</v>
      </c>
      <c r="I151" t="s">
        <v>109</v>
      </c>
      <c r="J151" t="s">
        <v>74</v>
      </c>
      <c r="K151" t="s">
        <v>80</v>
      </c>
      <c r="L151" t="s">
        <v>559</v>
      </c>
      <c r="M151" t="s">
        <v>44</v>
      </c>
      <c r="N151">
        <v>7</v>
      </c>
      <c r="O151">
        <v>2527.61</v>
      </c>
      <c r="P151">
        <v>0.25</v>
      </c>
      <c r="Q151" s="7">
        <f>IF(P151="", 0, P151)</f>
        <v>0.25</v>
      </c>
      <c r="R151">
        <v>13269.95</v>
      </c>
      <c r="S151">
        <v>8977.1</v>
      </c>
      <c r="T151" s="7">
        <f>N151*O151*(1-Q151)</f>
        <v>13269.952499999999</v>
      </c>
      <c r="U151" s="7">
        <f t="shared" si="12"/>
        <v>4292.8524999999991</v>
      </c>
      <c r="V151">
        <v>4292.8500000000004</v>
      </c>
      <c r="W151" s="12">
        <f t="shared" si="13"/>
        <v>0.32350172315989822</v>
      </c>
      <c r="X151" t="s">
        <v>32</v>
      </c>
      <c r="Y151" t="str">
        <f t="shared" si="14"/>
        <v>Paid</v>
      </c>
      <c r="Z151" t="s">
        <v>33</v>
      </c>
      <c r="AA151">
        <f>C151-B151</f>
        <v>328</v>
      </c>
      <c r="AB151" t="str">
        <f>IF(B151="","Missing Order Date",
IF(C151="","Missing Ship Date","OK"))</f>
        <v>OK</v>
      </c>
      <c r="AC151" s="7" t="str">
        <f>IF(C151&lt;B151, "Invalid", "Valid")</f>
        <v>Valid</v>
      </c>
      <c r="AD151" s="7" t="str">
        <f>IF(COUNTIF($A:$A, A151)&gt;1, "Duplicate", "Unique")</f>
        <v>Unique</v>
      </c>
      <c r="AE151" s="7" t="str">
        <f>IF(G151="","Unknown",G151)</f>
        <v>West</v>
      </c>
      <c r="AF151" s="7" t="str">
        <f>IF(M151="","Unknown",M151)</f>
        <v>Same Day</v>
      </c>
      <c r="AG151" s="7" t="str">
        <f>IF(P151&lt;0,"Invalid",
IF(P151&gt;1,"Invalid","Valid"))</f>
        <v>Valid</v>
      </c>
      <c r="AH151" s="7" t="str">
        <f>TEXT(B151,"mmmm")</f>
        <v>January</v>
      </c>
      <c r="AI151" s="7">
        <f t="shared" si="15"/>
        <v>2024</v>
      </c>
      <c r="AJ151" s="7" t="str">
        <f>IF(OR(R151&lt;0,C151&lt;B151),"Invalid",
IF(OR(G151="Unknown",M151="Unknown"),"Warning","Clean"))</f>
        <v>Clean</v>
      </c>
      <c r="AK151" s="7" t="str">
        <f>IF(C151&lt;B151,"Ship Before Order","OK")</f>
        <v>OK</v>
      </c>
      <c r="AL151" s="7" t="str">
        <f>IF(ISNUMBER(B151),"Valid","Invalid")</f>
        <v>Valid</v>
      </c>
      <c r="AM151" s="7" t="str">
        <f t="shared" si="16"/>
        <v>Missmatched</v>
      </c>
      <c r="AN151" s="7" t="str">
        <f t="shared" si="17"/>
        <v>Missmatched</v>
      </c>
    </row>
    <row r="152" spans="1:40">
      <c r="A152" t="s">
        <v>560</v>
      </c>
      <c r="B152" s="6">
        <v>45355</v>
      </c>
      <c r="C152" s="4">
        <v>45650</v>
      </c>
      <c r="D152" t="s">
        <v>561</v>
      </c>
      <c r="E152" t="s">
        <v>53</v>
      </c>
      <c r="F152" t="s">
        <v>24</v>
      </c>
      <c r="G152" t="s">
        <v>2785</v>
      </c>
      <c r="H152" t="s">
        <v>180</v>
      </c>
      <c r="I152" t="s">
        <v>181</v>
      </c>
      <c r="J152" t="s">
        <v>41</v>
      </c>
      <c r="K152" t="s">
        <v>158</v>
      </c>
      <c r="L152" t="s">
        <v>562</v>
      </c>
      <c r="M152" t="s">
        <v>50</v>
      </c>
      <c r="N152">
        <v>1</v>
      </c>
      <c r="O152">
        <v>1554.12</v>
      </c>
      <c r="P152">
        <v>0.1</v>
      </c>
      <c r="Q152" s="7">
        <f>IF(P152="", 0, P152)</f>
        <v>0.1</v>
      </c>
      <c r="R152">
        <v>1398.71</v>
      </c>
      <c r="S152">
        <v>1056.92</v>
      </c>
      <c r="T152" s="7">
        <f>N152*O152*(1-Q152)</f>
        <v>1398.7079999999999</v>
      </c>
      <c r="U152" s="7">
        <f t="shared" si="12"/>
        <v>341.78799999999978</v>
      </c>
      <c r="V152">
        <v>341.79</v>
      </c>
      <c r="W152" s="12">
        <f t="shared" si="13"/>
        <v>0.24435979489643286</v>
      </c>
      <c r="X152" t="s">
        <v>32</v>
      </c>
      <c r="Y152" t="str">
        <f t="shared" si="14"/>
        <v>Paid</v>
      </c>
      <c r="Z152" t="s">
        <v>33</v>
      </c>
      <c r="AA152">
        <f>C152-B152</f>
        <v>295</v>
      </c>
      <c r="AB152" t="str">
        <f>IF(B152="","Missing Order Date",
IF(C152="","Missing Ship Date","OK"))</f>
        <v>OK</v>
      </c>
      <c r="AC152" s="7" t="str">
        <f>IF(C152&lt;B152, "Invalid", "Valid")</f>
        <v>Valid</v>
      </c>
      <c r="AD152" s="7" t="str">
        <f>IF(COUNTIF($A:$A, A152)&gt;1, "Duplicate", "Unique")</f>
        <v>Unique</v>
      </c>
      <c r="AE152" s="7" t="str">
        <f>IF(G152="","Unknown",G152)</f>
        <v>Unknown</v>
      </c>
      <c r="AF152" s="7" t="str">
        <f>IF(M152="","Unknown",M152)</f>
        <v>First Class</v>
      </c>
      <c r="AG152" s="7" t="str">
        <f>IF(P152&lt;0,"Invalid",
IF(P152&gt;1,"Invalid","Valid"))</f>
        <v>Valid</v>
      </c>
      <c r="AH152" s="7" t="str">
        <f>TEXT(B152,"mmmm")</f>
        <v>March</v>
      </c>
      <c r="AI152" s="7">
        <f t="shared" si="15"/>
        <v>2024</v>
      </c>
      <c r="AJ152" s="7" t="str">
        <f>IF(OR(R152&lt;0,C152&lt;B152),"Invalid",
IF(OR(G152="Unknown",M152="Unknown"),"Warning","Clean"))</f>
        <v>Clean</v>
      </c>
      <c r="AK152" s="7" t="str">
        <f>IF(C152&lt;B152,"Ship Before Order","OK")</f>
        <v>OK</v>
      </c>
      <c r="AL152" s="7" t="str">
        <f>IF(ISNUMBER(B152),"Valid","Invalid")</f>
        <v>Valid</v>
      </c>
      <c r="AM152" s="7" t="str">
        <f t="shared" si="16"/>
        <v>Missmatched</v>
      </c>
      <c r="AN152" s="7" t="str">
        <f t="shared" si="17"/>
        <v>Missmatched</v>
      </c>
    </row>
    <row r="153" spans="1:40">
      <c r="A153" t="s">
        <v>563</v>
      </c>
      <c r="B153" s="6">
        <v>45470</v>
      </c>
      <c r="C153" s="4">
        <v>45651</v>
      </c>
      <c r="D153" t="s">
        <v>564</v>
      </c>
      <c r="E153" t="s">
        <v>79</v>
      </c>
      <c r="F153" t="s">
        <v>95</v>
      </c>
      <c r="G153" t="s">
        <v>2785</v>
      </c>
      <c r="H153" t="s">
        <v>72</v>
      </c>
      <c r="I153" t="s">
        <v>73</v>
      </c>
      <c r="J153" t="s">
        <v>74</v>
      </c>
      <c r="K153" t="s">
        <v>80</v>
      </c>
      <c r="L153" t="s">
        <v>565</v>
      </c>
      <c r="M153" t="s">
        <v>59</v>
      </c>
      <c r="N153">
        <v>2</v>
      </c>
      <c r="O153">
        <v>3859.11</v>
      </c>
      <c r="P153">
        <v>0</v>
      </c>
      <c r="Q153" s="7">
        <f>IF(P153="", 0, P153)</f>
        <v>0</v>
      </c>
      <c r="R153">
        <v>7718.22</v>
      </c>
      <c r="S153">
        <v>5355.93</v>
      </c>
      <c r="T153" s="7">
        <f>N153*O153*(1-Q153)</f>
        <v>7718.22</v>
      </c>
      <c r="U153" s="7">
        <f t="shared" si="12"/>
        <v>2362.29</v>
      </c>
      <c r="V153">
        <v>2362.29</v>
      </c>
      <c r="W153" s="12">
        <f t="shared" si="13"/>
        <v>0.30606668376905555</v>
      </c>
      <c r="X153" t="s">
        <v>111</v>
      </c>
      <c r="Y153" t="str">
        <f t="shared" si="14"/>
        <v>Pending</v>
      </c>
      <c r="Z153" t="s">
        <v>103</v>
      </c>
      <c r="AA153">
        <f>C153-B153</f>
        <v>181</v>
      </c>
      <c r="AB153" t="str">
        <f>IF(B153="","Missing Order Date",
IF(C153="","Missing Ship Date","OK"))</f>
        <v>OK</v>
      </c>
      <c r="AC153" s="7" t="str">
        <f>IF(C153&lt;B153, "Invalid", "Valid")</f>
        <v>Valid</v>
      </c>
      <c r="AD153" s="7" t="str">
        <f>IF(COUNTIF($A:$A, A153)&gt;1, "Duplicate", "Unique")</f>
        <v>Unique</v>
      </c>
      <c r="AE153" s="7" t="str">
        <f>IF(G153="","Unknown",G153)</f>
        <v>Unknown</v>
      </c>
      <c r="AF153" s="7" t="str">
        <f>IF(M153="","Unknown",M153)</f>
        <v>Standard Class</v>
      </c>
      <c r="AG153" s="7" t="str">
        <f>IF(P153&lt;0,"Invalid",
IF(P153&gt;1,"Invalid","Valid"))</f>
        <v>Valid</v>
      </c>
      <c r="AH153" s="7" t="str">
        <f>TEXT(B153,"mmmm")</f>
        <v>June</v>
      </c>
      <c r="AI153" s="7">
        <f t="shared" si="15"/>
        <v>2024</v>
      </c>
      <c r="AJ153" s="7" t="str">
        <f>IF(OR(R153&lt;0,C153&lt;B153),"Invalid",
IF(OR(G153="Unknown",M153="Unknown"),"Warning","Clean"))</f>
        <v>Clean</v>
      </c>
      <c r="AK153" s="7" t="str">
        <f>IF(C153&lt;B153,"Ship Before Order","OK")</f>
        <v>OK</v>
      </c>
      <c r="AL153" s="7" t="str">
        <f>IF(ISNUMBER(B153),"Valid","Invalid")</f>
        <v>Valid</v>
      </c>
      <c r="AM153" s="7" t="str">
        <f t="shared" si="16"/>
        <v>Ok</v>
      </c>
      <c r="AN153" s="7" t="str">
        <f t="shared" si="17"/>
        <v>Ok</v>
      </c>
    </row>
    <row r="154" spans="1:40">
      <c r="A154" t="s">
        <v>566</v>
      </c>
      <c r="B154" s="6">
        <v>45457</v>
      </c>
      <c r="C154" s="4">
        <v>45652</v>
      </c>
      <c r="D154" t="s">
        <v>567</v>
      </c>
      <c r="E154" t="s">
        <v>264</v>
      </c>
      <c r="F154" t="s">
        <v>37</v>
      </c>
      <c r="G154" t="s">
        <v>54</v>
      </c>
      <c r="H154" t="s">
        <v>185</v>
      </c>
      <c r="I154" t="s">
        <v>186</v>
      </c>
      <c r="J154" t="s">
        <v>41</v>
      </c>
      <c r="K154" t="s">
        <v>42</v>
      </c>
      <c r="L154" t="s">
        <v>568</v>
      </c>
      <c r="M154" t="s">
        <v>31</v>
      </c>
      <c r="N154">
        <v>6</v>
      </c>
      <c r="O154">
        <v>1088.04</v>
      </c>
      <c r="P154">
        <v>0.1</v>
      </c>
      <c r="Q154" s="7">
        <f>IF(P154="", 0, P154)</f>
        <v>0.1</v>
      </c>
      <c r="R154">
        <v>5875.42</v>
      </c>
      <c r="S154">
        <v>4380.55</v>
      </c>
      <c r="T154" s="7">
        <f>N154*O154*(1-Q154)</f>
        <v>5875.4160000000002</v>
      </c>
      <c r="U154" s="7">
        <f t="shared" si="12"/>
        <v>1494.866</v>
      </c>
      <c r="V154">
        <v>1494.87</v>
      </c>
      <c r="W154" s="12">
        <f t="shared" si="13"/>
        <v>0.25442726098032886</v>
      </c>
      <c r="X154" t="s">
        <v>111</v>
      </c>
      <c r="Y154" t="str">
        <f t="shared" si="14"/>
        <v>Pending</v>
      </c>
      <c r="Z154" t="s">
        <v>103</v>
      </c>
      <c r="AA154">
        <f>C154-B154</f>
        <v>195</v>
      </c>
      <c r="AB154" t="str">
        <f>IF(B154="","Missing Order Date",
IF(C154="","Missing Ship Date","OK"))</f>
        <v>OK</v>
      </c>
      <c r="AC154" s="7" t="str">
        <f>IF(C154&lt;B154, "Invalid", "Valid")</f>
        <v>Valid</v>
      </c>
      <c r="AD154" s="7" t="str">
        <f>IF(COUNTIF($A:$A, A154)&gt;1, "Duplicate", "Unique")</f>
        <v>Unique</v>
      </c>
      <c r="AE154" s="7" t="str">
        <f>IF(G154="","Unknown",G154)</f>
        <v>South</v>
      </c>
      <c r="AF154" s="7" t="str">
        <f>IF(M154="","Unknown",M154)</f>
        <v>Second Class</v>
      </c>
      <c r="AG154" s="7" t="str">
        <f>IF(P154&lt;0,"Invalid",
IF(P154&gt;1,"Invalid","Valid"))</f>
        <v>Valid</v>
      </c>
      <c r="AH154" s="7" t="str">
        <f>TEXT(B154,"mmmm")</f>
        <v>June</v>
      </c>
      <c r="AI154" s="7">
        <f t="shared" si="15"/>
        <v>2024</v>
      </c>
      <c r="AJ154" s="7" t="str">
        <f>IF(OR(R154&lt;0,C154&lt;B154),"Invalid",
IF(OR(G154="Unknown",M154="Unknown"),"Warning","Clean"))</f>
        <v>Clean</v>
      </c>
      <c r="AK154" s="7" t="str">
        <f>IF(C154&lt;B154,"Ship Before Order","OK")</f>
        <v>OK</v>
      </c>
      <c r="AL154" s="7" t="str">
        <f>IF(ISNUMBER(B154),"Valid","Invalid")</f>
        <v>Valid</v>
      </c>
      <c r="AM154" s="7" t="str">
        <f t="shared" si="16"/>
        <v>Missmatched</v>
      </c>
      <c r="AN154" s="7" t="str">
        <f t="shared" si="17"/>
        <v>Missmatched</v>
      </c>
    </row>
    <row r="155" spans="1:40">
      <c r="A155" t="s">
        <v>569</v>
      </c>
      <c r="B155" s="6">
        <v>45923</v>
      </c>
      <c r="C155" s="4">
        <v>45653</v>
      </c>
      <c r="D155" t="s">
        <v>570</v>
      </c>
      <c r="E155" t="s">
        <v>89</v>
      </c>
      <c r="F155" t="s">
        <v>24</v>
      </c>
      <c r="G155" t="s">
        <v>38</v>
      </c>
      <c r="H155" t="s">
        <v>39</v>
      </c>
      <c r="I155" t="s">
        <v>40</v>
      </c>
      <c r="J155" t="s">
        <v>28</v>
      </c>
      <c r="K155" t="s">
        <v>91</v>
      </c>
      <c r="L155" t="s">
        <v>571</v>
      </c>
      <c r="M155" t="s">
        <v>59</v>
      </c>
      <c r="N155">
        <v>7</v>
      </c>
      <c r="O155">
        <v>3280.31</v>
      </c>
      <c r="P155">
        <v>0</v>
      </c>
      <c r="Q155" s="7">
        <f>IF(P155="", 0, P155)</f>
        <v>0</v>
      </c>
      <c r="R155">
        <v>22962.17</v>
      </c>
      <c r="S155">
        <v>15716.5</v>
      </c>
      <c r="T155" s="7">
        <f>N155*O155*(1-Q155)</f>
        <v>22962.17</v>
      </c>
      <c r="U155" s="7">
        <f t="shared" si="12"/>
        <v>7245.6699999999983</v>
      </c>
      <c r="V155">
        <v>7245.67</v>
      </c>
      <c r="W155" s="12">
        <f t="shared" si="13"/>
        <v>0.31554813852523517</v>
      </c>
      <c r="X155" t="s">
        <v>102</v>
      </c>
      <c r="Y155" t="str">
        <f t="shared" si="14"/>
        <v>Refunded</v>
      </c>
      <c r="Z155" t="s">
        <v>103</v>
      </c>
      <c r="AA155">
        <f>C155-B155</f>
        <v>-270</v>
      </c>
      <c r="AB155" t="str">
        <f>IF(B155="","Missing Order Date",
IF(C155="","Missing Ship Date","OK"))</f>
        <v>OK</v>
      </c>
      <c r="AC155" s="7" t="str">
        <f>IF(C155&lt;B155, "Invalid", "Valid")</f>
        <v>Invalid</v>
      </c>
      <c r="AD155" s="7" t="str">
        <f>IF(COUNTIF($A:$A, A155)&gt;1, "Duplicate", "Unique")</f>
        <v>Unique</v>
      </c>
      <c r="AE155" s="7" t="str">
        <f>IF(G155="","Unknown",G155)</f>
        <v>East</v>
      </c>
      <c r="AF155" s="7" t="str">
        <f>IF(M155="","Unknown",M155)</f>
        <v>Standard Class</v>
      </c>
      <c r="AG155" s="7" t="str">
        <f>IF(P155&lt;0,"Invalid",
IF(P155&gt;1,"Invalid","Valid"))</f>
        <v>Valid</v>
      </c>
      <c r="AH155" s="7" t="str">
        <f>TEXT(B155,"mmmm")</f>
        <v>September</v>
      </c>
      <c r="AI155" s="7">
        <f t="shared" si="15"/>
        <v>2025</v>
      </c>
      <c r="AJ155" s="7" t="str">
        <f>IF(OR(R155&lt;0,C155&lt;B155),"Invalid",
IF(OR(G155="Unknown",M155="Unknown"),"Warning","Clean"))</f>
        <v>Invalid</v>
      </c>
      <c r="AK155" s="7" t="str">
        <f>IF(C155&lt;B155,"Ship Before Order","OK")</f>
        <v>Ship Before Order</v>
      </c>
      <c r="AL155" s="7" t="str">
        <f>IF(ISNUMBER(B155),"Valid","Invalid")</f>
        <v>Valid</v>
      </c>
      <c r="AM155" s="7" t="str">
        <f t="shared" si="16"/>
        <v>Ok</v>
      </c>
      <c r="AN155" s="7" t="str">
        <f t="shared" si="17"/>
        <v>Ok</v>
      </c>
    </row>
    <row r="156" spans="1:40">
      <c r="A156" t="s">
        <v>572</v>
      </c>
      <c r="B156" s="6">
        <v>45628</v>
      </c>
      <c r="C156" s="4">
        <v>45654</v>
      </c>
      <c r="D156" t="s">
        <v>455</v>
      </c>
      <c r="E156" t="s">
        <v>114</v>
      </c>
      <c r="F156" t="s">
        <v>24</v>
      </c>
      <c r="G156" t="s">
        <v>54</v>
      </c>
      <c r="H156" t="s">
        <v>247</v>
      </c>
      <c r="I156" t="s">
        <v>248</v>
      </c>
      <c r="J156" t="s">
        <v>41</v>
      </c>
      <c r="K156" t="s">
        <v>158</v>
      </c>
      <c r="L156" t="s">
        <v>573</v>
      </c>
      <c r="M156" t="s">
        <v>44</v>
      </c>
      <c r="N156">
        <v>1</v>
      </c>
      <c r="O156">
        <v>2599.12</v>
      </c>
      <c r="P156">
        <v>0.15</v>
      </c>
      <c r="Q156" s="7">
        <f>IF(P156="", 0, P156)</f>
        <v>0.15</v>
      </c>
      <c r="R156">
        <v>2209.25</v>
      </c>
      <c r="S156">
        <v>1523.78</v>
      </c>
      <c r="T156" s="7">
        <f>N156*O156*(1-Q156)</f>
        <v>2209.252</v>
      </c>
      <c r="U156" s="7">
        <f t="shared" si="12"/>
        <v>685.47199999999998</v>
      </c>
      <c r="V156">
        <v>685.47</v>
      </c>
      <c r="W156" s="12">
        <f t="shared" si="13"/>
        <v>0.31027334138432372</v>
      </c>
      <c r="X156" t="s">
        <v>32</v>
      </c>
      <c r="Y156" t="str">
        <f t="shared" si="14"/>
        <v>Paid</v>
      </c>
      <c r="Z156" t="s">
        <v>33</v>
      </c>
      <c r="AA156">
        <f>C156-B156</f>
        <v>26</v>
      </c>
      <c r="AB156" t="str">
        <f>IF(B156="","Missing Order Date",
IF(C156="","Missing Ship Date","OK"))</f>
        <v>OK</v>
      </c>
      <c r="AC156" s="7" t="str">
        <f>IF(C156&lt;B156, "Invalid", "Valid")</f>
        <v>Valid</v>
      </c>
      <c r="AD156" s="7" t="str">
        <f>IF(COUNTIF($A:$A, A156)&gt;1, "Duplicate", "Unique")</f>
        <v>Unique</v>
      </c>
      <c r="AE156" s="7" t="str">
        <f>IF(G156="","Unknown",G156)</f>
        <v>South</v>
      </c>
      <c r="AF156" s="7" t="str">
        <f>IF(M156="","Unknown",M156)</f>
        <v>Same Day</v>
      </c>
      <c r="AG156" s="7" t="str">
        <f>IF(P156&lt;0,"Invalid",
IF(P156&gt;1,"Invalid","Valid"))</f>
        <v>Valid</v>
      </c>
      <c r="AH156" s="7" t="str">
        <f>TEXT(B156,"mmmm")</f>
        <v>December</v>
      </c>
      <c r="AI156" s="7">
        <f t="shared" si="15"/>
        <v>2024</v>
      </c>
      <c r="AJ156" s="7" t="str">
        <f>IF(OR(R156&lt;0,C156&lt;B156),"Invalid",
IF(OR(G156="Unknown",M156="Unknown"),"Warning","Clean"))</f>
        <v>Clean</v>
      </c>
      <c r="AK156" s="7" t="str">
        <f>IF(C156&lt;B156,"Ship Before Order","OK")</f>
        <v>OK</v>
      </c>
      <c r="AL156" s="7" t="str">
        <f>IF(ISNUMBER(B156),"Valid","Invalid")</f>
        <v>Valid</v>
      </c>
      <c r="AM156" s="7" t="str">
        <f t="shared" si="16"/>
        <v>Missmatched</v>
      </c>
      <c r="AN156" s="7" t="str">
        <f t="shared" si="17"/>
        <v>Missmatched</v>
      </c>
    </row>
    <row r="157" spans="1:40">
      <c r="A157" t="s">
        <v>574</v>
      </c>
      <c r="B157" s="6">
        <v>45683</v>
      </c>
      <c r="C157" s="4">
        <v>45655</v>
      </c>
      <c r="D157" t="s">
        <v>575</v>
      </c>
      <c r="E157" t="s">
        <v>23</v>
      </c>
      <c r="F157" t="s">
        <v>90</v>
      </c>
      <c r="G157" t="s">
        <v>63</v>
      </c>
      <c r="H157" t="s">
        <v>26</v>
      </c>
      <c r="I157" t="s">
        <v>109</v>
      </c>
      <c r="J157" t="s">
        <v>41</v>
      </c>
      <c r="K157" t="s">
        <v>57</v>
      </c>
      <c r="L157" t="s">
        <v>576</v>
      </c>
      <c r="M157" t="s">
        <v>44</v>
      </c>
      <c r="N157">
        <v>3</v>
      </c>
      <c r="O157">
        <v>2859.32</v>
      </c>
      <c r="P157">
        <v>0.1</v>
      </c>
      <c r="Q157" s="7">
        <f>IF(P157="", 0, P157)</f>
        <v>0.1</v>
      </c>
      <c r="R157">
        <v>7720.16</v>
      </c>
      <c r="S157">
        <v>5881</v>
      </c>
      <c r="T157" s="7">
        <f>N157*O157*(1-Q157)</f>
        <v>7720.1640000000007</v>
      </c>
      <c r="U157" s="7">
        <f t="shared" si="12"/>
        <v>1839.1640000000007</v>
      </c>
      <c r="V157">
        <v>1839.16</v>
      </c>
      <c r="W157" s="12">
        <f t="shared" si="13"/>
        <v>0.23822861794127695</v>
      </c>
      <c r="X157" t="s">
        <v>102</v>
      </c>
      <c r="Y157" t="str">
        <f t="shared" si="14"/>
        <v>Refunded</v>
      </c>
      <c r="Z157" t="s">
        <v>103</v>
      </c>
      <c r="AA157">
        <f>C157-B157</f>
        <v>-28</v>
      </c>
      <c r="AB157" t="str">
        <f>IF(B157="","Missing Order Date",
IF(C157="","Missing Ship Date","OK"))</f>
        <v>OK</v>
      </c>
      <c r="AC157" s="7" t="str">
        <f>IF(C157&lt;B157, "Invalid", "Valid")</f>
        <v>Invalid</v>
      </c>
      <c r="AD157" s="7" t="str">
        <f>IF(COUNTIF($A:$A, A157)&gt;1, "Duplicate", "Unique")</f>
        <v>Unique</v>
      </c>
      <c r="AE157" s="7" t="str">
        <f>IF(G157="","Unknown",G157)</f>
        <v>West</v>
      </c>
      <c r="AF157" s="7" t="str">
        <f>IF(M157="","Unknown",M157)</f>
        <v>Same Day</v>
      </c>
      <c r="AG157" s="7" t="str">
        <f>IF(P157&lt;0,"Invalid",
IF(P157&gt;1,"Invalid","Valid"))</f>
        <v>Valid</v>
      </c>
      <c r="AH157" s="7" t="str">
        <f>TEXT(B157,"mmmm")</f>
        <v>January</v>
      </c>
      <c r="AI157" s="7">
        <f t="shared" si="15"/>
        <v>2025</v>
      </c>
      <c r="AJ157" s="7" t="str">
        <f>IF(OR(R157&lt;0,C157&lt;B157),"Invalid",
IF(OR(G157="Unknown",M157="Unknown"),"Warning","Clean"))</f>
        <v>Invalid</v>
      </c>
      <c r="AK157" s="7" t="str">
        <f>IF(C157&lt;B157,"Ship Before Order","OK")</f>
        <v>Ship Before Order</v>
      </c>
      <c r="AL157" s="7" t="str">
        <f>IF(ISNUMBER(B157),"Valid","Invalid")</f>
        <v>Valid</v>
      </c>
      <c r="AM157" s="7" t="str">
        <f t="shared" si="16"/>
        <v>Missmatched</v>
      </c>
      <c r="AN157" s="7" t="str">
        <f t="shared" si="17"/>
        <v>Missmatched</v>
      </c>
    </row>
    <row r="158" spans="1:40">
      <c r="A158" t="s">
        <v>577</v>
      </c>
      <c r="B158" s="6">
        <v>45743</v>
      </c>
      <c r="C158" s="4">
        <v>45656</v>
      </c>
      <c r="D158" t="s">
        <v>578</v>
      </c>
      <c r="E158" t="s">
        <v>71</v>
      </c>
      <c r="F158" t="s">
        <v>37</v>
      </c>
      <c r="G158" t="s">
        <v>38</v>
      </c>
      <c r="H158" t="s">
        <v>145</v>
      </c>
      <c r="I158" t="s">
        <v>146</v>
      </c>
      <c r="J158" t="s">
        <v>74</v>
      </c>
      <c r="K158" t="s">
        <v>274</v>
      </c>
      <c r="L158" t="s">
        <v>579</v>
      </c>
      <c r="M158" t="s">
        <v>31</v>
      </c>
      <c r="N158">
        <v>7</v>
      </c>
      <c r="O158">
        <v>2305.37</v>
      </c>
      <c r="P158">
        <v>0.25</v>
      </c>
      <c r="Q158" s="7">
        <f>IF(P158="", 0, P158)</f>
        <v>0.25</v>
      </c>
      <c r="R158">
        <v>12103.19</v>
      </c>
      <c r="S158">
        <v>6717.87</v>
      </c>
      <c r="T158" s="7">
        <f>N158*O158*(1-Q158)</f>
        <v>12103.192500000001</v>
      </c>
      <c r="U158" s="7">
        <f t="shared" si="12"/>
        <v>5385.3225000000011</v>
      </c>
      <c r="V158">
        <v>5385.32</v>
      </c>
      <c r="W158" s="12">
        <f t="shared" si="13"/>
        <v>0.44495057812225997</v>
      </c>
      <c r="X158" t="s">
        <v>32</v>
      </c>
      <c r="Y158" t="str">
        <f t="shared" si="14"/>
        <v>Paid</v>
      </c>
      <c r="Z158" t="s">
        <v>33</v>
      </c>
      <c r="AA158">
        <f>C158-B158</f>
        <v>-87</v>
      </c>
      <c r="AB158" t="str">
        <f>IF(B158="","Missing Order Date",
IF(C158="","Missing Ship Date","OK"))</f>
        <v>OK</v>
      </c>
      <c r="AC158" s="7" t="str">
        <f>IF(C158&lt;B158, "Invalid", "Valid")</f>
        <v>Invalid</v>
      </c>
      <c r="AD158" s="7" t="str">
        <f>IF(COUNTIF($A:$A, A158)&gt;1, "Duplicate", "Unique")</f>
        <v>Unique</v>
      </c>
      <c r="AE158" s="7" t="str">
        <f>IF(G158="","Unknown",G158)</f>
        <v>East</v>
      </c>
      <c r="AF158" s="7" t="str">
        <f>IF(M158="","Unknown",M158)</f>
        <v>Second Class</v>
      </c>
      <c r="AG158" s="7" t="str">
        <f>IF(P158&lt;0,"Invalid",
IF(P158&gt;1,"Invalid","Valid"))</f>
        <v>Valid</v>
      </c>
      <c r="AH158" s="7" t="str">
        <f>TEXT(B158,"mmmm")</f>
        <v>March</v>
      </c>
      <c r="AI158" s="7">
        <f t="shared" si="15"/>
        <v>2025</v>
      </c>
      <c r="AJ158" s="7" t="str">
        <f>IF(OR(R158&lt;0,C158&lt;B158),"Invalid",
IF(OR(G158="Unknown",M158="Unknown"),"Warning","Clean"))</f>
        <v>Invalid</v>
      </c>
      <c r="AK158" s="7" t="str">
        <f>IF(C158&lt;B158,"Ship Before Order","OK")</f>
        <v>Ship Before Order</v>
      </c>
      <c r="AL158" s="7" t="str">
        <f>IF(ISNUMBER(B158),"Valid","Invalid")</f>
        <v>Valid</v>
      </c>
      <c r="AM158" s="7" t="str">
        <f t="shared" si="16"/>
        <v>Missmatched</v>
      </c>
      <c r="AN158" s="7" t="str">
        <f t="shared" si="17"/>
        <v>Missmatched</v>
      </c>
    </row>
    <row r="159" spans="1:40">
      <c r="A159" t="s">
        <v>580</v>
      </c>
      <c r="B159" s="6">
        <v>45587</v>
      </c>
      <c r="C159" s="4">
        <v>45657</v>
      </c>
      <c r="D159" t="s">
        <v>581</v>
      </c>
      <c r="E159" t="s">
        <v>141</v>
      </c>
      <c r="F159" t="s">
        <v>37</v>
      </c>
      <c r="G159" t="s">
        <v>54</v>
      </c>
      <c r="H159" t="s">
        <v>84</v>
      </c>
      <c r="I159" t="s">
        <v>85</v>
      </c>
      <c r="J159" t="s">
        <v>41</v>
      </c>
      <c r="K159" t="s">
        <v>158</v>
      </c>
      <c r="L159" t="s">
        <v>582</v>
      </c>
      <c r="M159" t="s">
        <v>59</v>
      </c>
      <c r="N159">
        <v>3</v>
      </c>
      <c r="O159">
        <v>915.84</v>
      </c>
      <c r="P159">
        <v>0.15</v>
      </c>
      <c r="Q159" s="7">
        <f>IF(P159="", 0, P159)</f>
        <v>0.15</v>
      </c>
      <c r="R159">
        <v>2335.39</v>
      </c>
      <c r="S159">
        <v>1466.15</v>
      </c>
      <c r="T159" s="7">
        <f>N159*O159*(1-Q159)</f>
        <v>2335.3919999999998</v>
      </c>
      <c r="U159" s="7">
        <f t="shared" si="12"/>
        <v>869.24199999999973</v>
      </c>
      <c r="V159">
        <v>869.24</v>
      </c>
      <c r="W159" s="12">
        <f t="shared" si="13"/>
        <v>0.3722038955344541</v>
      </c>
      <c r="X159" t="s">
        <v>32</v>
      </c>
      <c r="Y159" t="str">
        <f t="shared" si="14"/>
        <v>Paid</v>
      </c>
      <c r="Z159" t="s">
        <v>33</v>
      </c>
      <c r="AA159">
        <f>C159-B159</f>
        <v>70</v>
      </c>
      <c r="AB159" t="str">
        <f>IF(B159="","Missing Order Date",
IF(C159="","Missing Ship Date","OK"))</f>
        <v>OK</v>
      </c>
      <c r="AC159" s="7" t="str">
        <f>IF(C159&lt;B159, "Invalid", "Valid")</f>
        <v>Valid</v>
      </c>
      <c r="AD159" s="7" t="str">
        <f>IF(COUNTIF($A:$A, A159)&gt;1, "Duplicate", "Unique")</f>
        <v>Unique</v>
      </c>
      <c r="AE159" s="7" t="str">
        <f>IF(G159="","Unknown",G159)</f>
        <v>South</v>
      </c>
      <c r="AF159" s="7" t="str">
        <f>IF(M159="","Unknown",M159)</f>
        <v>Standard Class</v>
      </c>
      <c r="AG159" s="7" t="str">
        <f>IF(P159&lt;0,"Invalid",
IF(P159&gt;1,"Invalid","Valid"))</f>
        <v>Valid</v>
      </c>
      <c r="AH159" s="7" t="str">
        <f>TEXT(B159,"mmmm")</f>
        <v>October</v>
      </c>
      <c r="AI159" s="7">
        <f t="shared" si="15"/>
        <v>2024</v>
      </c>
      <c r="AJ159" s="7" t="str">
        <f>IF(OR(R159&lt;0,C159&lt;B159),"Invalid",
IF(OR(G159="Unknown",M159="Unknown"),"Warning","Clean"))</f>
        <v>Clean</v>
      </c>
      <c r="AK159" s="7" t="str">
        <f>IF(C159&lt;B159,"Ship Before Order","OK")</f>
        <v>OK</v>
      </c>
      <c r="AL159" s="7" t="str">
        <f>IF(ISNUMBER(B159),"Valid","Invalid")</f>
        <v>Valid</v>
      </c>
      <c r="AM159" s="7" t="str">
        <f t="shared" si="16"/>
        <v>Missmatched</v>
      </c>
      <c r="AN159" s="7" t="str">
        <f t="shared" si="17"/>
        <v>Missmatched</v>
      </c>
    </row>
    <row r="160" spans="1:40">
      <c r="A160" t="s">
        <v>583</v>
      </c>
      <c r="B160" s="6">
        <v>45544</v>
      </c>
      <c r="C160" s="4">
        <v>45658</v>
      </c>
      <c r="D160" t="s">
        <v>584</v>
      </c>
      <c r="E160" t="s">
        <v>79</v>
      </c>
      <c r="F160" t="s">
        <v>95</v>
      </c>
      <c r="G160" t="s">
        <v>54</v>
      </c>
      <c r="H160" t="s">
        <v>55</v>
      </c>
      <c r="I160" t="s">
        <v>56</v>
      </c>
      <c r="J160" t="s">
        <v>41</v>
      </c>
      <c r="K160" t="s">
        <v>158</v>
      </c>
      <c r="L160" t="s">
        <v>585</v>
      </c>
      <c r="M160" t="s">
        <v>50</v>
      </c>
      <c r="N160">
        <v>1</v>
      </c>
      <c r="O160">
        <v>4199.54</v>
      </c>
      <c r="P160">
        <v>0.05</v>
      </c>
      <c r="Q160" s="7">
        <f>IF(P160="", 0, P160)</f>
        <v>0.05</v>
      </c>
      <c r="R160">
        <v>3989.56</v>
      </c>
      <c r="S160">
        <v>2381.38</v>
      </c>
      <c r="T160" s="7">
        <f>N160*O160*(1-Q160)</f>
        <v>3989.5629999999996</v>
      </c>
      <c r="U160" s="7">
        <f t="shared" si="12"/>
        <v>1608.1829999999995</v>
      </c>
      <c r="V160">
        <v>1608.18</v>
      </c>
      <c r="W160" s="12">
        <f t="shared" si="13"/>
        <v>0.40309753223598666</v>
      </c>
      <c r="X160" t="s">
        <v>32</v>
      </c>
      <c r="Y160" t="str">
        <f t="shared" si="14"/>
        <v>Paid</v>
      </c>
      <c r="Z160" t="s">
        <v>33</v>
      </c>
      <c r="AA160">
        <f>C160-B160</f>
        <v>114</v>
      </c>
      <c r="AB160" t="str">
        <f>IF(B160="","Missing Order Date",
IF(C160="","Missing Ship Date","OK"))</f>
        <v>OK</v>
      </c>
      <c r="AC160" s="7" t="str">
        <f>IF(C160&lt;B160, "Invalid", "Valid")</f>
        <v>Valid</v>
      </c>
      <c r="AD160" s="7" t="str">
        <f>IF(COUNTIF($A:$A, A160)&gt;1, "Duplicate", "Unique")</f>
        <v>Unique</v>
      </c>
      <c r="AE160" s="7" t="str">
        <f>IF(G160="","Unknown",G160)</f>
        <v>South</v>
      </c>
      <c r="AF160" s="7" t="str">
        <f>IF(M160="","Unknown",M160)</f>
        <v>First Class</v>
      </c>
      <c r="AG160" s="7" t="str">
        <f>IF(P160&lt;0,"Invalid",
IF(P160&gt;1,"Invalid","Valid"))</f>
        <v>Valid</v>
      </c>
      <c r="AH160" s="7" t="str">
        <f>TEXT(B160,"mmmm")</f>
        <v>September</v>
      </c>
      <c r="AI160" s="7">
        <f t="shared" si="15"/>
        <v>2024</v>
      </c>
      <c r="AJ160" s="7" t="str">
        <f>IF(OR(R160&lt;0,C160&lt;B160),"Invalid",
IF(OR(G160="Unknown",M160="Unknown"),"Warning","Clean"))</f>
        <v>Clean</v>
      </c>
      <c r="AK160" s="7" t="str">
        <f>IF(C160&lt;B160,"Ship Before Order","OK")</f>
        <v>OK</v>
      </c>
      <c r="AL160" s="7" t="str">
        <f>IF(ISNUMBER(B160),"Valid","Invalid")</f>
        <v>Valid</v>
      </c>
      <c r="AM160" s="7" t="str">
        <f t="shared" si="16"/>
        <v>Missmatched</v>
      </c>
      <c r="AN160" s="7" t="str">
        <f t="shared" si="17"/>
        <v>Missmatched</v>
      </c>
    </row>
    <row r="161" spans="1:40">
      <c r="A161" t="s">
        <v>586</v>
      </c>
      <c r="B161" s="6">
        <v>45687</v>
      </c>
      <c r="C161" s="4">
        <v>45659</v>
      </c>
      <c r="D161" t="s">
        <v>587</v>
      </c>
      <c r="E161" t="s">
        <v>114</v>
      </c>
      <c r="F161" t="s">
        <v>90</v>
      </c>
      <c r="G161" t="s">
        <v>25</v>
      </c>
      <c r="H161" t="s">
        <v>236</v>
      </c>
      <c r="I161" t="s">
        <v>237</v>
      </c>
      <c r="J161" t="s">
        <v>41</v>
      </c>
      <c r="K161" t="s">
        <v>66</v>
      </c>
      <c r="L161" t="s">
        <v>588</v>
      </c>
      <c r="M161" t="s">
        <v>44</v>
      </c>
      <c r="N161">
        <v>9</v>
      </c>
      <c r="O161">
        <v>4430.5</v>
      </c>
      <c r="P161">
        <v>0.15</v>
      </c>
      <c r="Q161" s="7">
        <f>IF(P161="", 0, P161)</f>
        <v>0.15</v>
      </c>
      <c r="R161">
        <v>33893.32</v>
      </c>
      <c r="S161">
        <v>25750.35</v>
      </c>
      <c r="T161" s="7">
        <f>N161*O161*(1-Q161)</f>
        <v>33893.324999999997</v>
      </c>
      <c r="U161" s="7">
        <f t="shared" si="12"/>
        <v>8142.9749999999985</v>
      </c>
      <c r="V161">
        <v>8142.97</v>
      </c>
      <c r="W161" s="12">
        <f t="shared" si="13"/>
        <v>0.24025305867748292</v>
      </c>
      <c r="X161" t="s">
        <v>111</v>
      </c>
      <c r="Y161" t="str">
        <f t="shared" si="14"/>
        <v>Pending</v>
      </c>
      <c r="Z161" t="s">
        <v>68</v>
      </c>
      <c r="AA161">
        <f>C161-B161</f>
        <v>-28</v>
      </c>
      <c r="AB161" t="str">
        <f>IF(B161="","Missing Order Date",
IF(C161="","Missing Ship Date","OK"))</f>
        <v>OK</v>
      </c>
      <c r="AC161" s="7" t="str">
        <f>IF(C161&lt;B161, "Invalid", "Valid")</f>
        <v>Invalid</v>
      </c>
      <c r="AD161" s="7" t="str">
        <f>IF(COUNTIF($A:$A, A161)&gt;1, "Duplicate", "Unique")</f>
        <v>Unique</v>
      </c>
      <c r="AE161" s="7" t="str">
        <f>IF(G161="","Unknown",G161)</f>
        <v>North</v>
      </c>
      <c r="AF161" s="7" t="str">
        <f>IF(M161="","Unknown",M161)</f>
        <v>Same Day</v>
      </c>
      <c r="AG161" s="7" t="str">
        <f>IF(P161&lt;0,"Invalid",
IF(P161&gt;1,"Invalid","Valid"))</f>
        <v>Valid</v>
      </c>
      <c r="AH161" s="7" t="str">
        <f>TEXT(B161,"mmmm")</f>
        <v>January</v>
      </c>
      <c r="AI161" s="7">
        <f t="shared" si="15"/>
        <v>2025</v>
      </c>
      <c r="AJ161" s="7" t="str">
        <f>IF(OR(R161&lt;0,C161&lt;B161),"Invalid",
IF(OR(G161="Unknown",M161="Unknown"),"Warning","Clean"))</f>
        <v>Invalid</v>
      </c>
      <c r="AK161" s="7" t="str">
        <f>IF(C161&lt;B161,"Ship Before Order","OK")</f>
        <v>Ship Before Order</v>
      </c>
      <c r="AL161" s="7" t="str">
        <f>IF(ISNUMBER(B161),"Valid","Invalid")</f>
        <v>Valid</v>
      </c>
      <c r="AM161" s="7" t="str">
        <f t="shared" si="16"/>
        <v>Missmatched</v>
      </c>
      <c r="AN161" s="7" t="str">
        <f t="shared" si="17"/>
        <v>Missmatched</v>
      </c>
    </row>
    <row r="162" spans="1:40">
      <c r="A162" t="s">
        <v>589</v>
      </c>
      <c r="B162" s="6">
        <v>45938</v>
      </c>
      <c r="C162" s="4">
        <v>45660</v>
      </c>
      <c r="D162" t="s">
        <v>590</v>
      </c>
      <c r="E162" t="s">
        <v>71</v>
      </c>
      <c r="F162" t="s">
        <v>37</v>
      </c>
      <c r="G162" t="s">
        <v>63</v>
      </c>
      <c r="H162" t="s">
        <v>64</v>
      </c>
      <c r="I162" t="s">
        <v>65</v>
      </c>
      <c r="J162" t="s">
        <v>28</v>
      </c>
      <c r="K162" t="s">
        <v>29</v>
      </c>
      <c r="L162" t="s">
        <v>591</v>
      </c>
      <c r="M162" t="s">
        <v>31</v>
      </c>
      <c r="N162">
        <v>4</v>
      </c>
      <c r="O162">
        <v>1260.42</v>
      </c>
      <c r="P162">
        <v>0.05</v>
      </c>
      <c r="Q162" s="7">
        <f>IF(P162="", 0, P162)</f>
        <v>0.05</v>
      </c>
      <c r="R162">
        <v>4789.6000000000004</v>
      </c>
      <c r="S162">
        <v>4037.64</v>
      </c>
      <c r="T162" s="7">
        <f>N162*O162*(1-Q162)</f>
        <v>4789.5960000000005</v>
      </c>
      <c r="U162" s="7">
        <f t="shared" si="12"/>
        <v>751.95600000000059</v>
      </c>
      <c r="V162">
        <v>751.96</v>
      </c>
      <c r="W162" s="12">
        <f t="shared" si="13"/>
        <v>0.1569977927157114</v>
      </c>
      <c r="X162" t="s">
        <v>111</v>
      </c>
      <c r="Y162" t="str">
        <f t="shared" si="14"/>
        <v>Pending</v>
      </c>
      <c r="Z162" t="s">
        <v>68</v>
      </c>
      <c r="AA162">
        <f>C162-B162</f>
        <v>-278</v>
      </c>
      <c r="AB162" t="str">
        <f>IF(B162="","Missing Order Date",
IF(C162="","Missing Ship Date","OK"))</f>
        <v>OK</v>
      </c>
      <c r="AC162" s="7" t="str">
        <f>IF(C162&lt;B162, "Invalid", "Valid")</f>
        <v>Invalid</v>
      </c>
      <c r="AD162" s="7" t="str">
        <f>IF(COUNTIF($A:$A, A162)&gt;1, "Duplicate", "Unique")</f>
        <v>Unique</v>
      </c>
      <c r="AE162" s="7" t="str">
        <f>IF(G162="","Unknown",G162)</f>
        <v>West</v>
      </c>
      <c r="AF162" s="7" t="str">
        <f>IF(M162="","Unknown",M162)</f>
        <v>Second Class</v>
      </c>
      <c r="AG162" s="7" t="str">
        <f>IF(P162&lt;0,"Invalid",
IF(P162&gt;1,"Invalid","Valid"))</f>
        <v>Valid</v>
      </c>
      <c r="AH162" s="7" t="str">
        <f>TEXT(B162,"mmmm")</f>
        <v>October</v>
      </c>
      <c r="AI162" s="7">
        <f t="shared" si="15"/>
        <v>2025</v>
      </c>
      <c r="AJ162" s="7" t="str">
        <f>IF(OR(R162&lt;0,C162&lt;B162),"Invalid",
IF(OR(G162="Unknown",M162="Unknown"),"Warning","Clean"))</f>
        <v>Invalid</v>
      </c>
      <c r="AK162" s="7" t="str">
        <f>IF(C162&lt;B162,"Ship Before Order","OK")</f>
        <v>Ship Before Order</v>
      </c>
      <c r="AL162" s="7" t="str">
        <f>IF(ISNUMBER(B162),"Valid","Invalid")</f>
        <v>Valid</v>
      </c>
      <c r="AM162" s="7" t="str">
        <f t="shared" si="16"/>
        <v>Missmatched</v>
      </c>
      <c r="AN162" s="7" t="str">
        <f t="shared" si="17"/>
        <v>Missmatched</v>
      </c>
    </row>
    <row r="163" spans="1:40">
      <c r="A163" t="s">
        <v>592</v>
      </c>
      <c r="B163" s="6">
        <v>45862</v>
      </c>
      <c r="C163" s="4">
        <v>45661</v>
      </c>
      <c r="D163" t="s">
        <v>593</v>
      </c>
      <c r="E163" t="s">
        <v>53</v>
      </c>
      <c r="F163" t="s">
        <v>24</v>
      </c>
      <c r="G163" t="s">
        <v>63</v>
      </c>
      <c r="H163" t="s">
        <v>26</v>
      </c>
      <c r="I163" t="s">
        <v>109</v>
      </c>
      <c r="J163" t="s">
        <v>28</v>
      </c>
      <c r="K163" t="s">
        <v>153</v>
      </c>
      <c r="L163" t="s">
        <v>594</v>
      </c>
      <c r="M163" t="s">
        <v>59</v>
      </c>
      <c r="N163">
        <v>1</v>
      </c>
      <c r="O163">
        <v>1643.41</v>
      </c>
      <c r="P163">
        <v>0</v>
      </c>
      <c r="Q163" s="7">
        <f>IF(P163="", 0, P163)</f>
        <v>0</v>
      </c>
      <c r="R163">
        <v>1643.41</v>
      </c>
      <c r="S163">
        <v>907.4</v>
      </c>
      <c r="T163" s="7">
        <f>N163*O163*(1-Q163)</f>
        <v>1643.41</v>
      </c>
      <c r="U163" s="7">
        <f t="shared" si="12"/>
        <v>736.0100000000001</v>
      </c>
      <c r="V163">
        <v>736.01</v>
      </c>
      <c r="W163" s="12">
        <f t="shared" si="13"/>
        <v>0.44785537388722235</v>
      </c>
      <c r="X163" t="s">
        <v>111</v>
      </c>
      <c r="Y163" t="str">
        <f t="shared" si="14"/>
        <v>Pending</v>
      </c>
      <c r="Z163" t="s">
        <v>68</v>
      </c>
      <c r="AA163">
        <f>C163-B163</f>
        <v>-201</v>
      </c>
      <c r="AB163" t="str">
        <f>IF(B163="","Missing Order Date",
IF(C163="","Missing Ship Date","OK"))</f>
        <v>OK</v>
      </c>
      <c r="AC163" s="7" t="str">
        <f>IF(C163&lt;B163, "Invalid", "Valid")</f>
        <v>Invalid</v>
      </c>
      <c r="AD163" s="7" t="str">
        <f>IF(COUNTIF($A:$A, A163)&gt;1, "Duplicate", "Unique")</f>
        <v>Unique</v>
      </c>
      <c r="AE163" s="7" t="str">
        <f>IF(G163="","Unknown",G163)</f>
        <v>West</v>
      </c>
      <c r="AF163" s="7" t="str">
        <f>IF(M163="","Unknown",M163)</f>
        <v>Standard Class</v>
      </c>
      <c r="AG163" s="7" t="str">
        <f>IF(P163&lt;0,"Invalid",
IF(P163&gt;1,"Invalid","Valid"))</f>
        <v>Valid</v>
      </c>
      <c r="AH163" s="7" t="str">
        <f>TEXT(B163,"mmmm")</f>
        <v>July</v>
      </c>
      <c r="AI163" s="7">
        <f t="shared" si="15"/>
        <v>2025</v>
      </c>
      <c r="AJ163" s="7" t="str">
        <f>IF(OR(R163&lt;0,C163&lt;B163),"Invalid",
IF(OR(G163="Unknown",M163="Unknown"),"Warning","Clean"))</f>
        <v>Invalid</v>
      </c>
      <c r="AK163" s="7" t="str">
        <f>IF(C163&lt;B163,"Ship Before Order","OK")</f>
        <v>Ship Before Order</v>
      </c>
      <c r="AL163" s="7" t="str">
        <f>IF(ISNUMBER(B163),"Valid","Invalid")</f>
        <v>Valid</v>
      </c>
      <c r="AM163" s="7" t="str">
        <f t="shared" si="16"/>
        <v>Ok</v>
      </c>
      <c r="AN163" s="7" t="str">
        <f t="shared" si="17"/>
        <v>Ok</v>
      </c>
    </row>
    <row r="164" spans="1:40">
      <c r="A164" t="s">
        <v>595</v>
      </c>
      <c r="B164" s="6">
        <v>45538</v>
      </c>
      <c r="C164" s="4">
        <v>45662</v>
      </c>
      <c r="D164" t="s">
        <v>596</v>
      </c>
      <c r="E164" t="s">
        <v>79</v>
      </c>
      <c r="F164" t="s">
        <v>37</v>
      </c>
      <c r="G164" t="s">
        <v>63</v>
      </c>
      <c r="H164" t="s">
        <v>190</v>
      </c>
      <c r="I164" t="s">
        <v>191</v>
      </c>
      <c r="J164" t="s">
        <v>41</v>
      </c>
      <c r="K164" t="s">
        <v>57</v>
      </c>
      <c r="L164" t="s">
        <v>597</v>
      </c>
      <c r="M164" t="s">
        <v>31</v>
      </c>
      <c r="N164">
        <v>8</v>
      </c>
      <c r="O164">
        <v>4472.84</v>
      </c>
      <c r="P164">
        <v>0</v>
      </c>
      <c r="Q164" s="7">
        <f>IF(P164="", 0, P164)</f>
        <v>0</v>
      </c>
      <c r="R164">
        <v>35997.620000000003</v>
      </c>
      <c r="S164">
        <v>26424.41</v>
      </c>
      <c r="T164" s="7">
        <f>N164*O164*(1-Q164)</f>
        <v>35782.720000000001</v>
      </c>
      <c r="U164" s="7">
        <f t="shared" si="12"/>
        <v>9358.3100000000013</v>
      </c>
      <c r="V164">
        <v>9358.31</v>
      </c>
      <c r="W164" s="12">
        <f t="shared" si="13"/>
        <v>0.2615315437171909</v>
      </c>
      <c r="X164" t="s">
        <v>111</v>
      </c>
      <c r="Y164" t="str">
        <f t="shared" si="14"/>
        <v>Pending</v>
      </c>
      <c r="Z164" t="s">
        <v>103</v>
      </c>
      <c r="AA164">
        <f>C164-B164</f>
        <v>124</v>
      </c>
      <c r="AB164" t="str">
        <f>IF(B164="","Missing Order Date",
IF(C164="","Missing Ship Date","OK"))</f>
        <v>OK</v>
      </c>
      <c r="AC164" s="7" t="str">
        <f>IF(C164&lt;B164, "Invalid", "Valid")</f>
        <v>Valid</v>
      </c>
      <c r="AD164" s="7" t="str">
        <f>IF(COUNTIF($A:$A, A164)&gt;1, "Duplicate", "Unique")</f>
        <v>Unique</v>
      </c>
      <c r="AE164" s="7" t="str">
        <f>IF(G164="","Unknown",G164)</f>
        <v>West</v>
      </c>
      <c r="AF164" s="7" t="str">
        <f>IF(M164="","Unknown",M164)</f>
        <v>Second Class</v>
      </c>
      <c r="AG164" s="7" t="str">
        <f>IF(P164&lt;0,"Invalid",
IF(P164&gt;1,"Invalid","Valid"))</f>
        <v>Valid</v>
      </c>
      <c r="AH164" s="7" t="str">
        <f>TEXT(B164,"mmmm")</f>
        <v>September</v>
      </c>
      <c r="AI164" s="7">
        <f t="shared" si="15"/>
        <v>2024</v>
      </c>
      <c r="AJ164" s="7" t="str">
        <f>IF(OR(R164&lt;0,C164&lt;B164),"Invalid",
IF(OR(G164="Unknown",M164="Unknown"),"Warning","Clean"))</f>
        <v>Clean</v>
      </c>
      <c r="AK164" s="7" t="str">
        <f>IF(C164&lt;B164,"Ship Before Order","OK")</f>
        <v>OK</v>
      </c>
      <c r="AL164" s="7" t="str">
        <f>IF(ISNUMBER(B164),"Valid","Invalid")</f>
        <v>Valid</v>
      </c>
      <c r="AM164" s="7" t="str">
        <f t="shared" si="16"/>
        <v>Missmatched</v>
      </c>
      <c r="AN164" s="7" t="str">
        <f t="shared" si="17"/>
        <v>Ok</v>
      </c>
    </row>
    <row r="165" spans="1:40">
      <c r="A165" t="s">
        <v>598</v>
      </c>
      <c r="B165" s="6">
        <v>45921</v>
      </c>
      <c r="C165" s="4">
        <v>45663</v>
      </c>
      <c r="D165" t="s">
        <v>599</v>
      </c>
      <c r="E165" t="s">
        <v>141</v>
      </c>
      <c r="F165" t="s">
        <v>95</v>
      </c>
      <c r="G165" t="s">
        <v>63</v>
      </c>
      <c r="H165" t="s">
        <v>180</v>
      </c>
      <c r="I165" t="s">
        <v>181</v>
      </c>
      <c r="J165" t="s">
        <v>41</v>
      </c>
      <c r="K165" t="s">
        <v>42</v>
      </c>
      <c r="L165" t="s">
        <v>600</v>
      </c>
      <c r="M165" t="s">
        <v>2785</v>
      </c>
      <c r="N165">
        <v>6</v>
      </c>
      <c r="O165">
        <v>2903.58</v>
      </c>
      <c r="P165">
        <v>0.1</v>
      </c>
      <c r="Q165" s="7">
        <f>IF(P165="", 0, P165)</f>
        <v>0.1</v>
      </c>
      <c r="R165">
        <v>15679.33</v>
      </c>
      <c r="S165">
        <v>12477.82</v>
      </c>
      <c r="T165" s="7">
        <f>N165*O165*(1-Q165)</f>
        <v>15679.332</v>
      </c>
      <c r="U165" s="7">
        <f t="shared" si="12"/>
        <v>3201.5120000000006</v>
      </c>
      <c r="V165">
        <v>3201.51</v>
      </c>
      <c r="W165" s="12">
        <f t="shared" si="13"/>
        <v>0.20418675999717339</v>
      </c>
      <c r="X165" t="s">
        <v>111</v>
      </c>
      <c r="Y165" t="str">
        <f t="shared" si="14"/>
        <v>Pending</v>
      </c>
      <c r="Z165" t="s">
        <v>103</v>
      </c>
      <c r="AA165">
        <f>C165-B165</f>
        <v>-258</v>
      </c>
      <c r="AB165" t="str">
        <f>IF(B165="","Missing Order Date",
IF(C165="","Missing Ship Date","OK"))</f>
        <v>OK</v>
      </c>
      <c r="AC165" s="7" t="str">
        <f>IF(C165&lt;B165, "Invalid", "Valid")</f>
        <v>Invalid</v>
      </c>
      <c r="AD165" s="7" t="str">
        <f>IF(COUNTIF($A:$A, A165)&gt;1, "Duplicate", "Unique")</f>
        <v>Unique</v>
      </c>
      <c r="AE165" s="7" t="str">
        <f>IF(G165="","Unknown",G165)</f>
        <v>West</v>
      </c>
      <c r="AF165" s="7" t="str">
        <f>IF(M165="","Unknown",M165)</f>
        <v>Unknown</v>
      </c>
      <c r="AG165" s="7" t="str">
        <f>IF(P165&lt;0,"Invalid",
IF(P165&gt;1,"Invalid","Valid"))</f>
        <v>Valid</v>
      </c>
      <c r="AH165" s="7" t="str">
        <f>TEXT(B165,"mmmm")</f>
        <v>September</v>
      </c>
      <c r="AI165" s="7">
        <f t="shared" si="15"/>
        <v>2025</v>
      </c>
      <c r="AJ165" s="7" t="str">
        <f>IF(OR(R165&lt;0,C165&lt;B165),"Invalid",
IF(OR(G165="Unknown",M165="Unknown"),"Warning","Clean"))</f>
        <v>Invalid</v>
      </c>
      <c r="AK165" s="7" t="str">
        <f>IF(C165&lt;B165,"Ship Before Order","OK")</f>
        <v>Ship Before Order</v>
      </c>
      <c r="AL165" s="7" t="str">
        <f>IF(ISNUMBER(B165),"Valid","Invalid")</f>
        <v>Valid</v>
      </c>
      <c r="AM165" s="7" t="str">
        <f t="shared" si="16"/>
        <v>Missmatched</v>
      </c>
      <c r="AN165" s="7" t="str">
        <f t="shared" si="17"/>
        <v>Missmatched</v>
      </c>
    </row>
    <row r="166" spans="1:40">
      <c r="A166" t="s">
        <v>601</v>
      </c>
      <c r="B166" s="6">
        <v>45909</v>
      </c>
      <c r="C166" s="4">
        <v>45664</v>
      </c>
      <c r="D166" t="s">
        <v>602</v>
      </c>
      <c r="E166" t="s">
        <v>118</v>
      </c>
      <c r="F166" t="s">
        <v>37</v>
      </c>
      <c r="G166" t="s">
        <v>38</v>
      </c>
      <c r="H166" t="s">
        <v>99</v>
      </c>
      <c r="I166" t="s">
        <v>100</v>
      </c>
      <c r="J166" t="s">
        <v>41</v>
      </c>
      <c r="K166" t="s">
        <v>158</v>
      </c>
      <c r="L166" t="s">
        <v>603</v>
      </c>
      <c r="M166" t="s">
        <v>31</v>
      </c>
      <c r="N166">
        <v>1</v>
      </c>
      <c r="O166">
        <v>3154.42</v>
      </c>
      <c r="P166">
        <v>0.25</v>
      </c>
      <c r="Q166" s="7">
        <f>IF(P166="", 0, P166)</f>
        <v>0.25</v>
      </c>
      <c r="R166">
        <v>2365.8200000000002</v>
      </c>
      <c r="S166">
        <v>1547.99</v>
      </c>
      <c r="T166" s="7">
        <f>N166*O166*(1-Q166)</f>
        <v>2365.8150000000001</v>
      </c>
      <c r="U166" s="7">
        <f t="shared" si="12"/>
        <v>817.82500000000005</v>
      </c>
      <c r="V166">
        <v>817.83</v>
      </c>
      <c r="W166" s="12">
        <f t="shared" si="13"/>
        <v>0.34568425679945392</v>
      </c>
      <c r="X166" t="s">
        <v>32</v>
      </c>
      <c r="Y166" t="str">
        <f t="shared" si="14"/>
        <v>Paid</v>
      </c>
      <c r="Z166" t="s">
        <v>33</v>
      </c>
      <c r="AA166">
        <f>C166-B166</f>
        <v>-245</v>
      </c>
      <c r="AB166" t="str">
        <f>IF(B166="","Missing Order Date",
IF(C166="","Missing Ship Date","OK"))</f>
        <v>OK</v>
      </c>
      <c r="AC166" s="7" t="str">
        <f>IF(C166&lt;B166, "Invalid", "Valid")</f>
        <v>Invalid</v>
      </c>
      <c r="AD166" s="7" t="str">
        <f>IF(COUNTIF($A:$A, A166)&gt;1, "Duplicate", "Unique")</f>
        <v>Unique</v>
      </c>
      <c r="AE166" s="7" t="str">
        <f>IF(G166="","Unknown",G166)</f>
        <v>East</v>
      </c>
      <c r="AF166" s="7" t="str">
        <f>IF(M166="","Unknown",M166)</f>
        <v>Second Class</v>
      </c>
      <c r="AG166" s="7" t="str">
        <f>IF(P166&lt;0,"Invalid",
IF(P166&gt;1,"Invalid","Valid"))</f>
        <v>Valid</v>
      </c>
      <c r="AH166" s="7" t="str">
        <f>TEXT(B166,"mmmm")</f>
        <v>September</v>
      </c>
      <c r="AI166" s="7">
        <f t="shared" si="15"/>
        <v>2025</v>
      </c>
      <c r="AJ166" s="7" t="str">
        <f>IF(OR(R166&lt;0,C166&lt;B166),"Invalid",
IF(OR(G166="Unknown",M166="Unknown"),"Warning","Clean"))</f>
        <v>Invalid</v>
      </c>
      <c r="AK166" s="7" t="str">
        <f>IF(C166&lt;B166,"Ship Before Order","OK")</f>
        <v>Ship Before Order</v>
      </c>
      <c r="AL166" s="7" t="str">
        <f>IF(ISNUMBER(B166),"Valid","Invalid")</f>
        <v>Valid</v>
      </c>
      <c r="AM166" s="7" t="str">
        <f t="shared" si="16"/>
        <v>Missmatched</v>
      </c>
      <c r="AN166" s="7" t="str">
        <f t="shared" si="17"/>
        <v>Missmatched</v>
      </c>
    </row>
    <row r="167" spans="1:40">
      <c r="A167" t="s">
        <v>604</v>
      </c>
      <c r="B167" s="6">
        <v>45618</v>
      </c>
      <c r="C167" s="4">
        <v>45665</v>
      </c>
      <c r="D167" t="s">
        <v>605</v>
      </c>
      <c r="E167" t="s">
        <v>36</v>
      </c>
      <c r="F167" t="s">
        <v>95</v>
      </c>
      <c r="G167" t="s">
        <v>38</v>
      </c>
      <c r="H167" t="s">
        <v>145</v>
      </c>
      <c r="I167" t="s">
        <v>146</v>
      </c>
      <c r="J167" t="s">
        <v>41</v>
      </c>
      <c r="K167" t="s">
        <v>66</v>
      </c>
      <c r="L167" t="s">
        <v>606</v>
      </c>
      <c r="M167" t="s">
        <v>59</v>
      </c>
      <c r="N167">
        <v>4</v>
      </c>
      <c r="O167">
        <v>3422.99</v>
      </c>
      <c r="P167">
        <v>0.25</v>
      </c>
      <c r="Q167" s="7">
        <f>IF(P167="", 0, P167)</f>
        <v>0.25</v>
      </c>
      <c r="R167">
        <v>10268.969999999999</v>
      </c>
      <c r="S167">
        <v>6470.92</v>
      </c>
      <c r="T167" s="7">
        <f>N167*O167*(1-Q167)</f>
        <v>10268.969999999999</v>
      </c>
      <c r="U167" s="7">
        <f t="shared" si="12"/>
        <v>3798.0499999999993</v>
      </c>
      <c r="V167">
        <v>3798.05</v>
      </c>
      <c r="W167" s="12">
        <f t="shared" si="13"/>
        <v>0.36985695741637181</v>
      </c>
      <c r="X167" t="s">
        <v>32</v>
      </c>
      <c r="Y167" t="str">
        <f t="shared" si="14"/>
        <v>Paid</v>
      </c>
      <c r="Z167" t="s">
        <v>33</v>
      </c>
      <c r="AA167">
        <f>C167-B167</f>
        <v>47</v>
      </c>
      <c r="AB167" t="str">
        <f>IF(B167="","Missing Order Date",
IF(C167="","Missing Ship Date","OK"))</f>
        <v>OK</v>
      </c>
      <c r="AC167" s="7" t="str">
        <f>IF(C167&lt;B167, "Invalid", "Valid")</f>
        <v>Valid</v>
      </c>
      <c r="AD167" s="7" t="str">
        <f>IF(COUNTIF($A:$A, A167)&gt;1, "Duplicate", "Unique")</f>
        <v>Unique</v>
      </c>
      <c r="AE167" s="7" t="str">
        <f>IF(G167="","Unknown",G167)</f>
        <v>East</v>
      </c>
      <c r="AF167" s="7" t="str">
        <f>IF(M167="","Unknown",M167)</f>
        <v>Standard Class</v>
      </c>
      <c r="AG167" s="7" t="str">
        <f>IF(P167&lt;0,"Invalid",
IF(P167&gt;1,"Invalid","Valid"))</f>
        <v>Valid</v>
      </c>
      <c r="AH167" s="7" t="str">
        <f>TEXT(B167,"mmmm")</f>
        <v>November</v>
      </c>
      <c r="AI167" s="7">
        <f t="shared" si="15"/>
        <v>2024</v>
      </c>
      <c r="AJ167" s="7" t="str">
        <f>IF(OR(R167&lt;0,C167&lt;B167),"Invalid",
IF(OR(G167="Unknown",M167="Unknown"),"Warning","Clean"))</f>
        <v>Clean</v>
      </c>
      <c r="AK167" s="7" t="str">
        <f>IF(C167&lt;B167,"Ship Before Order","OK")</f>
        <v>OK</v>
      </c>
      <c r="AL167" s="7" t="str">
        <f>IF(ISNUMBER(B167),"Valid","Invalid")</f>
        <v>Valid</v>
      </c>
      <c r="AM167" s="7" t="str">
        <f t="shared" si="16"/>
        <v>Ok</v>
      </c>
      <c r="AN167" s="7" t="str">
        <f t="shared" si="17"/>
        <v>Ok</v>
      </c>
    </row>
    <row r="168" spans="1:40">
      <c r="A168" t="s">
        <v>607</v>
      </c>
      <c r="B168" s="6">
        <v>45708</v>
      </c>
      <c r="C168" s="4">
        <v>45666</v>
      </c>
      <c r="D168" t="s">
        <v>608</v>
      </c>
      <c r="E168" t="s">
        <v>23</v>
      </c>
      <c r="F168" t="s">
        <v>37</v>
      </c>
      <c r="G168" t="s">
        <v>63</v>
      </c>
      <c r="H168" t="s">
        <v>180</v>
      </c>
      <c r="I168" t="s">
        <v>181</v>
      </c>
      <c r="J168" t="s">
        <v>28</v>
      </c>
      <c r="K168" t="s">
        <v>91</v>
      </c>
      <c r="L168" t="s">
        <v>609</v>
      </c>
      <c r="M168" t="s">
        <v>50</v>
      </c>
      <c r="N168">
        <v>1</v>
      </c>
      <c r="O168">
        <v>2557.85</v>
      </c>
      <c r="P168">
        <v>0.2</v>
      </c>
      <c r="Q168" s="7">
        <f>IF(P168="", 0, P168)</f>
        <v>0.2</v>
      </c>
      <c r="R168">
        <v>2046.28</v>
      </c>
      <c r="S168">
        <v>1449.54</v>
      </c>
      <c r="T168" s="7">
        <f>N168*O168*(1-Q168)</f>
        <v>2046.28</v>
      </c>
      <c r="U168" s="7">
        <f t="shared" si="12"/>
        <v>596.74</v>
      </c>
      <c r="V168">
        <v>596.74</v>
      </c>
      <c r="W168" s="12">
        <f t="shared" si="13"/>
        <v>0.29162186992982386</v>
      </c>
      <c r="X168" t="s">
        <v>32</v>
      </c>
      <c r="Y168" t="str">
        <f t="shared" si="14"/>
        <v>Paid</v>
      </c>
      <c r="Z168" t="s">
        <v>33</v>
      </c>
      <c r="AA168">
        <f>C168-B168</f>
        <v>-42</v>
      </c>
      <c r="AB168" t="str">
        <f>IF(B168="","Missing Order Date",
IF(C168="","Missing Ship Date","OK"))</f>
        <v>OK</v>
      </c>
      <c r="AC168" s="7" t="str">
        <f>IF(C168&lt;B168, "Invalid", "Valid")</f>
        <v>Invalid</v>
      </c>
      <c r="AD168" s="7" t="str">
        <f>IF(COUNTIF($A:$A, A168)&gt;1, "Duplicate", "Unique")</f>
        <v>Unique</v>
      </c>
      <c r="AE168" s="7" t="str">
        <f>IF(G168="","Unknown",G168)</f>
        <v>West</v>
      </c>
      <c r="AF168" s="7" t="str">
        <f>IF(M168="","Unknown",M168)</f>
        <v>First Class</v>
      </c>
      <c r="AG168" s="7" t="str">
        <f>IF(P168&lt;0,"Invalid",
IF(P168&gt;1,"Invalid","Valid"))</f>
        <v>Valid</v>
      </c>
      <c r="AH168" s="7" t="str">
        <f>TEXT(B168,"mmmm")</f>
        <v>February</v>
      </c>
      <c r="AI168" s="7">
        <f t="shared" si="15"/>
        <v>2025</v>
      </c>
      <c r="AJ168" s="7" t="str">
        <f>IF(OR(R168&lt;0,C168&lt;B168),"Invalid",
IF(OR(G168="Unknown",M168="Unknown"),"Warning","Clean"))</f>
        <v>Invalid</v>
      </c>
      <c r="AK168" s="7" t="str">
        <f>IF(C168&lt;B168,"Ship Before Order","OK")</f>
        <v>Ship Before Order</v>
      </c>
      <c r="AL168" s="7" t="str">
        <f>IF(ISNUMBER(B168),"Valid","Invalid")</f>
        <v>Valid</v>
      </c>
      <c r="AM168" s="7" t="str">
        <f t="shared" si="16"/>
        <v>Ok</v>
      </c>
      <c r="AN168" s="7" t="str">
        <f t="shared" si="17"/>
        <v>Ok</v>
      </c>
    </row>
    <row r="169" spans="1:40">
      <c r="A169" t="s">
        <v>610</v>
      </c>
      <c r="B169" s="6">
        <v>45887</v>
      </c>
      <c r="C169" s="4">
        <v>45667</v>
      </c>
      <c r="D169" t="s">
        <v>611</v>
      </c>
      <c r="E169" t="s">
        <v>53</v>
      </c>
      <c r="F169" t="s">
        <v>95</v>
      </c>
      <c r="G169" t="s">
        <v>54</v>
      </c>
      <c r="H169" t="s">
        <v>175</v>
      </c>
      <c r="I169" t="s">
        <v>176</v>
      </c>
      <c r="J169" t="s">
        <v>28</v>
      </c>
      <c r="K169" t="s">
        <v>124</v>
      </c>
      <c r="L169" t="s">
        <v>612</v>
      </c>
      <c r="M169" t="s">
        <v>50</v>
      </c>
      <c r="N169">
        <v>9</v>
      </c>
      <c r="O169">
        <v>3030.93</v>
      </c>
      <c r="P169">
        <v>0.15</v>
      </c>
      <c r="Q169" s="7">
        <f>IF(P169="", 0, P169)</f>
        <v>0.15</v>
      </c>
      <c r="R169">
        <v>23186.61</v>
      </c>
      <c r="S169">
        <v>17906.54</v>
      </c>
      <c r="T169" s="7">
        <f>N169*O169*(1-Q169)</f>
        <v>23186.6145</v>
      </c>
      <c r="U169" s="7">
        <f t="shared" si="12"/>
        <v>5280.0744999999988</v>
      </c>
      <c r="V169">
        <v>5280.07</v>
      </c>
      <c r="W169" s="12">
        <f t="shared" si="13"/>
        <v>0.22772080417345961</v>
      </c>
      <c r="X169" t="s">
        <v>32</v>
      </c>
      <c r="Y169" t="str">
        <f t="shared" si="14"/>
        <v>Paid</v>
      </c>
      <c r="Z169" t="s">
        <v>103</v>
      </c>
      <c r="AA169">
        <f>C169-B169</f>
        <v>-220</v>
      </c>
      <c r="AB169" t="str">
        <f>IF(B169="","Missing Order Date",
IF(C169="","Missing Ship Date","OK"))</f>
        <v>OK</v>
      </c>
      <c r="AC169" s="7" t="str">
        <f>IF(C169&lt;B169, "Invalid", "Valid")</f>
        <v>Invalid</v>
      </c>
      <c r="AD169" s="7" t="str">
        <f>IF(COUNTIF($A:$A, A169)&gt;1, "Duplicate", "Unique")</f>
        <v>Unique</v>
      </c>
      <c r="AE169" s="7" t="str">
        <f>IF(G169="","Unknown",G169)</f>
        <v>South</v>
      </c>
      <c r="AF169" s="7" t="str">
        <f>IF(M169="","Unknown",M169)</f>
        <v>First Class</v>
      </c>
      <c r="AG169" s="7" t="str">
        <f>IF(P169&lt;0,"Invalid",
IF(P169&gt;1,"Invalid","Valid"))</f>
        <v>Valid</v>
      </c>
      <c r="AH169" s="7" t="str">
        <f>TEXT(B169,"mmmm")</f>
        <v>August</v>
      </c>
      <c r="AI169" s="7">
        <f t="shared" si="15"/>
        <v>2025</v>
      </c>
      <c r="AJ169" s="7" t="str">
        <f>IF(OR(R169&lt;0,C169&lt;B169),"Invalid",
IF(OR(G169="Unknown",M169="Unknown"),"Warning","Clean"))</f>
        <v>Invalid</v>
      </c>
      <c r="AK169" s="7" t="str">
        <f>IF(C169&lt;B169,"Ship Before Order","OK")</f>
        <v>Ship Before Order</v>
      </c>
      <c r="AL169" s="7" t="str">
        <f>IF(ISNUMBER(B169),"Valid","Invalid")</f>
        <v>Valid</v>
      </c>
      <c r="AM169" s="7" t="str">
        <f t="shared" si="16"/>
        <v>Missmatched</v>
      </c>
      <c r="AN169" s="7" t="str">
        <f t="shared" si="17"/>
        <v>Missmatched</v>
      </c>
    </row>
    <row r="170" spans="1:40">
      <c r="A170" t="s">
        <v>613</v>
      </c>
      <c r="B170" s="6">
        <v>45677</v>
      </c>
      <c r="C170" s="4">
        <v>45668</v>
      </c>
      <c r="D170" t="s">
        <v>614</v>
      </c>
      <c r="E170" t="s">
        <v>264</v>
      </c>
      <c r="F170" t="s">
        <v>24</v>
      </c>
      <c r="G170" t="s">
        <v>63</v>
      </c>
      <c r="H170" t="s">
        <v>64</v>
      </c>
      <c r="I170" t="s">
        <v>65</v>
      </c>
      <c r="J170" t="s">
        <v>74</v>
      </c>
      <c r="K170" t="s">
        <v>75</v>
      </c>
      <c r="L170" t="s">
        <v>615</v>
      </c>
      <c r="M170" t="s">
        <v>44</v>
      </c>
      <c r="N170">
        <v>5</v>
      </c>
      <c r="O170">
        <v>639.27</v>
      </c>
      <c r="P170">
        <v>0.2</v>
      </c>
      <c r="Q170" s="7">
        <f>IF(P170="", 0, P170)</f>
        <v>0.2</v>
      </c>
      <c r="R170">
        <v>2557.08</v>
      </c>
      <c r="S170">
        <v>2025.69</v>
      </c>
      <c r="T170" s="7">
        <f>N170*O170*(1-Q170)</f>
        <v>2557.08</v>
      </c>
      <c r="U170" s="7">
        <f t="shared" si="12"/>
        <v>531.38999999999987</v>
      </c>
      <c r="V170">
        <v>531.39</v>
      </c>
      <c r="W170" s="12">
        <f t="shared" si="13"/>
        <v>0.2078112534609789</v>
      </c>
      <c r="X170" t="s">
        <v>32</v>
      </c>
      <c r="Y170" t="str">
        <f t="shared" si="14"/>
        <v>Paid</v>
      </c>
      <c r="Z170" t="s">
        <v>68</v>
      </c>
      <c r="AA170">
        <f>C170-B170</f>
        <v>-9</v>
      </c>
      <c r="AB170" t="str">
        <f>IF(B170="","Missing Order Date",
IF(C170="","Missing Ship Date","OK"))</f>
        <v>OK</v>
      </c>
      <c r="AC170" s="7" t="str">
        <f>IF(C170&lt;B170, "Invalid", "Valid")</f>
        <v>Invalid</v>
      </c>
      <c r="AD170" s="7" t="str">
        <f>IF(COUNTIF($A:$A, A170)&gt;1, "Duplicate", "Unique")</f>
        <v>Unique</v>
      </c>
      <c r="AE170" s="7" t="str">
        <f>IF(G170="","Unknown",G170)</f>
        <v>West</v>
      </c>
      <c r="AF170" s="7" t="str">
        <f>IF(M170="","Unknown",M170)</f>
        <v>Same Day</v>
      </c>
      <c r="AG170" s="7" t="str">
        <f>IF(P170&lt;0,"Invalid",
IF(P170&gt;1,"Invalid","Valid"))</f>
        <v>Valid</v>
      </c>
      <c r="AH170" s="7" t="str">
        <f>TEXT(B170,"mmmm")</f>
        <v>January</v>
      </c>
      <c r="AI170" s="7">
        <f t="shared" si="15"/>
        <v>2025</v>
      </c>
      <c r="AJ170" s="7" t="str">
        <f>IF(OR(R170&lt;0,C170&lt;B170),"Invalid",
IF(OR(G170="Unknown",M170="Unknown"),"Warning","Clean"))</f>
        <v>Invalid</v>
      </c>
      <c r="AK170" s="7" t="str">
        <f>IF(C170&lt;B170,"Ship Before Order","OK")</f>
        <v>Ship Before Order</v>
      </c>
      <c r="AL170" s="7" t="str">
        <f>IF(ISNUMBER(B170),"Valid","Invalid")</f>
        <v>Valid</v>
      </c>
      <c r="AM170" s="7" t="str">
        <f t="shared" si="16"/>
        <v>Ok</v>
      </c>
      <c r="AN170" s="7" t="str">
        <f t="shared" si="17"/>
        <v>Ok</v>
      </c>
    </row>
    <row r="171" spans="1:40">
      <c r="A171" t="s">
        <v>616</v>
      </c>
      <c r="B171" s="6">
        <v>45913</v>
      </c>
      <c r="C171" s="4">
        <v>45669</v>
      </c>
      <c r="D171" t="s">
        <v>617</v>
      </c>
      <c r="E171" t="s">
        <v>162</v>
      </c>
      <c r="F171" t="s">
        <v>24</v>
      </c>
      <c r="G171" t="s">
        <v>38</v>
      </c>
      <c r="H171" t="s">
        <v>166</v>
      </c>
      <c r="I171" t="s">
        <v>167</v>
      </c>
      <c r="J171" t="s">
        <v>28</v>
      </c>
      <c r="K171" t="s">
        <v>48</v>
      </c>
      <c r="L171" t="s">
        <v>618</v>
      </c>
      <c r="M171" t="s">
        <v>59</v>
      </c>
      <c r="N171">
        <v>8</v>
      </c>
      <c r="O171">
        <v>733.9</v>
      </c>
      <c r="P171">
        <v>0.05</v>
      </c>
      <c r="Q171" s="7">
        <f>IF(P171="", 0, P171)</f>
        <v>0.05</v>
      </c>
      <c r="R171">
        <v>5577.64</v>
      </c>
      <c r="S171">
        <v>3541.29</v>
      </c>
      <c r="T171" s="7">
        <f>N171*O171*(1-Q171)</f>
        <v>5577.6399999999994</v>
      </c>
      <c r="U171" s="7">
        <f t="shared" si="12"/>
        <v>2036.3499999999995</v>
      </c>
      <c r="V171">
        <v>2036.35</v>
      </c>
      <c r="W171" s="12">
        <f t="shared" si="13"/>
        <v>0.36509168752375548</v>
      </c>
      <c r="X171" t="s">
        <v>111</v>
      </c>
      <c r="Y171" t="str">
        <f t="shared" si="14"/>
        <v>Pending</v>
      </c>
      <c r="Z171" t="s">
        <v>103</v>
      </c>
      <c r="AA171">
        <f>C171-B171</f>
        <v>-244</v>
      </c>
      <c r="AB171" t="str">
        <f>IF(B171="","Missing Order Date",
IF(C171="","Missing Ship Date","OK"))</f>
        <v>OK</v>
      </c>
      <c r="AC171" s="7" t="str">
        <f>IF(C171&lt;B171, "Invalid", "Valid")</f>
        <v>Invalid</v>
      </c>
      <c r="AD171" s="7" t="str">
        <f>IF(COUNTIF($A:$A, A171)&gt;1, "Duplicate", "Unique")</f>
        <v>Unique</v>
      </c>
      <c r="AE171" s="7" t="str">
        <f>IF(G171="","Unknown",G171)</f>
        <v>East</v>
      </c>
      <c r="AF171" s="7" t="str">
        <f>IF(M171="","Unknown",M171)</f>
        <v>Standard Class</v>
      </c>
      <c r="AG171" s="7" t="str">
        <f>IF(P171&lt;0,"Invalid",
IF(P171&gt;1,"Invalid","Valid"))</f>
        <v>Valid</v>
      </c>
      <c r="AH171" s="7" t="str">
        <f>TEXT(B171,"mmmm")</f>
        <v>September</v>
      </c>
      <c r="AI171" s="7">
        <f t="shared" si="15"/>
        <v>2025</v>
      </c>
      <c r="AJ171" s="7" t="str">
        <f>IF(OR(R171&lt;0,C171&lt;B171),"Invalid",
IF(OR(G171="Unknown",M171="Unknown"),"Warning","Clean"))</f>
        <v>Invalid</v>
      </c>
      <c r="AK171" s="7" t="str">
        <f>IF(C171&lt;B171,"Ship Before Order","OK")</f>
        <v>Ship Before Order</v>
      </c>
      <c r="AL171" s="7" t="str">
        <f>IF(ISNUMBER(B171),"Valid","Invalid")</f>
        <v>Valid</v>
      </c>
      <c r="AM171" s="7" t="str">
        <f t="shared" si="16"/>
        <v>Ok</v>
      </c>
      <c r="AN171" s="7" t="str">
        <f t="shared" si="17"/>
        <v>Ok</v>
      </c>
    </row>
    <row r="172" spans="1:40">
      <c r="A172" t="s">
        <v>619</v>
      </c>
      <c r="B172" s="6">
        <v>45907</v>
      </c>
      <c r="C172" s="4">
        <v>45670</v>
      </c>
      <c r="D172" t="s">
        <v>620</v>
      </c>
      <c r="E172" t="s">
        <v>141</v>
      </c>
      <c r="F172" t="s">
        <v>90</v>
      </c>
      <c r="G172" t="s">
        <v>38</v>
      </c>
      <c r="H172" t="s">
        <v>145</v>
      </c>
      <c r="I172" t="s">
        <v>146</v>
      </c>
      <c r="J172" t="s">
        <v>74</v>
      </c>
      <c r="K172" t="s">
        <v>80</v>
      </c>
      <c r="L172" t="s">
        <v>621</v>
      </c>
      <c r="M172" t="s">
        <v>59</v>
      </c>
      <c r="N172">
        <v>3</v>
      </c>
      <c r="O172">
        <v>1711.32</v>
      </c>
      <c r="P172">
        <v>0</v>
      </c>
      <c r="Q172" s="7">
        <f>IF(P172="", 0, P172)</f>
        <v>0</v>
      </c>
      <c r="R172">
        <v>5133.96</v>
      </c>
      <c r="S172">
        <v>3930</v>
      </c>
      <c r="T172" s="7">
        <f>N172*O172*(1-Q172)</f>
        <v>5133.96</v>
      </c>
      <c r="U172" s="7">
        <f t="shared" si="12"/>
        <v>1203.96</v>
      </c>
      <c r="V172">
        <v>1203.96</v>
      </c>
      <c r="W172" s="12">
        <f t="shared" si="13"/>
        <v>0.23450903396208775</v>
      </c>
      <c r="X172" t="s">
        <v>32</v>
      </c>
      <c r="Y172" t="str">
        <f t="shared" si="14"/>
        <v>Paid</v>
      </c>
      <c r="Z172" t="s">
        <v>33</v>
      </c>
      <c r="AA172">
        <f>C172-B172</f>
        <v>-237</v>
      </c>
      <c r="AB172" t="str">
        <f>IF(B172="","Missing Order Date",
IF(C172="","Missing Ship Date","OK"))</f>
        <v>OK</v>
      </c>
      <c r="AC172" s="7" t="str">
        <f>IF(C172&lt;B172, "Invalid", "Valid")</f>
        <v>Invalid</v>
      </c>
      <c r="AD172" s="7" t="str">
        <f>IF(COUNTIF($A:$A, A172)&gt;1, "Duplicate", "Unique")</f>
        <v>Duplicate</v>
      </c>
      <c r="AE172" s="7" t="str">
        <f>IF(G172="","Unknown",G172)</f>
        <v>East</v>
      </c>
      <c r="AF172" s="7" t="str">
        <f>IF(M172="","Unknown",M172)</f>
        <v>Standard Class</v>
      </c>
      <c r="AG172" s="7" t="str">
        <f>IF(P172&lt;0,"Invalid",
IF(P172&gt;1,"Invalid","Valid"))</f>
        <v>Valid</v>
      </c>
      <c r="AH172" s="7" t="str">
        <f>TEXT(B172,"mmmm")</f>
        <v>September</v>
      </c>
      <c r="AI172" s="7">
        <f t="shared" si="15"/>
        <v>2025</v>
      </c>
      <c r="AJ172" s="7" t="str">
        <f>IF(OR(R172&lt;0,C172&lt;B172),"Invalid",
IF(OR(G172="Unknown",M172="Unknown"),"Warning","Clean"))</f>
        <v>Invalid</v>
      </c>
      <c r="AK172" s="7" t="str">
        <f>IF(C172&lt;B172,"Ship Before Order","OK")</f>
        <v>Ship Before Order</v>
      </c>
      <c r="AL172" s="7" t="str">
        <f>IF(ISNUMBER(B172),"Valid","Invalid")</f>
        <v>Valid</v>
      </c>
      <c r="AM172" s="7" t="str">
        <f t="shared" si="16"/>
        <v>Ok</v>
      </c>
      <c r="AN172" s="7" t="str">
        <f t="shared" si="17"/>
        <v>Ok</v>
      </c>
    </row>
    <row r="173" spans="1:40">
      <c r="A173" t="s">
        <v>622</v>
      </c>
      <c r="B173" s="6">
        <v>45711</v>
      </c>
      <c r="C173" s="4">
        <v>45671</v>
      </c>
      <c r="D173" t="s">
        <v>623</v>
      </c>
      <c r="E173" t="s">
        <v>23</v>
      </c>
      <c r="F173" t="s">
        <v>90</v>
      </c>
      <c r="G173" t="s">
        <v>38</v>
      </c>
      <c r="H173" t="s">
        <v>145</v>
      </c>
      <c r="I173" t="s">
        <v>146</v>
      </c>
      <c r="J173" t="s">
        <v>28</v>
      </c>
      <c r="K173" t="s">
        <v>91</v>
      </c>
      <c r="L173" t="s">
        <v>624</v>
      </c>
      <c r="M173" t="s">
        <v>44</v>
      </c>
      <c r="N173">
        <v>5</v>
      </c>
      <c r="O173">
        <v>4246.2700000000004</v>
      </c>
      <c r="P173">
        <v>0.25</v>
      </c>
      <c r="Q173" s="7">
        <f>IF(P173="", 0, P173)</f>
        <v>0.25</v>
      </c>
      <c r="R173">
        <v>15923.51</v>
      </c>
      <c r="S173">
        <v>11291.8</v>
      </c>
      <c r="T173" s="7">
        <f>N173*O173*(1-Q173)</f>
        <v>15923.512500000001</v>
      </c>
      <c r="U173" s="7">
        <f t="shared" si="12"/>
        <v>4631.7125000000015</v>
      </c>
      <c r="V173">
        <v>4631.71</v>
      </c>
      <c r="W173" s="12">
        <f t="shared" si="13"/>
        <v>0.29087253832971849</v>
      </c>
      <c r="X173" t="s">
        <v>32</v>
      </c>
      <c r="Y173" t="str">
        <f t="shared" si="14"/>
        <v>Paid</v>
      </c>
      <c r="Z173" t="s">
        <v>33</v>
      </c>
      <c r="AA173">
        <f>C173-B173</f>
        <v>-40</v>
      </c>
      <c r="AB173" t="str">
        <f>IF(B173="","Missing Order Date",
IF(C173="","Missing Ship Date","OK"))</f>
        <v>OK</v>
      </c>
      <c r="AC173" s="7" t="str">
        <f>IF(C173&lt;B173, "Invalid", "Valid")</f>
        <v>Invalid</v>
      </c>
      <c r="AD173" s="7" t="str">
        <f>IF(COUNTIF($A:$A, A173)&gt;1, "Duplicate", "Unique")</f>
        <v>Unique</v>
      </c>
      <c r="AE173" s="7" t="str">
        <f>IF(G173="","Unknown",G173)</f>
        <v>East</v>
      </c>
      <c r="AF173" s="7" t="str">
        <f>IF(M173="","Unknown",M173)</f>
        <v>Same Day</v>
      </c>
      <c r="AG173" s="7" t="str">
        <f>IF(P173&lt;0,"Invalid",
IF(P173&gt;1,"Invalid","Valid"))</f>
        <v>Valid</v>
      </c>
      <c r="AH173" s="7" t="str">
        <f>TEXT(B173,"mmmm")</f>
        <v>February</v>
      </c>
      <c r="AI173" s="7">
        <f t="shared" si="15"/>
        <v>2025</v>
      </c>
      <c r="AJ173" s="7" t="str">
        <f>IF(OR(R173&lt;0,C173&lt;B173),"Invalid",
IF(OR(G173="Unknown",M173="Unknown"),"Warning","Clean"))</f>
        <v>Invalid</v>
      </c>
      <c r="AK173" s="7" t="str">
        <f>IF(C173&lt;B173,"Ship Before Order","OK")</f>
        <v>Ship Before Order</v>
      </c>
      <c r="AL173" s="7" t="str">
        <f>IF(ISNUMBER(B173),"Valid","Invalid")</f>
        <v>Valid</v>
      </c>
      <c r="AM173" s="7" t="str">
        <f t="shared" si="16"/>
        <v>Missmatched</v>
      </c>
      <c r="AN173" s="7" t="str">
        <f t="shared" si="17"/>
        <v>Missmatched</v>
      </c>
    </row>
    <row r="174" spans="1:40">
      <c r="A174" t="s">
        <v>625</v>
      </c>
      <c r="B174" s="6">
        <v>45871</v>
      </c>
      <c r="C174" s="4">
        <v>45672</v>
      </c>
      <c r="D174" t="s">
        <v>626</v>
      </c>
      <c r="E174" t="s">
        <v>23</v>
      </c>
      <c r="F174" t="s">
        <v>90</v>
      </c>
      <c r="G174" t="s">
        <v>25</v>
      </c>
      <c r="H174" t="s">
        <v>350</v>
      </c>
      <c r="I174" t="s">
        <v>351</v>
      </c>
      <c r="J174" t="s">
        <v>41</v>
      </c>
      <c r="K174" t="s">
        <v>57</v>
      </c>
      <c r="L174" t="s">
        <v>627</v>
      </c>
      <c r="M174" t="s">
        <v>44</v>
      </c>
      <c r="N174">
        <v>9</v>
      </c>
      <c r="O174">
        <v>2962.62</v>
      </c>
      <c r="P174">
        <v>0.1</v>
      </c>
      <c r="Q174" s="7">
        <f>IF(P174="", 0, P174)</f>
        <v>0.1</v>
      </c>
      <c r="R174">
        <v>23997.22</v>
      </c>
      <c r="S174">
        <v>16134.63</v>
      </c>
      <c r="T174" s="7">
        <f>N174*O174*(1-Q174)</f>
        <v>23997.221999999998</v>
      </c>
      <c r="U174" s="7">
        <f t="shared" si="12"/>
        <v>7862.5919999999987</v>
      </c>
      <c r="V174">
        <v>7862.59</v>
      </c>
      <c r="W174" s="12">
        <f t="shared" si="13"/>
        <v>0.32764592501582057</v>
      </c>
      <c r="X174" t="s">
        <v>102</v>
      </c>
      <c r="Y174" t="str">
        <f t="shared" si="14"/>
        <v>Refunded</v>
      </c>
      <c r="Z174" t="s">
        <v>103</v>
      </c>
      <c r="AA174">
        <f>C174-B174</f>
        <v>-199</v>
      </c>
      <c r="AB174" t="str">
        <f>IF(B174="","Missing Order Date",
IF(C174="","Missing Ship Date","OK"))</f>
        <v>OK</v>
      </c>
      <c r="AC174" s="7" t="str">
        <f>IF(C174&lt;B174, "Invalid", "Valid")</f>
        <v>Invalid</v>
      </c>
      <c r="AD174" s="7" t="str">
        <f>IF(COUNTIF($A:$A, A174)&gt;1, "Duplicate", "Unique")</f>
        <v>Unique</v>
      </c>
      <c r="AE174" s="7" t="str">
        <f>IF(G174="","Unknown",G174)</f>
        <v>North</v>
      </c>
      <c r="AF174" s="7" t="str">
        <f>IF(M174="","Unknown",M174)</f>
        <v>Same Day</v>
      </c>
      <c r="AG174" s="7" t="str">
        <f>IF(P174&lt;0,"Invalid",
IF(P174&gt;1,"Invalid","Valid"))</f>
        <v>Valid</v>
      </c>
      <c r="AH174" s="7" t="str">
        <f>TEXT(B174,"mmmm")</f>
        <v>August</v>
      </c>
      <c r="AI174" s="7">
        <f t="shared" si="15"/>
        <v>2025</v>
      </c>
      <c r="AJ174" s="7" t="str">
        <f>IF(OR(R174&lt;0,C174&lt;B174),"Invalid",
IF(OR(G174="Unknown",M174="Unknown"),"Warning","Clean"))</f>
        <v>Invalid</v>
      </c>
      <c r="AK174" s="7" t="str">
        <f>IF(C174&lt;B174,"Ship Before Order","OK")</f>
        <v>Ship Before Order</v>
      </c>
      <c r="AL174" s="7" t="str">
        <f>IF(ISNUMBER(B174),"Valid","Invalid")</f>
        <v>Valid</v>
      </c>
      <c r="AM174" s="7" t="str">
        <f t="shared" si="16"/>
        <v>Missmatched</v>
      </c>
      <c r="AN174" s="7" t="str">
        <f t="shared" si="17"/>
        <v>Missmatched</v>
      </c>
    </row>
    <row r="175" spans="1:40">
      <c r="A175" t="s">
        <v>628</v>
      </c>
      <c r="B175" s="6">
        <v>45414</v>
      </c>
      <c r="C175" s="4">
        <v>45673</v>
      </c>
      <c r="D175" t="s">
        <v>629</v>
      </c>
      <c r="E175" t="s">
        <v>114</v>
      </c>
      <c r="F175" t="s">
        <v>95</v>
      </c>
      <c r="G175" t="s">
        <v>25</v>
      </c>
      <c r="H175" t="s">
        <v>122</v>
      </c>
      <c r="I175" t="s">
        <v>123</v>
      </c>
      <c r="J175" t="s">
        <v>74</v>
      </c>
      <c r="K175" t="s">
        <v>80</v>
      </c>
      <c r="L175" t="s">
        <v>630</v>
      </c>
      <c r="M175" t="s">
        <v>31</v>
      </c>
      <c r="N175">
        <v>1</v>
      </c>
      <c r="O175">
        <v>2312.25</v>
      </c>
      <c r="P175">
        <v>0.25</v>
      </c>
      <c r="Q175" s="7">
        <f>IF(P175="", 0, P175)</f>
        <v>0.25</v>
      </c>
      <c r="R175">
        <v>1734.19</v>
      </c>
      <c r="S175">
        <v>1386.07</v>
      </c>
      <c r="T175" s="7">
        <f>N175*O175*(1-Q175)</f>
        <v>1734.1875</v>
      </c>
      <c r="U175" s="7">
        <f t="shared" si="12"/>
        <v>348.11750000000006</v>
      </c>
      <c r="V175">
        <v>348.12</v>
      </c>
      <c r="W175" s="12">
        <f t="shared" si="13"/>
        <v>0.20073809781237614</v>
      </c>
      <c r="X175" t="s">
        <v>32</v>
      </c>
      <c r="Y175" t="str">
        <f t="shared" si="14"/>
        <v>Paid</v>
      </c>
      <c r="Z175" t="s">
        <v>33</v>
      </c>
      <c r="AA175">
        <f>C175-B175</f>
        <v>259</v>
      </c>
      <c r="AB175" t="str">
        <f>IF(B175="","Missing Order Date",
IF(C175="","Missing Ship Date","OK"))</f>
        <v>OK</v>
      </c>
      <c r="AC175" s="7" t="str">
        <f>IF(C175&lt;B175, "Invalid", "Valid")</f>
        <v>Valid</v>
      </c>
      <c r="AD175" s="7" t="str">
        <f>IF(COUNTIF($A:$A, A175)&gt;1, "Duplicate", "Unique")</f>
        <v>Unique</v>
      </c>
      <c r="AE175" s="7" t="str">
        <f>IF(G175="","Unknown",G175)</f>
        <v>North</v>
      </c>
      <c r="AF175" s="7" t="str">
        <f>IF(M175="","Unknown",M175)</f>
        <v>Second Class</v>
      </c>
      <c r="AG175" s="7" t="str">
        <f>IF(P175&lt;0,"Invalid",
IF(P175&gt;1,"Invalid","Valid"))</f>
        <v>Valid</v>
      </c>
      <c r="AH175" s="7" t="str">
        <f>TEXT(B175,"mmmm")</f>
        <v>May</v>
      </c>
      <c r="AI175" s="7">
        <f t="shared" si="15"/>
        <v>2024</v>
      </c>
      <c r="AJ175" s="7" t="str">
        <f>IF(OR(R175&lt;0,C175&lt;B175),"Invalid",
IF(OR(G175="Unknown",M175="Unknown"),"Warning","Clean"))</f>
        <v>Clean</v>
      </c>
      <c r="AK175" s="7" t="str">
        <f>IF(C175&lt;B175,"Ship Before Order","OK")</f>
        <v>OK</v>
      </c>
      <c r="AL175" s="7" t="str">
        <f>IF(ISNUMBER(B175),"Valid","Invalid")</f>
        <v>Valid</v>
      </c>
      <c r="AM175" s="7" t="str">
        <f t="shared" si="16"/>
        <v>Missmatched</v>
      </c>
      <c r="AN175" s="7" t="str">
        <f t="shared" si="17"/>
        <v>Missmatched</v>
      </c>
    </row>
    <row r="176" spans="1:40">
      <c r="A176" t="s">
        <v>631</v>
      </c>
      <c r="B176" s="6">
        <v>45928</v>
      </c>
      <c r="C176" s="4">
        <v>45674</v>
      </c>
      <c r="D176" t="s">
        <v>632</v>
      </c>
      <c r="E176" t="s">
        <v>23</v>
      </c>
      <c r="F176" t="s">
        <v>37</v>
      </c>
      <c r="G176" t="s">
        <v>54</v>
      </c>
      <c r="H176" t="s">
        <v>175</v>
      </c>
      <c r="I176" t="s">
        <v>176</v>
      </c>
      <c r="J176" t="s">
        <v>41</v>
      </c>
      <c r="K176" t="s">
        <v>158</v>
      </c>
      <c r="L176" t="s">
        <v>633</v>
      </c>
      <c r="M176" t="s">
        <v>50</v>
      </c>
      <c r="N176">
        <v>6</v>
      </c>
      <c r="O176">
        <v>1620.53</v>
      </c>
      <c r="P176">
        <v>0.15</v>
      </c>
      <c r="Q176" s="7">
        <f>IF(P176="", 0, P176)</f>
        <v>0.15</v>
      </c>
      <c r="R176">
        <v>8264.7000000000007</v>
      </c>
      <c r="S176">
        <v>4768.75</v>
      </c>
      <c r="T176" s="7">
        <f>N176*O176*(1-Q176)</f>
        <v>8264.7029999999995</v>
      </c>
      <c r="U176" s="7">
        <f t="shared" si="12"/>
        <v>3495.9529999999995</v>
      </c>
      <c r="V176">
        <v>3495.95</v>
      </c>
      <c r="W176" s="12">
        <f t="shared" si="13"/>
        <v>0.42299801940856191</v>
      </c>
      <c r="X176" t="s">
        <v>111</v>
      </c>
      <c r="Y176" t="str">
        <f t="shared" si="14"/>
        <v>Pending</v>
      </c>
      <c r="Z176" t="s">
        <v>103</v>
      </c>
      <c r="AA176">
        <f>C176-B176</f>
        <v>-254</v>
      </c>
      <c r="AB176" t="str">
        <f>IF(B176="","Missing Order Date",
IF(C176="","Missing Ship Date","OK"))</f>
        <v>OK</v>
      </c>
      <c r="AC176" s="7" t="str">
        <f>IF(C176&lt;B176, "Invalid", "Valid")</f>
        <v>Invalid</v>
      </c>
      <c r="AD176" s="7" t="str">
        <f>IF(COUNTIF($A:$A, A176)&gt;1, "Duplicate", "Unique")</f>
        <v>Unique</v>
      </c>
      <c r="AE176" s="7" t="str">
        <f>IF(G176="","Unknown",G176)</f>
        <v>South</v>
      </c>
      <c r="AF176" s="7" t="str">
        <f>IF(M176="","Unknown",M176)</f>
        <v>First Class</v>
      </c>
      <c r="AG176" s="7" t="str">
        <f>IF(P176&lt;0,"Invalid",
IF(P176&gt;1,"Invalid","Valid"))</f>
        <v>Valid</v>
      </c>
      <c r="AH176" s="7" t="str">
        <f>TEXT(B176,"mmmm")</f>
        <v>September</v>
      </c>
      <c r="AI176" s="7">
        <f t="shared" si="15"/>
        <v>2025</v>
      </c>
      <c r="AJ176" s="7" t="str">
        <f>IF(OR(R176&lt;0,C176&lt;B176),"Invalid",
IF(OR(G176="Unknown",M176="Unknown"),"Warning","Clean"))</f>
        <v>Invalid</v>
      </c>
      <c r="AK176" s="7" t="str">
        <f>IF(C176&lt;B176,"Ship Before Order","OK")</f>
        <v>Ship Before Order</v>
      </c>
      <c r="AL176" s="7" t="str">
        <f>IF(ISNUMBER(B176),"Valid","Invalid")</f>
        <v>Valid</v>
      </c>
      <c r="AM176" s="7" t="str">
        <f t="shared" si="16"/>
        <v>Missmatched</v>
      </c>
      <c r="AN176" s="7" t="str">
        <f t="shared" si="17"/>
        <v>Missmatched</v>
      </c>
    </row>
    <row r="177" spans="1:40">
      <c r="A177" t="s">
        <v>634</v>
      </c>
      <c r="B177" s="6">
        <v>45318</v>
      </c>
      <c r="C177" s="4">
        <v>45675</v>
      </c>
      <c r="D177" t="s">
        <v>635</v>
      </c>
      <c r="E177" t="s">
        <v>53</v>
      </c>
      <c r="F177" t="s">
        <v>37</v>
      </c>
      <c r="G177" t="s">
        <v>38</v>
      </c>
      <c r="H177" t="s">
        <v>145</v>
      </c>
      <c r="I177" t="s">
        <v>146</v>
      </c>
      <c r="J177" t="s">
        <v>74</v>
      </c>
      <c r="K177" t="s">
        <v>274</v>
      </c>
      <c r="L177" t="s">
        <v>636</v>
      </c>
      <c r="M177" t="s">
        <v>44</v>
      </c>
      <c r="N177">
        <v>7</v>
      </c>
      <c r="O177">
        <v>2673.42</v>
      </c>
      <c r="P177">
        <v>0.15</v>
      </c>
      <c r="Q177" s="7">
        <f>IF(P177="", 0, P177)</f>
        <v>0.15</v>
      </c>
      <c r="R177">
        <v>15906.85</v>
      </c>
      <c r="S177">
        <v>11014.46</v>
      </c>
      <c r="T177" s="7">
        <f>N177*O177*(1-Q177)</f>
        <v>15906.849000000002</v>
      </c>
      <c r="U177" s="7">
        <f t="shared" si="12"/>
        <v>4892.3890000000029</v>
      </c>
      <c r="V177">
        <v>4892.3900000000003</v>
      </c>
      <c r="W177" s="12">
        <f t="shared" si="13"/>
        <v>0.30756493633654297</v>
      </c>
      <c r="X177" t="s">
        <v>32</v>
      </c>
      <c r="Y177" t="str">
        <f t="shared" si="14"/>
        <v>Paid</v>
      </c>
      <c r="Z177" t="s">
        <v>103</v>
      </c>
      <c r="AA177">
        <f>C177-B177</f>
        <v>357</v>
      </c>
      <c r="AB177" t="str">
        <f>IF(B177="","Missing Order Date",
IF(C177="","Missing Ship Date","OK"))</f>
        <v>OK</v>
      </c>
      <c r="AC177" s="7" t="str">
        <f>IF(C177&lt;B177, "Invalid", "Valid")</f>
        <v>Valid</v>
      </c>
      <c r="AD177" s="7" t="str">
        <f>IF(COUNTIF($A:$A, A177)&gt;1, "Duplicate", "Unique")</f>
        <v>Unique</v>
      </c>
      <c r="AE177" s="7" t="str">
        <f>IF(G177="","Unknown",G177)</f>
        <v>East</v>
      </c>
      <c r="AF177" s="7" t="str">
        <f>IF(M177="","Unknown",M177)</f>
        <v>Same Day</v>
      </c>
      <c r="AG177" s="7" t="str">
        <f>IF(P177&lt;0,"Invalid",
IF(P177&gt;1,"Invalid","Valid"))</f>
        <v>Valid</v>
      </c>
      <c r="AH177" s="7" t="str">
        <f>TEXT(B177,"mmmm")</f>
        <v>January</v>
      </c>
      <c r="AI177" s="7">
        <f t="shared" si="15"/>
        <v>2024</v>
      </c>
      <c r="AJ177" s="7" t="str">
        <f>IF(OR(R177&lt;0,C177&lt;B177),"Invalid",
IF(OR(G177="Unknown",M177="Unknown"),"Warning","Clean"))</f>
        <v>Clean</v>
      </c>
      <c r="AK177" s="7" t="str">
        <f>IF(C177&lt;B177,"Ship Before Order","OK")</f>
        <v>OK</v>
      </c>
      <c r="AL177" s="7" t="str">
        <f>IF(ISNUMBER(B177),"Valid","Invalid")</f>
        <v>Valid</v>
      </c>
      <c r="AM177" s="7" t="str">
        <f t="shared" si="16"/>
        <v>Missmatched</v>
      </c>
      <c r="AN177" s="7" t="str">
        <f t="shared" si="17"/>
        <v>Missmatched</v>
      </c>
    </row>
    <row r="178" spans="1:40">
      <c r="A178" t="s">
        <v>637</v>
      </c>
      <c r="B178" s="6">
        <v>45734</v>
      </c>
      <c r="C178" s="4">
        <v>45676</v>
      </c>
      <c r="D178" t="s">
        <v>638</v>
      </c>
      <c r="E178" t="s">
        <v>71</v>
      </c>
      <c r="F178" t="s">
        <v>90</v>
      </c>
      <c r="G178" t="s">
        <v>38</v>
      </c>
      <c r="H178" t="s">
        <v>228</v>
      </c>
      <c r="I178" t="s">
        <v>229</v>
      </c>
      <c r="J178" t="s">
        <v>41</v>
      </c>
      <c r="K178" t="s">
        <v>158</v>
      </c>
      <c r="L178" t="s">
        <v>639</v>
      </c>
      <c r="M178" t="s">
        <v>59</v>
      </c>
      <c r="N178">
        <v>8</v>
      </c>
      <c r="O178">
        <v>3563.09</v>
      </c>
      <c r="P178">
        <v>0.15</v>
      </c>
      <c r="Q178" s="7">
        <f>IF(P178="", 0, P178)</f>
        <v>0.15</v>
      </c>
      <c r="R178">
        <v>24229.01</v>
      </c>
      <c r="S178">
        <v>13910.64</v>
      </c>
      <c r="T178" s="7">
        <f>N178*O178*(1-Q178)</f>
        <v>24229.011999999999</v>
      </c>
      <c r="U178" s="7">
        <f t="shared" si="12"/>
        <v>10318.371999999999</v>
      </c>
      <c r="V178">
        <v>10318.370000000001</v>
      </c>
      <c r="W178" s="12">
        <f t="shared" si="13"/>
        <v>0.42586845885420338</v>
      </c>
      <c r="X178" t="s">
        <v>32</v>
      </c>
      <c r="Y178" t="str">
        <f t="shared" si="14"/>
        <v>Paid</v>
      </c>
      <c r="Z178" t="s">
        <v>33</v>
      </c>
      <c r="AA178">
        <f>C178-B178</f>
        <v>-58</v>
      </c>
      <c r="AB178" t="str">
        <f>IF(B178="","Missing Order Date",
IF(C178="","Missing Ship Date","OK"))</f>
        <v>OK</v>
      </c>
      <c r="AC178" s="7" t="str">
        <f>IF(C178&lt;B178, "Invalid", "Valid")</f>
        <v>Invalid</v>
      </c>
      <c r="AD178" s="7" t="str">
        <f>IF(COUNTIF($A:$A, A178)&gt;1, "Duplicate", "Unique")</f>
        <v>Unique</v>
      </c>
      <c r="AE178" s="7" t="str">
        <f>IF(G178="","Unknown",G178)</f>
        <v>East</v>
      </c>
      <c r="AF178" s="7" t="str">
        <f>IF(M178="","Unknown",M178)</f>
        <v>Standard Class</v>
      </c>
      <c r="AG178" s="7" t="str">
        <f>IF(P178&lt;0,"Invalid",
IF(P178&gt;1,"Invalid","Valid"))</f>
        <v>Valid</v>
      </c>
      <c r="AH178" s="7" t="str">
        <f>TEXT(B178,"mmmm")</f>
        <v>March</v>
      </c>
      <c r="AI178" s="7">
        <f t="shared" si="15"/>
        <v>2025</v>
      </c>
      <c r="AJ178" s="7" t="str">
        <f>IF(OR(R178&lt;0,C178&lt;B178),"Invalid",
IF(OR(G178="Unknown",M178="Unknown"),"Warning","Clean"))</f>
        <v>Invalid</v>
      </c>
      <c r="AK178" s="7" t="str">
        <f>IF(C178&lt;B178,"Ship Before Order","OK")</f>
        <v>Ship Before Order</v>
      </c>
      <c r="AL178" s="7" t="str">
        <f>IF(ISNUMBER(B178),"Valid","Invalid")</f>
        <v>Valid</v>
      </c>
      <c r="AM178" s="7" t="str">
        <f t="shared" si="16"/>
        <v>Missmatched</v>
      </c>
      <c r="AN178" s="7" t="str">
        <f t="shared" si="17"/>
        <v>Missmatched</v>
      </c>
    </row>
    <row r="179" spans="1:40">
      <c r="A179" t="s">
        <v>640</v>
      </c>
      <c r="B179" s="6">
        <v>45444</v>
      </c>
      <c r="C179" s="4">
        <v>45677</v>
      </c>
      <c r="D179" t="s">
        <v>641</v>
      </c>
      <c r="E179" t="s">
        <v>132</v>
      </c>
      <c r="F179" t="s">
        <v>95</v>
      </c>
      <c r="G179" t="s">
        <v>2785</v>
      </c>
      <c r="H179" t="s">
        <v>145</v>
      </c>
      <c r="I179" t="s">
        <v>146</v>
      </c>
      <c r="J179" t="s">
        <v>28</v>
      </c>
      <c r="K179" t="s">
        <v>48</v>
      </c>
      <c r="L179" t="s">
        <v>642</v>
      </c>
      <c r="M179" t="s">
        <v>44</v>
      </c>
      <c r="N179">
        <v>8</v>
      </c>
      <c r="O179">
        <v>3879.95</v>
      </c>
      <c r="P179">
        <v>0</v>
      </c>
      <c r="Q179" s="7">
        <f>IF(P179="", 0, P179)</f>
        <v>0</v>
      </c>
      <c r="R179">
        <v>31039.599999999999</v>
      </c>
      <c r="S179">
        <v>20866.72</v>
      </c>
      <c r="T179" s="7">
        <f>N179*O179*(1-Q179)</f>
        <v>31039.599999999999</v>
      </c>
      <c r="U179" s="7">
        <f t="shared" si="12"/>
        <v>10172.879999999997</v>
      </c>
      <c r="V179">
        <v>10172.879999999999</v>
      </c>
      <c r="W179" s="12">
        <f t="shared" si="13"/>
        <v>0.32773875952009685</v>
      </c>
      <c r="X179" t="s">
        <v>32</v>
      </c>
      <c r="Y179" t="str">
        <f t="shared" si="14"/>
        <v>Paid</v>
      </c>
      <c r="Z179" t="s">
        <v>33</v>
      </c>
      <c r="AA179">
        <f>C179-B179</f>
        <v>233</v>
      </c>
      <c r="AB179" t="str">
        <f>IF(B179="","Missing Order Date",
IF(C179="","Missing Ship Date","OK"))</f>
        <v>OK</v>
      </c>
      <c r="AC179" s="7" t="str">
        <f>IF(C179&lt;B179, "Invalid", "Valid")</f>
        <v>Valid</v>
      </c>
      <c r="AD179" s="7" t="str">
        <f>IF(COUNTIF($A:$A, A179)&gt;1, "Duplicate", "Unique")</f>
        <v>Unique</v>
      </c>
      <c r="AE179" s="7" t="str">
        <f>IF(G179="","Unknown",G179)</f>
        <v>Unknown</v>
      </c>
      <c r="AF179" s="7" t="str">
        <f>IF(M179="","Unknown",M179)</f>
        <v>Same Day</v>
      </c>
      <c r="AG179" s="7" t="str">
        <f>IF(P179&lt;0,"Invalid",
IF(P179&gt;1,"Invalid","Valid"))</f>
        <v>Valid</v>
      </c>
      <c r="AH179" s="7" t="str">
        <f>TEXT(B179,"mmmm")</f>
        <v>June</v>
      </c>
      <c r="AI179" s="7">
        <f t="shared" si="15"/>
        <v>2024</v>
      </c>
      <c r="AJ179" s="7" t="str">
        <f>IF(OR(R179&lt;0,C179&lt;B179),"Invalid",
IF(OR(G179="Unknown",M179="Unknown"),"Warning","Clean"))</f>
        <v>Clean</v>
      </c>
      <c r="AK179" s="7" t="str">
        <f>IF(C179&lt;B179,"Ship Before Order","OK")</f>
        <v>OK</v>
      </c>
      <c r="AL179" s="7" t="str">
        <f>IF(ISNUMBER(B179),"Valid","Invalid")</f>
        <v>Valid</v>
      </c>
      <c r="AM179" s="7" t="str">
        <f t="shared" si="16"/>
        <v>Ok</v>
      </c>
      <c r="AN179" s="7" t="str">
        <f t="shared" si="17"/>
        <v>Ok</v>
      </c>
    </row>
    <row r="180" spans="1:40">
      <c r="A180" t="s">
        <v>643</v>
      </c>
      <c r="B180" s="6">
        <v>45565</v>
      </c>
      <c r="C180" s="4">
        <v>45678</v>
      </c>
      <c r="D180" t="s">
        <v>644</v>
      </c>
      <c r="E180" t="s">
        <v>47</v>
      </c>
      <c r="F180" t="s">
        <v>90</v>
      </c>
      <c r="G180" t="s">
        <v>54</v>
      </c>
      <c r="H180" t="s">
        <v>55</v>
      </c>
      <c r="I180" t="s">
        <v>56</v>
      </c>
      <c r="J180" t="s">
        <v>28</v>
      </c>
      <c r="K180" t="s">
        <v>48</v>
      </c>
      <c r="L180" t="s">
        <v>645</v>
      </c>
      <c r="M180" t="s">
        <v>59</v>
      </c>
      <c r="N180">
        <v>4</v>
      </c>
      <c r="O180">
        <v>3281.74</v>
      </c>
      <c r="P180">
        <v>0</v>
      </c>
      <c r="Q180" s="7">
        <f>IF(P180="", 0, P180)</f>
        <v>0</v>
      </c>
      <c r="R180">
        <v>13126.96</v>
      </c>
      <c r="S180">
        <v>10732.44</v>
      </c>
      <c r="T180" s="7">
        <f>N180*O180*(1-Q180)</f>
        <v>13126.96</v>
      </c>
      <c r="U180" s="7">
        <f t="shared" si="12"/>
        <v>2394.5199999999986</v>
      </c>
      <c r="V180">
        <v>2394.52</v>
      </c>
      <c r="W180" s="12">
        <f t="shared" si="13"/>
        <v>0.18241237879905162</v>
      </c>
      <c r="X180" t="s">
        <v>32</v>
      </c>
      <c r="Y180" t="str">
        <f t="shared" si="14"/>
        <v>Paid</v>
      </c>
      <c r="Z180" t="s">
        <v>33</v>
      </c>
      <c r="AA180">
        <f>C180-B180</f>
        <v>113</v>
      </c>
      <c r="AB180" t="str">
        <f>IF(B180="","Missing Order Date",
IF(C180="","Missing Ship Date","OK"))</f>
        <v>OK</v>
      </c>
      <c r="AC180" s="7" t="str">
        <f>IF(C180&lt;B180, "Invalid", "Valid")</f>
        <v>Valid</v>
      </c>
      <c r="AD180" s="7" t="str">
        <f>IF(COUNTIF($A:$A, A180)&gt;1, "Duplicate", "Unique")</f>
        <v>Unique</v>
      </c>
      <c r="AE180" s="7" t="str">
        <f>IF(G180="","Unknown",G180)</f>
        <v>South</v>
      </c>
      <c r="AF180" s="7" t="str">
        <f>IF(M180="","Unknown",M180)</f>
        <v>Standard Class</v>
      </c>
      <c r="AG180" s="7" t="str">
        <f>IF(P180&lt;0,"Invalid",
IF(P180&gt;1,"Invalid","Valid"))</f>
        <v>Valid</v>
      </c>
      <c r="AH180" s="7" t="str">
        <f>TEXT(B180,"mmmm")</f>
        <v>September</v>
      </c>
      <c r="AI180" s="7">
        <f t="shared" si="15"/>
        <v>2024</v>
      </c>
      <c r="AJ180" s="7" t="str">
        <f>IF(OR(R180&lt;0,C180&lt;B180),"Invalid",
IF(OR(G180="Unknown",M180="Unknown"),"Warning","Clean"))</f>
        <v>Clean</v>
      </c>
      <c r="AK180" s="7" t="str">
        <f>IF(C180&lt;B180,"Ship Before Order","OK")</f>
        <v>OK</v>
      </c>
      <c r="AL180" s="7" t="str">
        <f>IF(ISNUMBER(B180),"Valid","Invalid")</f>
        <v>Valid</v>
      </c>
      <c r="AM180" s="7" t="str">
        <f t="shared" si="16"/>
        <v>Ok</v>
      </c>
      <c r="AN180" s="7" t="str">
        <f t="shared" si="17"/>
        <v>Ok</v>
      </c>
    </row>
    <row r="181" spans="1:40">
      <c r="A181" t="s">
        <v>646</v>
      </c>
      <c r="B181" s="6">
        <v>45366</v>
      </c>
      <c r="C181" s="4">
        <v>45679</v>
      </c>
      <c r="D181" t="s">
        <v>647</v>
      </c>
      <c r="E181" t="s">
        <v>62</v>
      </c>
      <c r="F181" t="s">
        <v>37</v>
      </c>
      <c r="G181" t="s">
        <v>54</v>
      </c>
      <c r="H181" t="s">
        <v>247</v>
      </c>
      <c r="I181" t="s">
        <v>248</v>
      </c>
      <c r="J181" t="s">
        <v>41</v>
      </c>
      <c r="K181" t="s">
        <v>57</v>
      </c>
      <c r="L181" t="s">
        <v>648</v>
      </c>
      <c r="M181" t="s">
        <v>59</v>
      </c>
      <c r="N181">
        <v>4</v>
      </c>
      <c r="O181">
        <v>3186.3</v>
      </c>
      <c r="P181">
        <v>0.25</v>
      </c>
      <c r="Q181" s="7">
        <f>IF(P181="", 0, P181)</f>
        <v>0.25</v>
      </c>
      <c r="R181">
        <v>9558.9</v>
      </c>
      <c r="S181">
        <v>5516.76</v>
      </c>
      <c r="T181" s="7">
        <f>N181*O181*(1-Q181)</f>
        <v>9558.9000000000015</v>
      </c>
      <c r="U181" s="7">
        <f t="shared" si="12"/>
        <v>4042.1400000000012</v>
      </c>
      <c r="V181">
        <v>4042.14</v>
      </c>
      <c r="W181" s="12">
        <f t="shared" si="13"/>
        <v>0.42286664783604816</v>
      </c>
      <c r="X181" t="s">
        <v>102</v>
      </c>
      <c r="Y181" t="str">
        <f t="shared" si="14"/>
        <v>Refunded</v>
      </c>
      <c r="Z181" t="s">
        <v>103</v>
      </c>
      <c r="AA181">
        <f>C181-B181</f>
        <v>313</v>
      </c>
      <c r="AB181" t="str">
        <f>IF(B181="","Missing Order Date",
IF(C181="","Missing Ship Date","OK"))</f>
        <v>OK</v>
      </c>
      <c r="AC181" s="7" t="str">
        <f>IF(C181&lt;B181, "Invalid", "Valid")</f>
        <v>Valid</v>
      </c>
      <c r="AD181" s="7" t="str">
        <f>IF(COUNTIF($A:$A, A181)&gt;1, "Duplicate", "Unique")</f>
        <v>Unique</v>
      </c>
      <c r="AE181" s="7" t="str">
        <f>IF(G181="","Unknown",G181)</f>
        <v>South</v>
      </c>
      <c r="AF181" s="7" t="str">
        <f>IF(M181="","Unknown",M181)</f>
        <v>Standard Class</v>
      </c>
      <c r="AG181" s="7" t="str">
        <f>IF(P181&lt;0,"Invalid",
IF(P181&gt;1,"Invalid","Valid"))</f>
        <v>Valid</v>
      </c>
      <c r="AH181" s="7" t="str">
        <f>TEXT(B181,"mmmm")</f>
        <v>March</v>
      </c>
      <c r="AI181" s="7">
        <f t="shared" si="15"/>
        <v>2024</v>
      </c>
      <c r="AJ181" s="7" t="str">
        <f>IF(OR(R181&lt;0,C181&lt;B181),"Invalid",
IF(OR(G181="Unknown",M181="Unknown"),"Warning","Clean"))</f>
        <v>Clean</v>
      </c>
      <c r="AK181" s="7" t="str">
        <f>IF(C181&lt;B181,"Ship Before Order","OK")</f>
        <v>OK</v>
      </c>
      <c r="AL181" s="7" t="str">
        <f>IF(ISNUMBER(B181),"Valid","Invalid")</f>
        <v>Valid</v>
      </c>
      <c r="AM181" s="7" t="str">
        <f t="shared" si="16"/>
        <v>Ok</v>
      </c>
      <c r="AN181" s="7" t="str">
        <f t="shared" si="17"/>
        <v>Ok</v>
      </c>
    </row>
    <row r="182" spans="1:40">
      <c r="A182" t="s">
        <v>649</v>
      </c>
      <c r="B182" s="6">
        <v>45530</v>
      </c>
      <c r="C182" s="4">
        <v>45680</v>
      </c>
      <c r="D182" t="s">
        <v>650</v>
      </c>
      <c r="E182" t="s">
        <v>36</v>
      </c>
      <c r="F182" t="s">
        <v>95</v>
      </c>
      <c r="G182" t="s">
        <v>25</v>
      </c>
      <c r="H182" t="s">
        <v>136</v>
      </c>
      <c r="I182" t="s">
        <v>137</v>
      </c>
      <c r="J182" t="s">
        <v>28</v>
      </c>
      <c r="K182" t="s">
        <v>153</v>
      </c>
      <c r="L182" t="s">
        <v>651</v>
      </c>
      <c r="M182" t="s">
        <v>50</v>
      </c>
      <c r="N182">
        <v>7</v>
      </c>
      <c r="O182">
        <v>844.59</v>
      </c>
      <c r="P182">
        <v>0.1</v>
      </c>
      <c r="Q182" s="7">
        <f>IF(P182="", 0, P182)</f>
        <v>0.1</v>
      </c>
      <c r="R182">
        <v>5320.92</v>
      </c>
      <c r="S182">
        <v>3041.5</v>
      </c>
      <c r="T182" s="7">
        <f>N182*O182*(1-Q182)</f>
        <v>5320.9170000000004</v>
      </c>
      <c r="U182" s="7">
        <f t="shared" si="12"/>
        <v>2279.4170000000004</v>
      </c>
      <c r="V182">
        <v>2279.42</v>
      </c>
      <c r="W182" s="12">
        <f t="shared" si="13"/>
        <v>0.42838800154183954</v>
      </c>
      <c r="X182" t="s">
        <v>32</v>
      </c>
      <c r="Y182" t="str">
        <f t="shared" si="14"/>
        <v>Paid</v>
      </c>
      <c r="Z182" t="s">
        <v>33</v>
      </c>
      <c r="AA182">
        <f>C182-B182</f>
        <v>150</v>
      </c>
      <c r="AB182" t="str">
        <f>IF(B182="","Missing Order Date",
IF(C182="","Missing Ship Date","OK"))</f>
        <v>OK</v>
      </c>
      <c r="AC182" s="7" t="str">
        <f>IF(C182&lt;B182, "Invalid", "Valid")</f>
        <v>Valid</v>
      </c>
      <c r="AD182" s="7" t="str">
        <f>IF(COUNTIF($A:$A, A182)&gt;1, "Duplicate", "Unique")</f>
        <v>Unique</v>
      </c>
      <c r="AE182" s="7" t="str">
        <f>IF(G182="","Unknown",G182)</f>
        <v>North</v>
      </c>
      <c r="AF182" s="7" t="str">
        <f>IF(M182="","Unknown",M182)</f>
        <v>First Class</v>
      </c>
      <c r="AG182" s="7" t="str">
        <f>IF(P182&lt;0,"Invalid",
IF(P182&gt;1,"Invalid","Valid"))</f>
        <v>Valid</v>
      </c>
      <c r="AH182" s="7" t="str">
        <f>TEXT(B182,"mmmm")</f>
        <v>August</v>
      </c>
      <c r="AI182" s="7">
        <f t="shared" si="15"/>
        <v>2024</v>
      </c>
      <c r="AJ182" s="7" t="str">
        <f>IF(OR(R182&lt;0,C182&lt;B182),"Invalid",
IF(OR(G182="Unknown",M182="Unknown"),"Warning","Clean"))</f>
        <v>Clean</v>
      </c>
      <c r="AK182" s="7" t="str">
        <f>IF(C182&lt;B182,"Ship Before Order","OK")</f>
        <v>OK</v>
      </c>
      <c r="AL182" s="7" t="str">
        <f>IF(ISNUMBER(B182),"Valid","Invalid")</f>
        <v>Valid</v>
      </c>
      <c r="AM182" s="7" t="str">
        <f t="shared" si="16"/>
        <v>Missmatched</v>
      </c>
      <c r="AN182" s="7" t="str">
        <f t="shared" si="17"/>
        <v>Missmatched</v>
      </c>
    </row>
    <row r="183" spans="1:40">
      <c r="A183" t="s">
        <v>652</v>
      </c>
      <c r="B183" s="6">
        <v>45909</v>
      </c>
      <c r="C183" s="4">
        <v>45681</v>
      </c>
      <c r="D183" t="s">
        <v>653</v>
      </c>
      <c r="E183" t="s">
        <v>114</v>
      </c>
      <c r="F183" t="s">
        <v>95</v>
      </c>
      <c r="G183" t="s">
        <v>54</v>
      </c>
      <c r="H183" t="s">
        <v>247</v>
      </c>
      <c r="I183" t="s">
        <v>248</v>
      </c>
      <c r="J183" t="s">
        <v>28</v>
      </c>
      <c r="K183" t="s">
        <v>48</v>
      </c>
      <c r="L183" t="s">
        <v>654</v>
      </c>
      <c r="M183" t="s">
        <v>31</v>
      </c>
      <c r="N183">
        <v>4</v>
      </c>
      <c r="O183">
        <v>2551.4499999999998</v>
      </c>
      <c r="P183">
        <v>0</v>
      </c>
      <c r="Q183" s="7">
        <f>IF(P183="", 0, P183)</f>
        <v>0</v>
      </c>
      <c r="R183">
        <v>10205.799999999999</v>
      </c>
      <c r="S183">
        <v>5986.31</v>
      </c>
      <c r="T183" s="7">
        <f>N183*O183*(1-Q183)</f>
        <v>10205.799999999999</v>
      </c>
      <c r="U183" s="7">
        <f t="shared" si="12"/>
        <v>4219.4899999999989</v>
      </c>
      <c r="V183">
        <v>4219.49</v>
      </c>
      <c r="W183" s="12">
        <f t="shared" si="13"/>
        <v>0.41344039663720622</v>
      </c>
      <c r="X183" t="s">
        <v>32</v>
      </c>
      <c r="Y183" t="str">
        <f t="shared" si="14"/>
        <v>Paid</v>
      </c>
      <c r="Z183" t="s">
        <v>33</v>
      </c>
      <c r="AA183">
        <f>C183-B183</f>
        <v>-228</v>
      </c>
      <c r="AB183" t="str">
        <f>IF(B183="","Missing Order Date",
IF(C183="","Missing Ship Date","OK"))</f>
        <v>OK</v>
      </c>
      <c r="AC183" s="7" t="str">
        <f>IF(C183&lt;B183, "Invalid", "Valid")</f>
        <v>Invalid</v>
      </c>
      <c r="AD183" s="7" t="str">
        <f>IF(COUNTIF($A:$A, A183)&gt;1, "Duplicate", "Unique")</f>
        <v>Unique</v>
      </c>
      <c r="AE183" s="7" t="str">
        <f>IF(G183="","Unknown",G183)</f>
        <v>South</v>
      </c>
      <c r="AF183" s="7" t="str">
        <f>IF(M183="","Unknown",M183)</f>
        <v>Second Class</v>
      </c>
      <c r="AG183" s="7" t="str">
        <f>IF(P183&lt;0,"Invalid",
IF(P183&gt;1,"Invalid","Valid"))</f>
        <v>Valid</v>
      </c>
      <c r="AH183" s="7" t="str">
        <f>TEXT(B183,"mmmm")</f>
        <v>September</v>
      </c>
      <c r="AI183" s="7">
        <f t="shared" si="15"/>
        <v>2025</v>
      </c>
      <c r="AJ183" s="7" t="str">
        <f>IF(OR(R183&lt;0,C183&lt;B183),"Invalid",
IF(OR(G183="Unknown",M183="Unknown"),"Warning","Clean"))</f>
        <v>Invalid</v>
      </c>
      <c r="AK183" s="7" t="str">
        <f>IF(C183&lt;B183,"Ship Before Order","OK")</f>
        <v>Ship Before Order</v>
      </c>
      <c r="AL183" s="7" t="str">
        <f>IF(ISNUMBER(B183),"Valid","Invalid")</f>
        <v>Valid</v>
      </c>
      <c r="AM183" s="7" t="str">
        <f t="shared" si="16"/>
        <v>Ok</v>
      </c>
      <c r="AN183" s="7" t="str">
        <f t="shared" si="17"/>
        <v>Ok</v>
      </c>
    </row>
    <row r="184" spans="1:40">
      <c r="A184" t="s">
        <v>655</v>
      </c>
      <c r="B184" s="6">
        <v>45581</v>
      </c>
      <c r="C184" s="4">
        <v>45682</v>
      </c>
      <c r="D184" t="s">
        <v>656</v>
      </c>
      <c r="E184" t="s">
        <v>62</v>
      </c>
      <c r="F184" t="s">
        <v>95</v>
      </c>
      <c r="G184" t="s">
        <v>38</v>
      </c>
      <c r="H184" t="s">
        <v>145</v>
      </c>
      <c r="I184" t="s">
        <v>146</v>
      </c>
      <c r="J184" t="s">
        <v>74</v>
      </c>
      <c r="K184" t="s">
        <v>274</v>
      </c>
      <c r="L184" t="s">
        <v>657</v>
      </c>
      <c r="M184" t="s">
        <v>59</v>
      </c>
      <c r="N184">
        <v>7</v>
      </c>
      <c r="O184">
        <v>775.77</v>
      </c>
      <c r="P184">
        <v>0</v>
      </c>
      <c r="Q184" s="7">
        <f>IF(P184="", 0, P184)</f>
        <v>0</v>
      </c>
      <c r="R184">
        <v>5430.39</v>
      </c>
      <c r="S184">
        <v>3707.66</v>
      </c>
      <c r="T184" s="7">
        <f>N184*O184*(1-Q184)</f>
        <v>5430.3899999999994</v>
      </c>
      <c r="U184" s="7">
        <f t="shared" si="12"/>
        <v>1722.7299999999996</v>
      </c>
      <c r="V184">
        <v>1722.73</v>
      </c>
      <c r="W184" s="12">
        <f t="shared" si="13"/>
        <v>0.31723872502711586</v>
      </c>
      <c r="X184" t="s">
        <v>32</v>
      </c>
      <c r="Y184" t="str">
        <f t="shared" si="14"/>
        <v>Paid</v>
      </c>
      <c r="Z184" t="s">
        <v>33</v>
      </c>
      <c r="AA184">
        <f>C184-B184</f>
        <v>101</v>
      </c>
      <c r="AB184" t="str">
        <f>IF(B184="","Missing Order Date",
IF(C184="","Missing Ship Date","OK"))</f>
        <v>OK</v>
      </c>
      <c r="AC184" s="7" t="str">
        <f>IF(C184&lt;B184, "Invalid", "Valid")</f>
        <v>Valid</v>
      </c>
      <c r="AD184" s="7" t="str">
        <f>IF(COUNTIF($A:$A, A184)&gt;1, "Duplicate", "Unique")</f>
        <v>Unique</v>
      </c>
      <c r="AE184" s="7" t="str">
        <f>IF(G184="","Unknown",G184)</f>
        <v>East</v>
      </c>
      <c r="AF184" s="7" t="str">
        <f>IF(M184="","Unknown",M184)</f>
        <v>Standard Class</v>
      </c>
      <c r="AG184" s="7" t="str">
        <f>IF(P184&lt;0,"Invalid",
IF(P184&gt;1,"Invalid","Valid"))</f>
        <v>Valid</v>
      </c>
      <c r="AH184" s="7" t="str">
        <f>TEXT(B184,"mmmm")</f>
        <v>October</v>
      </c>
      <c r="AI184" s="7">
        <f t="shared" si="15"/>
        <v>2024</v>
      </c>
      <c r="AJ184" s="7" t="str">
        <f>IF(OR(R184&lt;0,C184&lt;B184),"Invalid",
IF(OR(G184="Unknown",M184="Unknown"),"Warning","Clean"))</f>
        <v>Clean</v>
      </c>
      <c r="AK184" s="7" t="str">
        <f>IF(C184&lt;B184,"Ship Before Order","OK")</f>
        <v>OK</v>
      </c>
      <c r="AL184" s="7" t="str">
        <f>IF(ISNUMBER(B184),"Valid","Invalid")</f>
        <v>Valid</v>
      </c>
      <c r="AM184" s="7" t="str">
        <f t="shared" si="16"/>
        <v>Ok</v>
      </c>
      <c r="AN184" s="7" t="str">
        <f t="shared" si="17"/>
        <v>Ok</v>
      </c>
    </row>
    <row r="185" spans="1:40">
      <c r="A185" t="s">
        <v>658</v>
      </c>
      <c r="B185" s="6">
        <v>45832</v>
      </c>
      <c r="C185" s="4">
        <v>45683</v>
      </c>
      <c r="D185" t="s">
        <v>659</v>
      </c>
      <c r="E185" t="s">
        <v>71</v>
      </c>
      <c r="F185" t="s">
        <v>95</v>
      </c>
      <c r="G185" t="s">
        <v>54</v>
      </c>
      <c r="H185" t="s">
        <v>55</v>
      </c>
      <c r="I185" t="s">
        <v>56</v>
      </c>
      <c r="J185" t="s">
        <v>74</v>
      </c>
      <c r="K185" t="s">
        <v>80</v>
      </c>
      <c r="L185" t="s">
        <v>660</v>
      </c>
      <c r="M185" t="s">
        <v>59</v>
      </c>
      <c r="N185">
        <v>7</v>
      </c>
      <c r="O185">
        <v>2304.86</v>
      </c>
      <c r="P185">
        <v>0.2</v>
      </c>
      <c r="Q185" s="7">
        <f>IF(P185="", 0, P185)</f>
        <v>0.2</v>
      </c>
      <c r="R185">
        <v>12907.22</v>
      </c>
      <c r="S185">
        <v>8327.89</v>
      </c>
      <c r="T185" s="7">
        <f>N185*O185*(1-Q185)</f>
        <v>12907.216</v>
      </c>
      <c r="U185" s="7">
        <f t="shared" si="12"/>
        <v>4579.3260000000009</v>
      </c>
      <c r="V185">
        <v>4579.33</v>
      </c>
      <c r="W185" s="12">
        <f t="shared" si="13"/>
        <v>0.3547880503433119</v>
      </c>
      <c r="X185" t="s">
        <v>32</v>
      </c>
      <c r="Y185" t="str">
        <f t="shared" si="14"/>
        <v>Paid</v>
      </c>
      <c r="Z185" t="s">
        <v>103</v>
      </c>
      <c r="AA185">
        <f>C185-B185</f>
        <v>-149</v>
      </c>
      <c r="AB185" t="str">
        <f>IF(B185="","Missing Order Date",
IF(C185="","Missing Ship Date","OK"))</f>
        <v>OK</v>
      </c>
      <c r="AC185" s="7" t="str">
        <f>IF(C185&lt;B185, "Invalid", "Valid")</f>
        <v>Invalid</v>
      </c>
      <c r="AD185" s="7" t="str">
        <f>IF(COUNTIF($A:$A, A185)&gt;1, "Duplicate", "Unique")</f>
        <v>Unique</v>
      </c>
      <c r="AE185" s="7" t="str">
        <f>IF(G185="","Unknown",G185)</f>
        <v>South</v>
      </c>
      <c r="AF185" s="7" t="str">
        <f>IF(M185="","Unknown",M185)</f>
        <v>Standard Class</v>
      </c>
      <c r="AG185" s="7" t="str">
        <f>IF(P185&lt;0,"Invalid",
IF(P185&gt;1,"Invalid","Valid"))</f>
        <v>Valid</v>
      </c>
      <c r="AH185" s="7" t="str">
        <f>TEXT(B185,"mmmm")</f>
        <v>June</v>
      </c>
      <c r="AI185" s="7">
        <f t="shared" si="15"/>
        <v>2025</v>
      </c>
      <c r="AJ185" s="7" t="str">
        <f>IF(OR(R185&lt;0,C185&lt;B185),"Invalid",
IF(OR(G185="Unknown",M185="Unknown"),"Warning","Clean"))</f>
        <v>Invalid</v>
      </c>
      <c r="AK185" s="7" t="str">
        <f>IF(C185&lt;B185,"Ship Before Order","OK")</f>
        <v>Ship Before Order</v>
      </c>
      <c r="AL185" s="7" t="str">
        <f>IF(ISNUMBER(B185),"Valid","Invalid")</f>
        <v>Valid</v>
      </c>
      <c r="AM185" s="7" t="str">
        <f t="shared" si="16"/>
        <v>Missmatched</v>
      </c>
      <c r="AN185" s="7" t="str">
        <f t="shared" si="17"/>
        <v>Missmatched</v>
      </c>
    </row>
    <row r="186" spans="1:40">
      <c r="A186" t="s">
        <v>661</v>
      </c>
      <c r="B186" s="6">
        <v>45326</v>
      </c>
      <c r="C186" s="4">
        <v>45684</v>
      </c>
      <c r="D186" t="s">
        <v>662</v>
      </c>
      <c r="E186" t="s">
        <v>71</v>
      </c>
      <c r="F186" t="s">
        <v>90</v>
      </c>
      <c r="G186" t="s">
        <v>63</v>
      </c>
      <c r="H186" t="s">
        <v>72</v>
      </c>
      <c r="I186" t="s">
        <v>73</v>
      </c>
      <c r="J186" t="s">
        <v>41</v>
      </c>
      <c r="K186" t="s">
        <v>158</v>
      </c>
      <c r="L186" t="s">
        <v>663</v>
      </c>
      <c r="M186" t="s">
        <v>59</v>
      </c>
      <c r="N186">
        <v>2</v>
      </c>
      <c r="O186">
        <v>888.98</v>
      </c>
      <c r="P186">
        <v>0</v>
      </c>
      <c r="Q186" s="7">
        <f>IF(P186="", 0, P186)</f>
        <v>0</v>
      </c>
      <c r="R186">
        <v>1777.96</v>
      </c>
      <c r="S186">
        <v>1021.16</v>
      </c>
      <c r="T186" s="7">
        <f>N186*O186*(1-Q186)</f>
        <v>1777.96</v>
      </c>
      <c r="U186" s="7">
        <f t="shared" si="12"/>
        <v>756.80000000000007</v>
      </c>
      <c r="V186">
        <v>756.8</v>
      </c>
      <c r="W186" s="12">
        <f t="shared" si="13"/>
        <v>0.42565637022205227</v>
      </c>
      <c r="X186" t="s">
        <v>102</v>
      </c>
      <c r="Y186" t="str">
        <f t="shared" si="14"/>
        <v>Refunded</v>
      </c>
      <c r="Z186" t="s">
        <v>103</v>
      </c>
      <c r="AA186">
        <f>C186-B186</f>
        <v>358</v>
      </c>
      <c r="AB186" t="str">
        <f>IF(B186="","Missing Order Date",
IF(C186="","Missing Ship Date","OK"))</f>
        <v>OK</v>
      </c>
      <c r="AC186" s="7" t="str">
        <f>IF(C186&lt;B186, "Invalid", "Valid")</f>
        <v>Valid</v>
      </c>
      <c r="AD186" s="7" t="str">
        <f>IF(COUNTIF($A:$A, A186)&gt;1, "Duplicate", "Unique")</f>
        <v>Unique</v>
      </c>
      <c r="AE186" s="7" t="str">
        <f>IF(G186="","Unknown",G186)</f>
        <v>West</v>
      </c>
      <c r="AF186" s="7" t="str">
        <f>IF(M186="","Unknown",M186)</f>
        <v>Standard Class</v>
      </c>
      <c r="AG186" s="7" t="str">
        <f>IF(P186&lt;0,"Invalid",
IF(P186&gt;1,"Invalid","Valid"))</f>
        <v>Valid</v>
      </c>
      <c r="AH186" s="7" t="str">
        <f>TEXT(B186,"mmmm")</f>
        <v>February</v>
      </c>
      <c r="AI186" s="7">
        <f t="shared" si="15"/>
        <v>2024</v>
      </c>
      <c r="AJ186" s="7" t="str">
        <f>IF(OR(R186&lt;0,C186&lt;B186),"Invalid",
IF(OR(G186="Unknown",M186="Unknown"),"Warning","Clean"))</f>
        <v>Clean</v>
      </c>
      <c r="AK186" s="7" t="str">
        <f>IF(C186&lt;B186,"Ship Before Order","OK")</f>
        <v>OK</v>
      </c>
      <c r="AL186" s="7" t="str">
        <f>IF(ISNUMBER(B186),"Valid","Invalid")</f>
        <v>Valid</v>
      </c>
      <c r="AM186" s="7" t="str">
        <f t="shared" si="16"/>
        <v>Ok</v>
      </c>
      <c r="AN186" s="7" t="str">
        <f t="shared" si="17"/>
        <v>Ok</v>
      </c>
    </row>
    <row r="187" spans="1:40">
      <c r="A187" t="s">
        <v>664</v>
      </c>
      <c r="B187" s="6">
        <v>45423</v>
      </c>
      <c r="C187" s="4">
        <v>45685</v>
      </c>
      <c r="D187" t="s">
        <v>665</v>
      </c>
      <c r="E187" t="s">
        <v>53</v>
      </c>
      <c r="F187" t="s">
        <v>24</v>
      </c>
      <c r="G187" t="s">
        <v>2785</v>
      </c>
      <c r="H187" t="s">
        <v>122</v>
      </c>
      <c r="I187" t="s">
        <v>123</v>
      </c>
      <c r="J187" t="s">
        <v>28</v>
      </c>
      <c r="K187" t="s">
        <v>91</v>
      </c>
      <c r="L187" t="s">
        <v>666</v>
      </c>
      <c r="M187" t="s">
        <v>31</v>
      </c>
      <c r="N187">
        <v>2</v>
      </c>
      <c r="O187">
        <v>1003.17</v>
      </c>
      <c r="P187">
        <v>0.2</v>
      </c>
      <c r="Q187" s="7">
        <f>IF(P187="", 0, P187)</f>
        <v>0.2</v>
      </c>
      <c r="R187">
        <v>1605.07</v>
      </c>
      <c r="S187">
        <v>1337.28</v>
      </c>
      <c r="T187" s="7">
        <f>N187*O187*(1-Q187)</f>
        <v>1605.0720000000001</v>
      </c>
      <c r="U187" s="7">
        <f t="shared" si="12"/>
        <v>267.79200000000014</v>
      </c>
      <c r="V187">
        <v>267.79000000000002</v>
      </c>
      <c r="W187" s="12">
        <f t="shared" si="13"/>
        <v>0.16684111366966722</v>
      </c>
      <c r="X187" t="s">
        <v>32</v>
      </c>
      <c r="Y187" t="str">
        <f t="shared" si="14"/>
        <v>Paid</v>
      </c>
      <c r="Z187" t="s">
        <v>33</v>
      </c>
      <c r="AA187">
        <f>C187-B187</f>
        <v>262</v>
      </c>
      <c r="AB187" t="str">
        <f>IF(B187="","Missing Order Date",
IF(C187="","Missing Ship Date","OK"))</f>
        <v>OK</v>
      </c>
      <c r="AC187" s="7" t="str">
        <f>IF(C187&lt;B187, "Invalid", "Valid")</f>
        <v>Valid</v>
      </c>
      <c r="AD187" s="7" t="str">
        <f>IF(COUNTIF($A:$A, A187)&gt;1, "Duplicate", "Unique")</f>
        <v>Unique</v>
      </c>
      <c r="AE187" s="7" t="str">
        <f>IF(G187="","Unknown",G187)</f>
        <v>Unknown</v>
      </c>
      <c r="AF187" s="7" t="str">
        <f>IF(M187="","Unknown",M187)</f>
        <v>Second Class</v>
      </c>
      <c r="AG187" s="7" t="str">
        <f>IF(P187&lt;0,"Invalid",
IF(P187&gt;1,"Invalid","Valid"))</f>
        <v>Valid</v>
      </c>
      <c r="AH187" s="7" t="str">
        <f>TEXT(B187,"mmmm")</f>
        <v>May</v>
      </c>
      <c r="AI187" s="7">
        <f t="shared" si="15"/>
        <v>2024</v>
      </c>
      <c r="AJ187" s="7" t="str">
        <f>IF(OR(R187&lt;0,C187&lt;B187),"Invalid",
IF(OR(G187="Unknown",M187="Unknown"),"Warning","Clean"))</f>
        <v>Clean</v>
      </c>
      <c r="AK187" s="7" t="str">
        <f>IF(C187&lt;B187,"Ship Before Order","OK")</f>
        <v>OK</v>
      </c>
      <c r="AL187" s="7" t="str">
        <f>IF(ISNUMBER(B187),"Valid","Invalid")</f>
        <v>Valid</v>
      </c>
      <c r="AM187" s="7" t="str">
        <f t="shared" si="16"/>
        <v>Missmatched</v>
      </c>
      <c r="AN187" s="7" t="str">
        <f t="shared" si="17"/>
        <v>Missmatched</v>
      </c>
    </row>
    <row r="188" spans="1:40">
      <c r="A188" t="s">
        <v>667</v>
      </c>
      <c r="B188" s="6">
        <v>45492</v>
      </c>
      <c r="C188" s="4">
        <v>45686</v>
      </c>
      <c r="D188" t="s">
        <v>263</v>
      </c>
      <c r="E188" t="s">
        <v>71</v>
      </c>
      <c r="F188" t="s">
        <v>24</v>
      </c>
      <c r="G188" t="s">
        <v>54</v>
      </c>
      <c r="H188" t="s">
        <v>247</v>
      </c>
      <c r="I188" t="s">
        <v>248</v>
      </c>
      <c r="J188" t="s">
        <v>41</v>
      </c>
      <c r="K188" t="s">
        <v>42</v>
      </c>
      <c r="L188" t="s">
        <v>668</v>
      </c>
      <c r="M188" t="s">
        <v>50</v>
      </c>
      <c r="N188">
        <v>7</v>
      </c>
      <c r="O188">
        <v>3608.43</v>
      </c>
      <c r="P188">
        <v>0.05</v>
      </c>
      <c r="Q188" s="7">
        <f>IF(P188="", 0, P188)</f>
        <v>0.05</v>
      </c>
      <c r="R188">
        <v>23996.06</v>
      </c>
      <c r="S188">
        <v>20167.28</v>
      </c>
      <c r="T188" s="7">
        <f>N188*O188*(1-Q188)</f>
        <v>23996.059499999996</v>
      </c>
      <c r="U188" s="7">
        <f t="shared" si="12"/>
        <v>3828.7794999999969</v>
      </c>
      <c r="V188">
        <v>3828.78</v>
      </c>
      <c r="W188" s="12">
        <f t="shared" si="13"/>
        <v>0.15955867670689838</v>
      </c>
      <c r="X188" t="s">
        <v>32</v>
      </c>
      <c r="Y188" t="str">
        <f t="shared" si="14"/>
        <v>Paid</v>
      </c>
      <c r="Z188" t="s">
        <v>33</v>
      </c>
      <c r="AA188">
        <f>C188-B188</f>
        <v>194</v>
      </c>
      <c r="AB188" t="str">
        <f>IF(B188="","Missing Order Date",
IF(C188="","Missing Ship Date","OK"))</f>
        <v>OK</v>
      </c>
      <c r="AC188" s="7" t="str">
        <f>IF(C188&lt;B188, "Invalid", "Valid")</f>
        <v>Valid</v>
      </c>
      <c r="AD188" s="7" t="str">
        <f>IF(COUNTIF($A:$A, A188)&gt;1, "Duplicate", "Unique")</f>
        <v>Unique</v>
      </c>
      <c r="AE188" s="7" t="str">
        <f>IF(G188="","Unknown",G188)</f>
        <v>South</v>
      </c>
      <c r="AF188" s="7" t="str">
        <f>IF(M188="","Unknown",M188)</f>
        <v>First Class</v>
      </c>
      <c r="AG188" s="7" t="str">
        <f>IF(P188&lt;0,"Invalid",
IF(P188&gt;1,"Invalid","Valid"))</f>
        <v>Valid</v>
      </c>
      <c r="AH188" s="7" t="str">
        <f>TEXT(B188,"mmmm")</f>
        <v>July</v>
      </c>
      <c r="AI188" s="7">
        <f t="shared" si="15"/>
        <v>2024</v>
      </c>
      <c r="AJ188" s="7" t="str">
        <f>IF(OR(R188&lt;0,C188&lt;B188),"Invalid",
IF(OR(G188="Unknown",M188="Unknown"),"Warning","Clean"))</f>
        <v>Clean</v>
      </c>
      <c r="AK188" s="7" t="str">
        <f>IF(C188&lt;B188,"Ship Before Order","OK")</f>
        <v>OK</v>
      </c>
      <c r="AL188" s="7" t="str">
        <f>IF(ISNUMBER(B188),"Valid","Invalid")</f>
        <v>Valid</v>
      </c>
      <c r="AM188" s="7" t="str">
        <f t="shared" si="16"/>
        <v>Missmatched</v>
      </c>
      <c r="AN188" s="7" t="str">
        <f t="shared" si="17"/>
        <v>Missmatched</v>
      </c>
    </row>
    <row r="189" spans="1:40">
      <c r="A189" t="s">
        <v>669</v>
      </c>
      <c r="B189" s="6">
        <v>45662</v>
      </c>
      <c r="C189" s="4">
        <v>45687</v>
      </c>
      <c r="D189" t="s">
        <v>670</v>
      </c>
      <c r="E189" t="s">
        <v>36</v>
      </c>
      <c r="F189" t="s">
        <v>24</v>
      </c>
      <c r="G189" t="s">
        <v>63</v>
      </c>
      <c r="H189" t="s">
        <v>72</v>
      </c>
      <c r="I189" t="s">
        <v>73</v>
      </c>
      <c r="J189" t="s">
        <v>41</v>
      </c>
      <c r="K189" t="s">
        <v>66</v>
      </c>
      <c r="L189" t="s">
        <v>671</v>
      </c>
      <c r="M189" t="s">
        <v>44</v>
      </c>
      <c r="N189">
        <v>3</v>
      </c>
      <c r="O189">
        <v>2905.74</v>
      </c>
      <c r="P189">
        <v>0</v>
      </c>
      <c r="Q189" s="7">
        <f>IF(P189="", 0, P189)</f>
        <v>0</v>
      </c>
      <c r="R189">
        <v>8717.2199999999993</v>
      </c>
      <c r="S189">
        <v>6215.96</v>
      </c>
      <c r="T189" s="7">
        <f>N189*O189*(1-Q189)</f>
        <v>8717.2199999999993</v>
      </c>
      <c r="U189" s="7">
        <f t="shared" si="12"/>
        <v>2501.2599999999993</v>
      </c>
      <c r="V189">
        <v>2501.2600000000002</v>
      </c>
      <c r="W189" s="12">
        <f t="shared" si="13"/>
        <v>0.28693321953558582</v>
      </c>
      <c r="X189" t="s">
        <v>32</v>
      </c>
      <c r="Y189" t="str">
        <f t="shared" si="14"/>
        <v>Paid</v>
      </c>
      <c r="Z189" t="s">
        <v>103</v>
      </c>
      <c r="AA189">
        <f>C189-B189</f>
        <v>25</v>
      </c>
      <c r="AB189" t="str">
        <f>IF(B189="","Missing Order Date",
IF(C189="","Missing Ship Date","OK"))</f>
        <v>OK</v>
      </c>
      <c r="AC189" s="7" t="str">
        <f>IF(C189&lt;B189, "Invalid", "Valid")</f>
        <v>Valid</v>
      </c>
      <c r="AD189" s="7" t="str">
        <f>IF(COUNTIF($A:$A, A189)&gt;1, "Duplicate", "Unique")</f>
        <v>Unique</v>
      </c>
      <c r="AE189" s="7" t="str">
        <f>IF(G189="","Unknown",G189)</f>
        <v>West</v>
      </c>
      <c r="AF189" s="7" t="str">
        <f>IF(M189="","Unknown",M189)</f>
        <v>Same Day</v>
      </c>
      <c r="AG189" s="7" t="str">
        <f>IF(P189&lt;0,"Invalid",
IF(P189&gt;1,"Invalid","Valid"))</f>
        <v>Valid</v>
      </c>
      <c r="AH189" s="7" t="str">
        <f>TEXT(B189,"mmmm")</f>
        <v>January</v>
      </c>
      <c r="AI189" s="7">
        <f t="shared" si="15"/>
        <v>2025</v>
      </c>
      <c r="AJ189" s="7" t="str">
        <f>IF(OR(R189&lt;0,C189&lt;B189),"Invalid",
IF(OR(G189="Unknown",M189="Unknown"),"Warning","Clean"))</f>
        <v>Clean</v>
      </c>
      <c r="AK189" s="7" t="str">
        <f>IF(C189&lt;B189,"Ship Before Order","OK")</f>
        <v>OK</v>
      </c>
      <c r="AL189" s="7" t="str">
        <f>IF(ISNUMBER(B189),"Valid","Invalid")</f>
        <v>Valid</v>
      </c>
      <c r="AM189" s="7" t="str">
        <f t="shared" si="16"/>
        <v>Ok</v>
      </c>
      <c r="AN189" s="7" t="str">
        <f t="shared" si="17"/>
        <v>Ok</v>
      </c>
    </row>
    <row r="190" spans="1:40">
      <c r="A190" t="s">
        <v>672</v>
      </c>
      <c r="B190" s="6">
        <v>45798</v>
      </c>
      <c r="C190" s="4">
        <v>45688</v>
      </c>
      <c r="D190" t="s">
        <v>673</v>
      </c>
      <c r="E190" t="s">
        <v>114</v>
      </c>
      <c r="F190" t="s">
        <v>90</v>
      </c>
      <c r="G190" t="s">
        <v>38</v>
      </c>
      <c r="H190" t="s">
        <v>99</v>
      </c>
      <c r="I190" t="s">
        <v>100</v>
      </c>
      <c r="J190" t="s">
        <v>41</v>
      </c>
      <c r="K190" t="s">
        <v>158</v>
      </c>
      <c r="L190" t="s">
        <v>674</v>
      </c>
      <c r="M190" t="s">
        <v>44</v>
      </c>
      <c r="N190">
        <v>2</v>
      </c>
      <c r="O190">
        <v>3559.57</v>
      </c>
      <c r="P190">
        <v>0.1</v>
      </c>
      <c r="Q190" s="7">
        <f>IF(P190="", 0, P190)</f>
        <v>0.1</v>
      </c>
      <c r="R190">
        <v>6553.95</v>
      </c>
      <c r="S190">
        <v>4923.09</v>
      </c>
      <c r="T190" s="7">
        <f>N190*O190*(1-Q190)</f>
        <v>6407.2260000000006</v>
      </c>
      <c r="U190" s="7">
        <f t="shared" si="12"/>
        <v>1484.1360000000004</v>
      </c>
      <c r="V190">
        <v>1484.14</v>
      </c>
      <c r="W190" s="12">
        <f t="shared" si="13"/>
        <v>0.23163471992403581</v>
      </c>
      <c r="X190" t="s">
        <v>32</v>
      </c>
      <c r="Y190" t="str">
        <f t="shared" si="14"/>
        <v>Paid</v>
      </c>
      <c r="Z190" t="s">
        <v>33</v>
      </c>
      <c r="AA190">
        <f>C190-B190</f>
        <v>-110</v>
      </c>
      <c r="AB190" t="str">
        <f>IF(B190="","Missing Order Date",
IF(C190="","Missing Ship Date","OK"))</f>
        <v>OK</v>
      </c>
      <c r="AC190" s="7" t="str">
        <f>IF(C190&lt;B190, "Invalid", "Valid")</f>
        <v>Invalid</v>
      </c>
      <c r="AD190" s="7" t="str">
        <f>IF(COUNTIF($A:$A, A190)&gt;1, "Duplicate", "Unique")</f>
        <v>Unique</v>
      </c>
      <c r="AE190" s="7" t="str">
        <f>IF(G190="","Unknown",G190)</f>
        <v>East</v>
      </c>
      <c r="AF190" s="7" t="str">
        <f>IF(M190="","Unknown",M190)</f>
        <v>Same Day</v>
      </c>
      <c r="AG190" s="7" t="str">
        <f>IF(P190&lt;0,"Invalid",
IF(P190&gt;1,"Invalid","Valid"))</f>
        <v>Valid</v>
      </c>
      <c r="AH190" s="7" t="str">
        <f>TEXT(B190,"mmmm")</f>
        <v>May</v>
      </c>
      <c r="AI190" s="7">
        <f t="shared" si="15"/>
        <v>2025</v>
      </c>
      <c r="AJ190" s="7" t="str">
        <f>IF(OR(R190&lt;0,C190&lt;B190),"Invalid",
IF(OR(G190="Unknown",M190="Unknown"),"Warning","Clean"))</f>
        <v>Invalid</v>
      </c>
      <c r="AK190" s="7" t="str">
        <f>IF(C190&lt;B190,"Ship Before Order","OK")</f>
        <v>Ship Before Order</v>
      </c>
      <c r="AL190" s="7" t="str">
        <f>IF(ISNUMBER(B190),"Valid","Invalid")</f>
        <v>Valid</v>
      </c>
      <c r="AM190" s="7" t="str">
        <f t="shared" si="16"/>
        <v>Missmatched</v>
      </c>
      <c r="AN190" s="7" t="str">
        <f t="shared" si="17"/>
        <v>Missmatched</v>
      </c>
    </row>
    <row r="191" spans="1:40">
      <c r="A191" t="s">
        <v>675</v>
      </c>
      <c r="B191" s="6">
        <v>45813</v>
      </c>
      <c r="C191" s="4">
        <v>45689</v>
      </c>
      <c r="D191" t="s">
        <v>676</v>
      </c>
      <c r="E191" t="s">
        <v>53</v>
      </c>
      <c r="F191" t="s">
        <v>24</v>
      </c>
      <c r="G191" t="s">
        <v>63</v>
      </c>
      <c r="H191" t="s">
        <v>26</v>
      </c>
      <c r="I191" t="s">
        <v>109</v>
      </c>
      <c r="J191" t="s">
        <v>41</v>
      </c>
      <c r="K191" t="s">
        <v>158</v>
      </c>
      <c r="L191" t="s">
        <v>677</v>
      </c>
      <c r="M191" t="s">
        <v>50</v>
      </c>
      <c r="N191">
        <v>9</v>
      </c>
      <c r="O191">
        <v>3318.24</v>
      </c>
      <c r="Q191" s="7">
        <f>IF(P191="", 0, P191)</f>
        <v>0</v>
      </c>
      <c r="R191">
        <v>25384.54</v>
      </c>
      <c r="S191">
        <v>16872.39</v>
      </c>
      <c r="T191" s="7">
        <f>N191*O191*(1-Q191)</f>
        <v>29864.159999999996</v>
      </c>
      <c r="U191" s="7">
        <f t="shared" si="12"/>
        <v>12991.769999999997</v>
      </c>
      <c r="V191">
        <v>8512.15</v>
      </c>
      <c r="W191" s="12">
        <f t="shared" si="13"/>
        <v>0.43502881045373448</v>
      </c>
      <c r="X191" t="s">
        <v>32</v>
      </c>
      <c r="Y191" t="str">
        <f t="shared" si="14"/>
        <v>Paid</v>
      </c>
      <c r="Z191" t="s">
        <v>33</v>
      </c>
      <c r="AA191">
        <f>C191-B191</f>
        <v>-124</v>
      </c>
      <c r="AB191" t="str">
        <f>IF(B191="","Missing Order Date",
IF(C191="","Missing Ship Date","OK"))</f>
        <v>OK</v>
      </c>
      <c r="AC191" s="7" t="str">
        <f>IF(C191&lt;B191, "Invalid", "Valid")</f>
        <v>Invalid</v>
      </c>
      <c r="AD191" s="7" t="str">
        <f>IF(COUNTIF($A:$A, A191)&gt;1, "Duplicate", "Unique")</f>
        <v>Unique</v>
      </c>
      <c r="AE191" s="7" t="str">
        <f>IF(G191="","Unknown",G191)</f>
        <v>West</v>
      </c>
      <c r="AF191" s="7" t="str">
        <f>IF(M191="","Unknown",M191)</f>
        <v>First Class</v>
      </c>
      <c r="AG191" s="7" t="str">
        <f>IF(P191&lt;0,"Invalid",
IF(P191&gt;1,"Invalid","Valid"))</f>
        <v>Valid</v>
      </c>
      <c r="AH191" s="7" t="str">
        <f>TEXT(B191,"mmmm")</f>
        <v>June</v>
      </c>
      <c r="AI191" s="7">
        <f t="shared" si="15"/>
        <v>2025</v>
      </c>
      <c r="AJ191" s="7" t="str">
        <f>IF(OR(R191&lt;0,C191&lt;B191),"Invalid",
IF(OR(G191="Unknown",M191="Unknown"),"Warning","Clean"))</f>
        <v>Invalid</v>
      </c>
      <c r="AK191" s="7" t="str">
        <f>IF(C191&lt;B191,"Ship Before Order","OK")</f>
        <v>Ship Before Order</v>
      </c>
      <c r="AL191" s="7" t="str">
        <f>IF(ISNUMBER(B191),"Valid","Invalid")</f>
        <v>Valid</v>
      </c>
      <c r="AM191" s="7" t="str">
        <f t="shared" si="16"/>
        <v>Missmatched</v>
      </c>
      <c r="AN191" s="7" t="str">
        <f t="shared" si="17"/>
        <v>Missmatched</v>
      </c>
    </row>
    <row r="192" spans="1:40">
      <c r="A192" t="s">
        <v>678</v>
      </c>
      <c r="B192" s="6">
        <v>45767</v>
      </c>
      <c r="C192" s="4">
        <v>45690</v>
      </c>
      <c r="D192" t="s">
        <v>679</v>
      </c>
      <c r="E192" t="s">
        <v>89</v>
      </c>
      <c r="F192" t="s">
        <v>24</v>
      </c>
      <c r="G192" t="s">
        <v>54</v>
      </c>
      <c r="H192" t="s">
        <v>247</v>
      </c>
      <c r="I192" t="s">
        <v>248</v>
      </c>
      <c r="J192" t="s">
        <v>28</v>
      </c>
      <c r="K192" t="s">
        <v>124</v>
      </c>
      <c r="L192" t="s">
        <v>680</v>
      </c>
      <c r="M192" t="s">
        <v>50</v>
      </c>
      <c r="N192">
        <v>3</v>
      </c>
      <c r="O192">
        <v>540.09</v>
      </c>
      <c r="P192">
        <v>0.1</v>
      </c>
      <c r="Q192" s="7">
        <f>IF(P192="", 0, P192)</f>
        <v>0.1</v>
      </c>
      <c r="R192">
        <v>1458.24</v>
      </c>
      <c r="S192">
        <v>943.32</v>
      </c>
      <c r="T192" s="7">
        <f>N192*O192*(1-Q192)</f>
        <v>1458.2429999999999</v>
      </c>
      <c r="U192" s="7">
        <f t="shared" si="12"/>
        <v>514.92299999999989</v>
      </c>
      <c r="V192">
        <v>514.91999999999996</v>
      </c>
      <c r="W192" s="12">
        <f t="shared" si="13"/>
        <v>0.35311192990468659</v>
      </c>
      <c r="X192" t="s">
        <v>32</v>
      </c>
      <c r="Y192" t="str">
        <f t="shared" si="14"/>
        <v>Paid</v>
      </c>
      <c r="Z192" t="s">
        <v>33</v>
      </c>
      <c r="AA192">
        <f>C192-B192</f>
        <v>-77</v>
      </c>
      <c r="AB192" t="str">
        <f>IF(B192="","Missing Order Date",
IF(C192="","Missing Ship Date","OK"))</f>
        <v>OK</v>
      </c>
      <c r="AC192" s="7" t="str">
        <f>IF(C192&lt;B192, "Invalid", "Valid")</f>
        <v>Invalid</v>
      </c>
      <c r="AD192" s="7" t="str">
        <f>IF(COUNTIF($A:$A, A192)&gt;1, "Duplicate", "Unique")</f>
        <v>Unique</v>
      </c>
      <c r="AE192" s="7" t="str">
        <f>IF(G192="","Unknown",G192)</f>
        <v>South</v>
      </c>
      <c r="AF192" s="7" t="str">
        <f>IF(M192="","Unknown",M192)</f>
        <v>First Class</v>
      </c>
      <c r="AG192" s="7" t="str">
        <f>IF(P192&lt;0,"Invalid",
IF(P192&gt;1,"Invalid","Valid"))</f>
        <v>Valid</v>
      </c>
      <c r="AH192" s="7" t="str">
        <f>TEXT(B192,"mmmm")</f>
        <v>April</v>
      </c>
      <c r="AI192" s="7">
        <f t="shared" si="15"/>
        <v>2025</v>
      </c>
      <c r="AJ192" s="7" t="str">
        <f>IF(OR(R192&lt;0,C192&lt;B192),"Invalid",
IF(OR(G192="Unknown",M192="Unknown"),"Warning","Clean"))</f>
        <v>Invalid</v>
      </c>
      <c r="AK192" s="7" t="str">
        <f>IF(C192&lt;B192,"Ship Before Order","OK")</f>
        <v>Ship Before Order</v>
      </c>
      <c r="AL192" s="7" t="str">
        <f>IF(ISNUMBER(B192),"Valid","Invalid")</f>
        <v>Valid</v>
      </c>
      <c r="AM192" s="7" t="str">
        <f t="shared" si="16"/>
        <v>Missmatched</v>
      </c>
      <c r="AN192" s="7" t="str">
        <f t="shared" si="17"/>
        <v>Missmatched</v>
      </c>
    </row>
    <row r="193" spans="1:40">
      <c r="A193" t="s">
        <v>681</v>
      </c>
      <c r="B193" s="6">
        <v>45584</v>
      </c>
      <c r="C193" s="4">
        <v>45691</v>
      </c>
      <c r="D193" t="s">
        <v>682</v>
      </c>
      <c r="E193" t="s">
        <v>132</v>
      </c>
      <c r="F193" t="s">
        <v>37</v>
      </c>
      <c r="G193" t="s">
        <v>54</v>
      </c>
      <c r="H193" t="s">
        <v>247</v>
      </c>
      <c r="I193" t="s">
        <v>248</v>
      </c>
      <c r="J193" t="s">
        <v>41</v>
      </c>
      <c r="K193" t="s">
        <v>158</v>
      </c>
      <c r="L193" t="s">
        <v>683</v>
      </c>
      <c r="M193" t="s">
        <v>31</v>
      </c>
      <c r="N193">
        <v>6</v>
      </c>
      <c r="O193">
        <v>4308.3999999999996</v>
      </c>
      <c r="P193">
        <v>0.65</v>
      </c>
      <c r="Q193" s="7">
        <f>IF(P193="", 0, P193)</f>
        <v>0.65</v>
      </c>
      <c r="R193">
        <v>25850.400000000001</v>
      </c>
      <c r="S193">
        <v>19397.68</v>
      </c>
      <c r="T193" s="7">
        <f>N193*O193*(1-Q193)</f>
        <v>9047.64</v>
      </c>
      <c r="U193" s="7">
        <f t="shared" si="12"/>
        <v>-10350.040000000001</v>
      </c>
      <c r="V193">
        <v>6452.72</v>
      </c>
      <c r="W193" s="12">
        <f t="shared" si="13"/>
        <v>-1.1439491403283069</v>
      </c>
      <c r="X193" t="s">
        <v>32</v>
      </c>
      <c r="Y193" t="str">
        <f t="shared" si="14"/>
        <v>Paid</v>
      </c>
      <c r="Z193" t="s">
        <v>33</v>
      </c>
      <c r="AA193">
        <f>C193-B193</f>
        <v>107</v>
      </c>
      <c r="AB193" t="str">
        <f>IF(B193="","Missing Order Date",
IF(C193="","Missing Ship Date","OK"))</f>
        <v>OK</v>
      </c>
      <c r="AC193" s="7" t="str">
        <f>IF(C193&lt;B193, "Invalid", "Valid")</f>
        <v>Valid</v>
      </c>
      <c r="AD193" s="7" t="str">
        <f>IF(COUNTIF($A:$A, A193)&gt;1, "Duplicate", "Unique")</f>
        <v>Unique</v>
      </c>
      <c r="AE193" s="7" t="str">
        <f>IF(G193="","Unknown",G193)</f>
        <v>South</v>
      </c>
      <c r="AF193" s="7" t="str">
        <f>IF(M193="","Unknown",M193)</f>
        <v>Second Class</v>
      </c>
      <c r="AG193" s="7" t="str">
        <f>IF(P193&lt;0,"Invalid",
IF(P193&gt;1,"Invalid","Valid"))</f>
        <v>Valid</v>
      </c>
      <c r="AH193" s="7" t="str">
        <f>TEXT(B193,"mmmm")</f>
        <v>October</v>
      </c>
      <c r="AI193" s="7">
        <f t="shared" si="15"/>
        <v>2024</v>
      </c>
      <c r="AJ193" s="7" t="str">
        <f>IF(OR(R193&lt;0,C193&lt;B193),"Invalid",
IF(OR(G193="Unknown",M193="Unknown"),"Warning","Clean"))</f>
        <v>Clean</v>
      </c>
      <c r="AK193" s="7" t="str">
        <f>IF(C193&lt;B193,"Ship Before Order","OK")</f>
        <v>OK</v>
      </c>
      <c r="AL193" s="7" t="str">
        <f>IF(ISNUMBER(B193),"Valid","Invalid")</f>
        <v>Valid</v>
      </c>
      <c r="AM193" s="7" t="str">
        <f t="shared" si="16"/>
        <v>Missmatched</v>
      </c>
      <c r="AN193" s="7" t="str">
        <f t="shared" si="17"/>
        <v>Missmatched</v>
      </c>
    </row>
    <row r="194" spans="1:40">
      <c r="A194" t="s">
        <v>684</v>
      </c>
      <c r="B194" s="6">
        <v>45547</v>
      </c>
      <c r="C194" s="4">
        <v>45692</v>
      </c>
      <c r="D194" t="s">
        <v>685</v>
      </c>
      <c r="E194" t="s">
        <v>47</v>
      </c>
      <c r="F194" t="s">
        <v>95</v>
      </c>
      <c r="G194" t="s">
        <v>63</v>
      </c>
      <c r="H194" t="s">
        <v>180</v>
      </c>
      <c r="I194" t="s">
        <v>181</v>
      </c>
      <c r="J194" t="s">
        <v>41</v>
      </c>
      <c r="K194" t="s">
        <v>66</v>
      </c>
      <c r="L194" t="s">
        <v>686</v>
      </c>
      <c r="M194" t="s">
        <v>50</v>
      </c>
      <c r="N194">
        <v>4</v>
      </c>
      <c r="O194">
        <v>2191.0300000000002</v>
      </c>
      <c r="P194">
        <v>0</v>
      </c>
      <c r="Q194" s="7">
        <f>IF(P194="", 0, P194)</f>
        <v>0</v>
      </c>
      <c r="R194">
        <v>8764.1200000000008</v>
      </c>
      <c r="S194">
        <v>7220.05</v>
      </c>
      <c r="T194" s="7">
        <f>N194*O194*(1-Q194)</f>
        <v>8764.1200000000008</v>
      </c>
      <c r="U194" s="7">
        <f t="shared" ref="U194:U257" si="18">T194-S194</f>
        <v>1544.0700000000006</v>
      </c>
      <c r="V194">
        <v>1544.07</v>
      </c>
      <c r="W194" s="12">
        <f t="shared" ref="W194:W257" si="19">IF(T194=0,0,U194/T194)</f>
        <v>0.17618083732308554</v>
      </c>
      <c r="X194" t="s">
        <v>32</v>
      </c>
      <c r="Y194" t="str">
        <f t="shared" ref="Y194:Y257" si="20">PROPER(TRIM(X194))</f>
        <v>Paid</v>
      </c>
      <c r="Z194" t="s">
        <v>33</v>
      </c>
      <c r="AA194">
        <f>C194-B194</f>
        <v>145</v>
      </c>
      <c r="AB194" t="str">
        <f>IF(B194="","Missing Order Date",
IF(C194="","Missing Ship Date","OK"))</f>
        <v>OK</v>
      </c>
      <c r="AC194" s="7" t="str">
        <f>IF(C194&lt;B194, "Invalid", "Valid")</f>
        <v>Valid</v>
      </c>
      <c r="AD194" s="7" t="str">
        <f>IF(COUNTIF($A:$A, A194)&gt;1, "Duplicate", "Unique")</f>
        <v>Unique</v>
      </c>
      <c r="AE194" s="7" t="str">
        <f>IF(G194="","Unknown",G194)</f>
        <v>West</v>
      </c>
      <c r="AF194" s="7" t="str">
        <f>IF(M194="","Unknown",M194)</f>
        <v>First Class</v>
      </c>
      <c r="AG194" s="7" t="str">
        <f>IF(P194&lt;0,"Invalid",
IF(P194&gt;1,"Invalid","Valid"))</f>
        <v>Valid</v>
      </c>
      <c r="AH194" s="7" t="str">
        <f>TEXT(B194,"mmmm")</f>
        <v>September</v>
      </c>
      <c r="AI194" s="7">
        <f t="shared" ref="AI194:AI257" si="21">YEAR(B194)</f>
        <v>2024</v>
      </c>
      <c r="AJ194" s="7" t="str">
        <f>IF(OR(R194&lt;0,C194&lt;B194),"Invalid",
IF(OR(G194="Unknown",M194="Unknown"),"Warning","Clean"))</f>
        <v>Clean</v>
      </c>
      <c r="AK194" s="7" t="str">
        <f>IF(C194&lt;B194,"Ship Before Order","OK")</f>
        <v>OK</v>
      </c>
      <c r="AL194" s="7" t="str">
        <f>IF(ISNUMBER(B194),"Valid","Invalid")</f>
        <v>Valid</v>
      </c>
      <c r="AM194" s="7" t="str">
        <f t="shared" ref="AM194:AM257" si="22">IF(R194&lt;&gt;T194, "Missmatched", "Ok")</f>
        <v>Ok</v>
      </c>
      <c r="AN194" s="7" t="str">
        <f t="shared" ref="AN194:AN257" si="23">IF(V194&lt;&gt;U194, "Missmatched", "Ok")</f>
        <v>Ok</v>
      </c>
    </row>
    <row r="195" spans="1:40">
      <c r="A195" t="s">
        <v>687</v>
      </c>
      <c r="B195" s="6">
        <v>45466</v>
      </c>
      <c r="C195" s="4">
        <v>45693</v>
      </c>
      <c r="D195" t="s">
        <v>688</v>
      </c>
      <c r="E195" t="s">
        <v>114</v>
      </c>
      <c r="F195" t="s">
        <v>37</v>
      </c>
      <c r="G195" t="s">
        <v>25</v>
      </c>
      <c r="H195" t="s">
        <v>122</v>
      </c>
      <c r="I195" t="s">
        <v>123</v>
      </c>
      <c r="J195" t="s">
        <v>74</v>
      </c>
      <c r="K195" t="s">
        <v>80</v>
      </c>
      <c r="L195" t="s">
        <v>689</v>
      </c>
      <c r="M195" t="s">
        <v>44</v>
      </c>
      <c r="N195">
        <v>6</v>
      </c>
      <c r="O195">
        <v>1956.63</v>
      </c>
      <c r="P195">
        <v>0.2</v>
      </c>
      <c r="Q195" s="7">
        <f>IF(P195="", 0, P195)</f>
        <v>0.2</v>
      </c>
      <c r="R195">
        <v>9391.82</v>
      </c>
      <c r="S195">
        <v>6013.22</v>
      </c>
      <c r="T195" s="7">
        <f>N195*O195*(1-Q195)</f>
        <v>9391.8240000000005</v>
      </c>
      <c r="U195" s="7">
        <f t="shared" si="18"/>
        <v>3378.6040000000003</v>
      </c>
      <c r="V195">
        <v>3378.6</v>
      </c>
      <c r="W195" s="12">
        <f t="shared" si="19"/>
        <v>0.35973885370935399</v>
      </c>
      <c r="X195" t="s">
        <v>102</v>
      </c>
      <c r="Y195" t="str">
        <f t="shared" si="20"/>
        <v>Refunded</v>
      </c>
      <c r="Z195" t="s">
        <v>103</v>
      </c>
      <c r="AA195">
        <f>C195-B195</f>
        <v>227</v>
      </c>
      <c r="AB195" t="str">
        <f>IF(B195="","Missing Order Date",
IF(C195="","Missing Ship Date","OK"))</f>
        <v>OK</v>
      </c>
      <c r="AC195" s="7" t="str">
        <f>IF(C195&lt;B195, "Invalid", "Valid")</f>
        <v>Valid</v>
      </c>
      <c r="AD195" s="7" t="str">
        <f>IF(COUNTIF($A:$A, A195)&gt;1, "Duplicate", "Unique")</f>
        <v>Unique</v>
      </c>
      <c r="AE195" s="7" t="str">
        <f>IF(G195="","Unknown",G195)</f>
        <v>North</v>
      </c>
      <c r="AF195" s="7" t="str">
        <f>IF(M195="","Unknown",M195)</f>
        <v>Same Day</v>
      </c>
      <c r="AG195" s="7" t="str">
        <f>IF(P195&lt;0,"Invalid",
IF(P195&gt;1,"Invalid","Valid"))</f>
        <v>Valid</v>
      </c>
      <c r="AH195" s="7" t="str">
        <f>TEXT(B195,"mmmm")</f>
        <v>June</v>
      </c>
      <c r="AI195" s="7">
        <f t="shared" si="21"/>
        <v>2024</v>
      </c>
      <c r="AJ195" s="7" t="str">
        <f>IF(OR(R195&lt;0,C195&lt;B195),"Invalid",
IF(OR(G195="Unknown",M195="Unknown"),"Warning","Clean"))</f>
        <v>Clean</v>
      </c>
      <c r="AK195" s="7" t="str">
        <f>IF(C195&lt;B195,"Ship Before Order","OK")</f>
        <v>OK</v>
      </c>
      <c r="AL195" s="7" t="str">
        <f>IF(ISNUMBER(B195),"Valid","Invalid")</f>
        <v>Valid</v>
      </c>
      <c r="AM195" s="7" t="str">
        <f t="shared" si="22"/>
        <v>Missmatched</v>
      </c>
      <c r="AN195" s="7" t="str">
        <f t="shared" si="23"/>
        <v>Missmatched</v>
      </c>
    </row>
    <row r="196" spans="1:40">
      <c r="A196" t="s">
        <v>690</v>
      </c>
      <c r="B196" s="6">
        <v>45685</v>
      </c>
      <c r="C196" s="4">
        <v>45694</v>
      </c>
      <c r="D196" t="s">
        <v>691</v>
      </c>
      <c r="E196" t="s">
        <v>114</v>
      </c>
      <c r="F196" t="s">
        <v>24</v>
      </c>
      <c r="G196" t="s">
        <v>63</v>
      </c>
      <c r="H196" t="s">
        <v>64</v>
      </c>
      <c r="I196" t="s">
        <v>65</v>
      </c>
      <c r="J196" t="s">
        <v>41</v>
      </c>
      <c r="K196" t="s">
        <v>57</v>
      </c>
      <c r="L196" t="s">
        <v>692</v>
      </c>
      <c r="M196" t="s">
        <v>50</v>
      </c>
      <c r="N196">
        <v>9</v>
      </c>
      <c r="O196">
        <v>858.39</v>
      </c>
      <c r="P196">
        <v>0.05</v>
      </c>
      <c r="Q196" s="7">
        <f>IF(P196="", 0, P196)</f>
        <v>0.05</v>
      </c>
      <c r="R196">
        <v>7339.23</v>
      </c>
      <c r="S196">
        <v>5434.12</v>
      </c>
      <c r="T196" s="7">
        <f>N196*O196*(1-Q196)</f>
        <v>7339.2344999999996</v>
      </c>
      <c r="U196" s="7">
        <f t="shared" si="18"/>
        <v>1905.1144999999997</v>
      </c>
      <c r="V196">
        <v>1905.11</v>
      </c>
      <c r="W196" s="12">
        <f t="shared" si="19"/>
        <v>0.25957945614082772</v>
      </c>
      <c r="X196" t="s">
        <v>111</v>
      </c>
      <c r="Y196" t="str">
        <f t="shared" si="20"/>
        <v>Pending</v>
      </c>
      <c r="Z196" t="s">
        <v>103</v>
      </c>
      <c r="AA196">
        <f>C196-B196</f>
        <v>9</v>
      </c>
      <c r="AB196" t="str">
        <f>IF(B196="","Missing Order Date",
IF(C196="","Missing Ship Date","OK"))</f>
        <v>OK</v>
      </c>
      <c r="AC196" s="7" t="str">
        <f>IF(C196&lt;B196, "Invalid", "Valid")</f>
        <v>Valid</v>
      </c>
      <c r="AD196" s="7" t="str">
        <f>IF(COUNTIF($A:$A, A196)&gt;1, "Duplicate", "Unique")</f>
        <v>Unique</v>
      </c>
      <c r="AE196" s="7" t="str">
        <f>IF(G196="","Unknown",G196)</f>
        <v>West</v>
      </c>
      <c r="AF196" s="7" t="str">
        <f>IF(M196="","Unknown",M196)</f>
        <v>First Class</v>
      </c>
      <c r="AG196" s="7" t="str">
        <f>IF(P196&lt;0,"Invalid",
IF(P196&gt;1,"Invalid","Valid"))</f>
        <v>Valid</v>
      </c>
      <c r="AH196" s="7" t="str">
        <f>TEXT(B196,"mmmm")</f>
        <v>January</v>
      </c>
      <c r="AI196" s="7">
        <f t="shared" si="21"/>
        <v>2025</v>
      </c>
      <c r="AJ196" s="7" t="str">
        <f>IF(OR(R196&lt;0,C196&lt;B196),"Invalid",
IF(OR(G196="Unknown",M196="Unknown"),"Warning","Clean"))</f>
        <v>Clean</v>
      </c>
      <c r="AK196" s="7" t="str">
        <f>IF(C196&lt;B196,"Ship Before Order","OK")</f>
        <v>OK</v>
      </c>
      <c r="AL196" s="7" t="str">
        <f>IF(ISNUMBER(B196),"Valid","Invalid")</f>
        <v>Valid</v>
      </c>
      <c r="AM196" s="7" t="str">
        <f t="shared" si="22"/>
        <v>Missmatched</v>
      </c>
      <c r="AN196" s="7" t="str">
        <f t="shared" si="23"/>
        <v>Missmatched</v>
      </c>
    </row>
    <row r="197" spans="1:40">
      <c r="A197" t="s">
        <v>693</v>
      </c>
      <c r="B197" s="6">
        <v>45860</v>
      </c>
      <c r="C197" s="4">
        <v>45695</v>
      </c>
      <c r="D197" t="s">
        <v>694</v>
      </c>
      <c r="E197" t="s">
        <v>79</v>
      </c>
      <c r="F197" t="s">
        <v>95</v>
      </c>
      <c r="G197" t="s">
        <v>54</v>
      </c>
      <c r="H197" t="s">
        <v>84</v>
      </c>
      <c r="I197" t="s">
        <v>85</v>
      </c>
      <c r="J197" t="s">
        <v>41</v>
      </c>
      <c r="K197" t="s">
        <v>57</v>
      </c>
      <c r="L197" t="s">
        <v>695</v>
      </c>
      <c r="M197" t="s">
        <v>44</v>
      </c>
      <c r="N197">
        <v>5</v>
      </c>
      <c r="O197">
        <v>1922.83</v>
      </c>
      <c r="P197">
        <v>0</v>
      </c>
      <c r="Q197" s="7">
        <f>IF(P197="", 0, P197)</f>
        <v>0</v>
      </c>
      <c r="R197">
        <v>9614.15</v>
      </c>
      <c r="S197">
        <v>7576.84</v>
      </c>
      <c r="T197" s="7">
        <f>N197*O197*(1-Q197)</f>
        <v>9614.15</v>
      </c>
      <c r="U197" s="7">
        <f t="shared" si="18"/>
        <v>2037.3099999999995</v>
      </c>
      <c r="V197">
        <v>2037.31</v>
      </c>
      <c r="W197" s="12">
        <f t="shared" si="19"/>
        <v>0.21190744891644084</v>
      </c>
      <c r="X197" t="s">
        <v>32</v>
      </c>
      <c r="Y197" t="str">
        <f t="shared" si="20"/>
        <v>Paid</v>
      </c>
      <c r="Z197" t="s">
        <v>33</v>
      </c>
      <c r="AA197">
        <f>C197-B197</f>
        <v>-165</v>
      </c>
      <c r="AB197" t="str">
        <f>IF(B197="","Missing Order Date",
IF(C197="","Missing Ship Date","OK"))</f>
        <v>OK</v>
      </c>
      <c r="AC197" s="7" t="str">
        <f>IF(C197&lt;B197, "Invalid", "Valid")</f>
        <v>Invalid</v>
      </c>
      <c r="AD197" s="7" t="str">
        <f>IF(COUNTIF($A:$A, A197)&gt;1, "Duplicate", "Unique")</f>
        <v>Unique</v>
      </c>
      <c r="AE197" s="7" t="str">
        <f>IF(G197="","Unknown",G197)</f>
        <v>South</v>
      </c>
      <c r="AF197" s="7" t="str">
        <f>IF(M197="","Unknown",M197)</f>
        <v>Same Day</v>
      </c>
      <c r="AG197" s="7" t="str">
        <f>IF(P197&lt;0,"Invalid",
IF(P197&gt;1,"Invalid","Valid"))</f>
        <v>Valid</v>
      </c>
      <c r="AH197" s="7" t="str">
        <f>TEXT(B197,"mmmm")</f>
        <v>July</v>
      </c>
      <c r="AI197" s="7">
        <f t="shared" si="21"/>
        <v>2025</v>
      </c>
      <c r="AJ197" s="7" t="str">
        <f>IF(OR(R197&lt;0,C197&lt;B197),"Invalid",
IF(OR(G197="Unknown",M197="Unknown"),"Warning","Clean"))</f>
        <v>Invalid</v>
      </c>
      <c r="AK197" s="7" t="str">
        <f>IF(C197&lt;B197,"Ship Before Order","OK")</f>
        <v>Ship Before Order</v>
      </c>
      <c r="AL197" s="7" t="str">
        <f>IF(ISNUMBER(B197),"Valid","Invalid")</f>
        <v>Valid</v>
      </c>
      <c r="AM197" s="7" t="str">
        <f t="shared" si="22"/>
        <v>Ok</v>
      </c>
      <c r="AN197" s="7" t="str">
        <f t="shared" si="23"/>
        <v>Ok</v>
      </c>
    </row>
    <row r="198" spans="1:40">
      <c r="A198" t="s">
        <v>696</v>
      </c>
      <c r="B198" s="6">
        <v>45313</v>
      </c>
      <c r="C198" s="4">
        <v>45696</v>
      </c>
      <c r="D198" t="s">
        <v>697</v>
      </c>
      <c r="E198" t="s">
        <v>264</v>
      </c>
      <c r="F198" t="s">
        <v>95</v>
      </c>
      <c r="G198" t="s">
        <v>25</v>
      </c>
      <c r="H198" t="s">
        <v>136</v>
      </c>
      <c r="I198" t="s">
        <v>137</v>
      </c>
      <c r="J198" t="s">
        <v>28</v>
      </c>
      <c r="K198" t="s">
        <v>124</v>
      </c>
      <c r="L198" t="s">
        <v>698</v>
      </c>
      <c r="M198" t="s">
        <v>50</v>
      </c>
      <c r="N198">
        <v>3</v>
      </c>
      <c r="O198">
        <v>1212.03</v>
      </c>
      <c r="P198">
        <v>0.1</v>
      </c>
      <c r="Q198" s="7">
        <f>IF(P198="", 0, P198)</f>
        <v>0.1</v>
      </c>
      <c r="R198">
        <v>3272.48</v>
      </c>
      <c r="S198">
        <v>2517.44</v>
      </c>
      <c r="T198" s="7">
        <f>N198*O198*(1-Q198)</f>
        <v>3272.4810000000002</v>
      </c>
      <c r="U198" s="7">
        <f t="shared" si="18"/>
        <v>755.04100000000017</v>
      </c>
      <c r="V198">
        <v>755.04</v>
      </c>
      <c r="W198" s="12">
        <f t="shared" si="19"/>
        <v>0.23072433422837293</v>
      </c>
      <c r="X198" t="s">
        <v>32</v>
      </c>
      <c r="Y198" t="str">
        <f t="shared" si="20"/>
        <v>Paid</v>
      </c>
      <c r="Z198" t="s">
        <v>33</v>
      </c>
      <c r="AA198">
        <f>C198-B198</f>
        <v>383</v>
      </c>
      <c r="AB198" t="str">
        <f>IF(B198="","Missing Order Date",
IF(C198="","Missing Ship Date","OK"))</f>
        <v>OK</v>
      </c>
      <c r="AC198" s="7" t="str">
        <f>IF(C198&lt;B198, "Invalid", "Valid")</f>
        <v>Valid</v>
      </c>
      <c r="AD198" s="7" t="str">
        <f>IF(COUNTIF($A:$A, A198)&gt;1, "Duplicate", "Unique")</f>
        <v>Unique</v>
      </c>
      <c r="AE198" s="7" t="str">
        <f>IF(G198="","Unknown",G198)</f>
        <v>North</v>
      </c>
      <c r="AF198" s="7" t="str">
        <f>IF(M198="","Unknown",M198)</f>
        <v>First Class</v>
      </c>
      <c r="AG198" s="7" t="str">
        <f>IF(P198&lt;0,"Invalid",
IF(P198&gt;1,"Invalid","Valid"))</f>
        <v>Valid</v>
      </c>
      <c r="AH198" s="7" t="str">
        <f>TEXT(B198,"mmmm")</f>
        <v>January</v>
      </c>
      <c r="AI198" s="7">
        <f t="shared" si="21"/>
        <v>2024</v>
      </c>
      <c r="AJ198" s="7" t="str">
        <f>IF(OR(R198&lt;0,C198&lt;B198),"Invalid",
IF(OR(G198="Unknown",M198="Unknown"),"Warning","Clean"))</f>
        <v>Clean</v>
      </c>
      <c r="AK198" s="7" t="str">
        <f>IF(C198&lt;B198,"Ship Before Order","OK")</f>
        <v>OK</v>
      </c>
      <c r="AL198" s="7" t="str">
        <f>IF(ISNUMBER(B198),"Valid","Invalid")</f>
        <v>Valid</v>
      </c>
      <c r="AM198" s="7" t="str">
        <f t="shared" si="22"/>
        <v>Missmatched</v>
      </c>
      <c r="AN198" s="7" t="str">
        <f t="shared" si="23"/>
        <v>Missmatched</v>
      </c>
    </row>
    <row r="199" spans="1:40">
      <c r="A199" t="s">
        <v>699</v>
      </c>
      <c r="B199" s="6">
        <v>45747</v>
      </c>
      <c r="C199" s="4">
        <v>45697</v>
      </c>
      <c r="D199" t="s">
        <v>390</v>
      </c>
      <c r="E199" t="s">
        <v>118</v>
      </c>
      <c r="F199" t="s">
        <v>37</v>
      </c>
      <c r="G199" t="s">
        <v>38</v>
      </c>
      <c r="H199" t="s">
        <v>145</v>
      </c>
      <c r="I199" t="s">
        <v>146</v>
      </c>
      <c r="J199" t="s">
        <v>28</v>
      </c>
      <c r="K199" t="s">
        <v>124</v>
      </c>
      <c r="L199" t="s">
        <v>700</v>
      </c>
      <c r="M199" t="s">
        <v>31</v>
      </c>
      <c r="N199">
        <v>5</v>
      </c>
      <c r="O199">
        <v>4096.4399999999996</v>
      </c>
      <c r="P199">
        <v>0.15</v>
      </c>
      <c r="Q199" s="7">
        <f>IF(P199="", 0, P199)</f>
        <v>0.15</v>
      </c>
      <c r="R199">
        <v>17409.87</v>
      </c>
      <c r="S199">
        <v>14076.25</v>
      </c>
      <c r="T199" s="7">
        <f>N199*O199*(1-Q199)</f>
        <v>17409.869999999995</v>
      </c>
      <c r="U199" s="7">
        <f t="shared" si="18"/>
        <v>3333.6199999999953</v>
      </c>
      <c r="V199">
        <v>3333.62</v>
      </c>
      <c r="W199" s="12">
        <f t="shared" si="19"/>
        <v>0.19147874165631312</v>
      </c>
      <c r="X199" t="s">
        <v>32</v>
      </c>
      <c r="Y199" t="str">
        <f t="shared" si="20"/>
        <v>Paid</v>
      </c>
      <c r="Z199" t="s">
        <v>33</v>
      </c>
      <c r="AA199">
        <f>C199-B199</f>
        <v>-50</v>
      </c>
      <c r="AB199" t="str">
        <f>IF(B199="","Missing Order Date",
IF(C199="","Missing Ship Date","OK"))</f>
        <v>OK</v>
      </c>
      <c r="AC199" s="7" t="str">
        <f>IF(C199&lt;B199, "Invalid", "Valid")</f>
        <v>Invalid</v>
      </c>
      <c r="AD199" s="7" t="str">
        <f>IF(COUNTIF($A:$A, A199)&gt;1, "Duplicate", "Unique")</f>
        <v>Unique</v>
      </c>
      <c r="AE199" s="7" t="str">
        <f>IF(G199="","Unknown",G199)</f>
        <v>East</v>
      </c>
      <c r="AF199" s="7" t="str">
        <f>IF(M199="","Unknown",M199)</f>
        <v>Second Class</v>
      </c>
      <c r="AG199" s="7" t="str">
        <f>IF(P199&lt;0,"Invalid",
IF(P199&gt;1,"Invalid","Valid"))</f>
        <v>Valid</v>
      </c>
      <c r="AH199" s="7" t="str">
        <f>TEXT(B199,"mmmm")</f>
        <v>March</v>
      </c>
      <c r="AI199" s="7">
        <f t="shared" si="21"/>
        <v>2025</v>
      </c>
      <c r="AJ199" s="7" t="str">
        <f>IF(OR(R199&lt;0,C199&lt;B199),"Invalid",
IF(OR(G199="Unknown",M199="Unknown"),"Warning","Clean"))</f>
        <v>Invalid</v>
      </c>
      <c r="AK199" s="7" t="str">
        <f>IF(C199&lt;B199,"Ship Before Order","OK")</f>
        <v>Ship Before Order</v>
      </c>
      <c r="AL199" s="7" t="str">
        <f>IF(ISNUMBER(B199),"Valid","Invalid")</f>
        <v>Valid</v>
      </c>
      <c r="AM199" s="7" t="str">
        <f t="shared" si="22"/>
        <v>Ok</v>
      </c>
      <c r="AN199" s="7" t="str">
        <f t="shared" si="23"/>
        <v>Ok</v>
      </c>
    </row>
    <row r="200" spans="1:40">
      <c r="A200" t="s">
        <v>701</v>
      </c>
      <c r="B200" s="6">
        <v>45448</v>
      </c>
      <c r="C200" s="4">
        <v>45698</v>
      </c>
      <c r="D200" t="s">
        <v>702</v>
      </c>
      <c r="E200" t="s">
        <v>132</v>
      </c>
      <c r="F200" t="s">
        <v>24</v>
      </c>
      <c r="G200" t="s">
        <v>63</v>
      </c>
      <c r="H200" t="s">
        <v>180</v>
      </c>
      <c r="I200" t="s">
        <v>181</v>
      </c>
      <c r="J200" t="s">
        <v>28</v>
      </c>
      <c r="K200" t="s">
        <v>48</v>
      </c>
      <c r="L200" t="s">
        <v>703</v>
      </c>
      <c r="M200" t="s">
        <v>31</v>
      </c>
      <c r="N200">
        <v>1</v>
      </c>
      <c r="O200">
        <v>1184.58</v>
      </c>
      <c r="P200">
        <v>0.05</v>
      </c>
      <c r="Q200" s="7">
        <f>IF(P200="", 0, P200)</f>
        <v>0.05</v>
      </c>
      <c r="R200">
        <v>1125.3499999999999</v>
      </c>
      <c r="S200">
        <v>676.97</v>
      </c>
      <c r="T200" s="7">
        <f>N200*O200*(1-Q200)</f>
        <v>1125.3509999999999</v>
      </c>
      <c r="U200" s="7">
        <f t="shared" si="18"/>
        <v>448.38099999999986</v>
      </c>
      <c r="V200">
        <v>448.38</v>
      </c>
      <c r="W200" s="12">
        <f t="shared" si="19"/>
        <v>0.39843657667696558</v>
      </c>
      <c r="X200" t="s">
        <v>155</v>
      </c>
      <c r="Y200" t="str">
        <f t="shared" si="20"/>
        <v>Failed</v>
      </c>
      <c r="Z200" t="s">
        <v>68</v>
      </c>
      <c r="AA200">
        <f>C200-B200</f>
        <v>250</v>
      </c>
      <c r="AB200" t="str">
        <f>IF(B200="","Missing Order Date",
IF(C200="","Missing Ship Date","OK"))</f>
        <v>OK</v>
      </c>
      <c r="AC200" s="7" t="str">
        <f>IF(C200&lt;B200, "Invalid", "Valid")</f>
        <v>Valid</v>
      </c>
      <c r="AD200" s="7" t="str">
        <f>IF(COUNTIF($A:$A, A200)&gt;1, "Duplicate", "Unique")</f>
        <v>Unique</v>
      </c>
      <c r="AE200" s="7" t="str">
        <f>IF(G200="","Unknown",G200)</f>
        <v>West</v>
      </c>
      <c r="AF200" s="7" t="str">
        <f>IF(M200="","Unknown",M200)</f>
        <v>Second Class</v>
      </c>
      <c r="AG200" s="7" t="str">
        <f>IF(P200&lt;0,"Invalid",
IF(P200&gt;1,"Invalid","Valid"))</f>
        <v>Valid</v>
      </c>
      <c r="AH200" s="7" t="str">
        <f>TEXT(B200,"mmmm")</f>
        <v>June</v>
      </c>
      <c r="AI200" s="7">
        <f t="shared" si="21"/>
        <v>2024</v>
      </c>
      <c r="AJ200" s="7" t="str">
        <f>IF(OR(R200&lt;0,C200&lt;B200),"Invalid",
IF(OR(G200="Unknown",M200="Unknown"),"Warning","Clean"))</f>
        <v>Clean</v>
      </c>
      <c r="AK200" s="7" t="str">
        <f>IF(C200&lt;B200,"Ship Before Order","OK")</f>
        <v>OK</v>
      </c>
      <c r="AL200" s="7" t="str">
        <f>IF(ISNUMBER(B200),"Valid","Invalid")</f>
        <v>Valid</v>
      </c>
      <c r="AM200" s="7" t="str">
        <f t="shared" si="22"/>
        <v>Missmatched</v>
      </c>
      <c r="AN200" s="7" t="str">
        <f t="shared" si="23"/>
        <v>Missmatched</v>
      </c>
    </row>
    <row r="201" spans="1:40">
      <c r="A201" t="s">
        <v>704</v>
      </c>
      <c r="B201" s="6">
        <v>45629</v>
      </c>
      <c r="C201" s="4">
        <v>45699</v>
      </c>
      <c r="D201" t="s">
        <v>705</v>
      </c>
      <c r="E201" t="s">
        <v>118</v>
      </c>
      <c r="F201" t="s">
        <v>95</v>
      </c>
      <c r="G201" t="s">
        <v>38</v>
      </c>
      <c r="H201" t="s">
        <v>145</v>
      </c>
      <c r="I201" t="s">
        <v>146</v>
      </c>
      <c r="J201" t="s">
        <v>74</v>
      </c>
      <c r="K201" t="s">
        <v>274</v>
      </c>
      <c r="L201" t="s">
        <v>706</v>
      </c>
      <c r="M201" t="s">
        <v>2785</v>
      </c>
      <c r="N201">
        <v>6</v>
      </c>
      <c r="O201">
        <v>2185.58</v>
      </c>
      <c r="P201">
        <v>0.25</v>
      </c>
      <c r="Q201" s="7">
        <f>IF(P201="", 0, P201)</f>
        <v>0.25</v>
      </c>
      <c r="R201">
        <v>9835.11</v>
      </c>
      <c r="S201">
        <v>5437.64</v>
      </c>
      <c r="T201" s="7">
        <f>N201*O201*(1-Q201)</f>
        <v>9835.11</v>
      </c>
      <c r="U201" s="7">
        <f t="shared" si="18"/>
        <v>4397.47</v>
      </c>
      <c r="V201">
        <v>4397.47</v>
      </c>
      <c r="W201" s="12">
        <f t="shared" si="19"/>
        <v>0.44711955433136996</v>
      </c>
      <c r="X201" t="s">
        <v>32</v>
      </c>
      <c r="Y201" t="str">
        <f t="shared" si="20"/>
        <v>Paid</v>
      </c>
      <c r="Z201" t="s">
        <v>33</v>
      </c>
      <c r="AA201">
        <f>C201-B201</f>
        <v>70</v>
      </c>
      <c r="AB201" t="str">
        <f>IF(B201="","Missing Order Date",
IF(C201="","Missing Ship Date","OK"))</f>
        <v>OK</v>
      </c>
      <c r="AC201" s="7" t="str">
        <f>IF(C201&lt;B201, "Invalid", "Valid")</f>
        <v>Valid</v>
      </c>
      <c r="AD201" s="7" t="str">
        <f>IF(COUNTIF($A:$A, A201)&gt;1, "Duplicate", "Unique")</f>
        <v>Unique</v>
      </c>
      <c r="AE201" s="7" t="str">
        <f>IF(G201="","Unknown",G201)</f>
        <v>East</v>
      </c>
      <c r="AF201" s="7" t="str">
        <f>IF(M201="","Unknown",M201)</f>
        <v>Unknown</v>
      </c>
      <c r="AG201" s="7" t="str">
        <f>IF(P201&lt;0,"Invalid",
IF(P201&gt;1,"Invalid","Valid"))</f>
        <v>Valid</v>
      </c>
      <c r="AH201" s="7" t="str">
        <f>TEXT(B201,"mmmm")</f>
        <v>December</v>
      </c>
      <c r="AI201" s="7">
        <f t="shared" si="21"/>
        <v>2024</v>
      </c>
      <c r="AJ201" s="7" t="str">
        <f>IF(OR(R201&lt;0,C201&lt;B201),"Invalid",
IF(OR(G201="Unknown",M201="Unknown"),"Warning","Clean"))</f>
        <v>Clean</v>
      </c>
      <c r="AK201" s="7" t="str">
        <f>IF(C201&lt;B201,"Ship Before Order","OK")</f>
        <v>OK</v>
      </c>
      <c r="AL201" s="7" t="str">
        <f>IF(ISNUMBER(B201),"Valid","Invalid")</f>
        <v>Valid</v>
      </c>
      <c r="AM201" s="7" t="str">
        <f t="shared" si="22"/>
        <v>Ok</v>
      </c>
      <c r="AN201" s="7" t="str">
        <f t="shared" si="23"/>
        <v>Ok</v>
      </c>
    </row>
    <row r="202" spans="1:40">
      <c r="A202" t="s">
        <v>707</v>
      </c>
      <c r="B202" s="6">
        <v>45835</v>
      </c>
      <c r="C202" s="4">
        <v>45700</v>
      </c>
      <c r="D202" t="s">
        <v>708</v>
      </c>
      <c r="E202" t="s">
        <v>114</v>
      </c>
      <c r="F202" t="s">
        <v>37</v>
      </c>
      <c r="G202" t="s">
        <v>25</v>
      </c>
      <c r="H202" t="s">
        <v>26</v>
      </c>
      <c r="I202" t="s">
        <v>27</v>
      </c>
      <c r="J202" t="s">
        <v>74</v>
      </c>
      <c r="K202" t="s">
        <v>80</v>
      </c>
      <c r="L202" t="s">
        <v>709</v>
      </c>
      <c r="M202" t="s">
        <v>50</v>
      </c>
      <c r="N202">
        <v>5</v>
      </c>
      <c r="O202">
        <v>2868.44</v>
      </c>
      <c r="P202">
        <v>0.1</v>
      </c>
      <c r="Q202" s="7">
        <f>IF(P202="", 0, P202)</f>
        <v>0.1</v>
      </c>
      <c r="R202">
        <v>12907.98</v>
      </c>
      <c r="S202">
        <v>9197.08</v>
      </c>
      <c r="T202" s="7">
        <f>N202*O202*(1-Q202)</f>
        <v>12907.980000000001</v>
      </c>
      <c r="U202" s="7">
        <f t="shared" si="18"/>
        <v>3710.9000000000015</v>
      </c>
      <c r="V202">
        <v>3710.9</v>
      </c>
      <c r="W202" s="12">
        <f t="shared" si="19"/>
        <v>0.28748882474252369</v>
      </c>
      <c r="X202" t="s">
        <v>111</v>
      </c>
      <c r="Y202" t="str">
        <f t="shared" si="20"/>
        <v>Pending</v>
      </c>
      <c r="Z202" t="s">
        <v>68</v>
      </c>
      <c r="AA202">
        <f>C202-B202</f>
        <v>-135</v>
      </c>
      <c r="AB202" t="str">
        <f>IF(B202="","Missing Order Date",
IF(C202="","Missing Ship Date","OK"))</f>
        <v>OK</v>
      </c>
      <c r="AC202" s="7" t="str">
        <f>IF(C202&lt;B202, "Invalid", "Valid")</f>
        <v>Invalid</v>
      </c>
      <c r="AD202" s="7" t="str">
        <f>IF(COUNTIF($A:$A, A202)&gt;1, "Duplicate", "Unique")</f>
        <v>Unique</v>
      </c>
      <c r="AE202" s="7" t="str">
        <f>IF(G202="","Unknown",G202)</f>
        <v>North</v>
      </c>
      <c r="AF202" s="7" t="str">
        <f>IF(M202="","Unknown",M202)</f>
        <v>First Class</v>
      </c>
      <c r="AG202" s="7" t="str">
        <f>IF(P202&lt;0,"Invalid",
IF(P202&gt;1,"Invalid","Valid"))</f>
        <v>Valid</v>
      </c>
      <c r="AH202" s="7" t="str">
        <f>TEXT(B202,"mmmm")</f>
        <v>June</v>
      </c>
      <c r="AI202" s="7">
        <f t="shared" si="21"/>
        <v>2025</v>
      </c>
      <c r="AJ202" s="7" t="str">
        <f>IF(OR(R202&lt;0,C202&lt;B202),"Invalid",
IF(OR(G202="Unknown",M202="Unknown"),"Warning","Clean"))</f>
        <v>Invalid</v>
      </c>
      <c r="AK202" s="7" t="str">
        <f>IF(C202&lt;B202,"Ship Before Order","OK")</f>
        <v>Ship Before Order</v>
      </c>
      <c r="AL202" s="7" t="str">
        <f>IF(ISNUMBER(B202),"Valid","Invalid")</f>
        <v>Valid</v>
      </c>
      <c r="AM202" s="7" t="str">
        <f t="shared" si="22"/>
        <v>Ok</v>
      </c>
      <c r="AN202" s="7" t="str">
        <f t="shared" si="23"/>
        <v>Ok</v>
      </c>
    </row>
    <row r="203" spans="1:40">
      <c r="A203" t="s">
        <v>710</v>
      </c>
      <c r="B203" s="6">
        <v>45864</v>
      </c>
      <c r="C203" s="4">
        <v>45701</v>
      </c>
      <c r="D203" t="s">
        <v>711</v>
      </c>
      <c r="E203" t="s">
        <v>71</v>
      </c>
      <c r="F203" t="s">
        <v>24</v>
      </c>
      <c r="G203" t="s">
        <v>63</v>
      </c>
      <c r="H203" t="s">
        <v>72</v>
      </c>
      <c r="I203" t="s">
        <v>73</v>
      </c>
      <c r="J203" t="s">
        <v>28</v>
      </c>
      <c r="K203" t="s">
        <v>91</v>
      </c>
      <c r="L203" t="s">
        <v>712</v>
      </c>
      <c r="M203" t="s">
        <v>31</v>
      </c>
      <c r="N203">
        <v>2</v>
      </c>
      <c r="O203">
        <v>2503.5300000000002</v>
      </c>
      <c r="P203">
        <v>-0.16</v>
      </c>
      <c r="Q203" s="7">
        <f>IF(P203="", 0, P203)</f>
        <v>-0.16</v>
      </c>
      <c r="R203">
        <v>4756.71</v>
      </c>
      <c r="S203">
        <v>2954.86</v>
      </c>
      <c r="T203" s="7">
        <f>N203*O203*(1-Q203)</f>
        <v>5808.1895999999997</v>
      </c>
      <c r="U203" s="7">
        <f t="shared" si="18"/>
        <v>2853.3295999999996</v>
      </c>
      <c r="V203">
        <v>1801.85</v>
      </c>
      <c r="W203" s="12">
        <f t="shared" si="19"/>
        <v>0.49125972058487893</v>
      </c>
      <c r="X203" t="s">
        <v>102</v>
      </c>
      <c r="Y203" t="str">
        <f t="shared" si="20"/>
        <v>Refunded</v>
      </c>
      <c r="Z203" t="s">
        <v>68</v>
      </c>
      <c r="AA203">
        <f>C203-B203</f>
        <v>-163</v>
      </c>
      <c r="AB203" t="str">
        <f>IF(B203="","Missing Order Date",
IF(C203="","Missing Ship Date","OK"))</f>
        <v>OK</v>
      </c>
      <c r="AC203" s="7" t="str">
        <f>IF(C203&lt;B203, "Invalid", "Valid")</f>
        <v>Invalid</v>
      </c>
      <c r="AD203" s="7" t="str">
        <f>IF(COUNTIF($A:$A, A203)&gt;1, "Duplicate", "Unique")</f>
        <v>Unique</v>
      </c>
      <c r="AE203" s="7" t="str">
        <f>IF(G203="","Unknown",G203)</f>
        <v>West</v>
      </c>
      <c r="AF203" s="7" t="str">
        <f>IF(M203="","Unknown",M203)</f>
        <v>Second Class</v>
      </c>
      <c r="AG203" s="7" t="str">
        <f>IF(P203&lt;0,"Invalid",
IF(P203&gt;1,"Invalid","Valid"))</f>
        <v>Invalid</v>
      </c>
      <c r="AH203" s="7" t="str">
        <f>TEXT(B203,"mmmm")</f>
        <v>July</v>
      </c>
      <c r="AI203" s="7">
        <f t="shared" si="21"/>
        <v>2025</v>
      </c>
      <c r="AJ203" s="7" t="str">
        <f>IF(OR(R203&lt;0,C203&lt;B203),"Invalid",
IF(OR(G203="Unknown",M203="Unknown"),"Warning","Clean"))</f>
        <v>Invalid</v>
      </c>
      <c r="AK203" s="7" t="str">
        <f>IF(C203&lt;B203,"Ship Before Order","OK")</f>
        <v>Ship Before Order</v>
      </c>
      <c r="AL203" s="7" t="str">
        <f>IF(ISNUMBER(B203),"Valid","Invalid")</f>
        <v>Valid</v>
      </c>
      <c r="AM203" s="7" t="str">
        <f t="shared" si="22"/>
        <v>Missmatched</v>
      </c>
      <c r="AN203" s="7" t="str">
        <f t="shared" si="23"/>
        <v>Missmatched</v>
      </c>
    </row>
    <row r="204" spans="1:40">
      <c r="A204" t="s">
        <v>713</v>
      </c>
      <c r="B204" s="6">
        <v>45744</v>
      </c>
      <c r="C204" s="4">
        <v>45702</v>
      </c>
      <c r="D204" t="s">
        <v>714</v>
      </c>
      <c r="E204" t="s">
        <v>132</v>
      </c>
      <c r="F204" t="s">
        <v>90</v>
      </c>
      <c r="G204" t="s">
        <v>63</v>
      </c>
      <c r="H204" t="s">
        <v>190</v>
      </c>
      <c r="I204" t="s">
        <v>191</v>
      </c>
      <c r="J204" t="s">
        <v>74</v>
      </c>
      <c r="K204" t="s">
        <v>75</v>
      </c>
      <c r="L204" t="s">
        <v>715</v>
      </c>
      <c r="M204" t="s">
        <v>59</v>
      </c>
      <c r="N204">
        <v>8</v>
      </c>
      <c r="O204">
        <v>1740.94</v>
      </c>
      <c r="P204">
        <v>0.05</v>
      </c>
      <c r="Q204" s="7">
        <f>IF(P204="", 0, P204)</f>
        <v>0.05</v>
      </c>
      <c r="R204">
        <v>13231.14</v>
      </c>
      <c r="S204">
        <v>11290.06</v>
      </c>
      <c r="T204" s="7">
        <f>N204*O204*(1-Q204)</f>
        <v>13231.144</v>
      </c>
      <c r="U204" s="7">
        <f t="shared" si="18"/>
        <v>1941.0840000000007</v>
      </c>
      <c r="V204">
        <v>1941.08</v>
      </c>
      <c r="W204" s="12">
        <f t="shared" si="19"/>
        <v>0.14670568168557463</v>
      </c>
      <c r="X204" t="s">
        <v>32</v>
      </c>
      <c r="Y204" t="str">
        <f t="shared" si="20"/>
        <v>Paid</v>
      </c>
      <c r="Z204" t="s">
        <v>33</v>
      </c>
      <c r="AA204">
        <f>C204-B204</f>
        <v>-42</v>
      </c>
      <c r="AB204" t="str">
        <f>IF(B204="","Missing Order Date",
IF(C204="","Missing Ship Date","OK"))</f>
        <v>OK</v>
      </c>
      <c r="AC204" s="7" t="str">
        <f>IF(C204&lt;B204, "Invalid", "Valid")</f>
        <v>Invalid</v>
      </c>
      <c r="AD204" s="7" t="str">
        <f>IF(COUNTIF($A:$A, A204)&gt;1, "Duplicate", "Unique")</f>
        <v>Unique</v>
      </c>
      <c r="AE204" s="7" t="str">
        <f>IF(G204="","Unknown",G204)</f>
        <v>West</v>
      </c>
      <c r="AF204" s="7" t="str">
        <f>IF(M204="","Unknown",M204)</f>
        <v>Standard Class</v>
      </c>
      <c r="AG204" s="7" t="str">
        <f>IF(P204&lt;0,"Invalid",
IF(P204&gt;1,"Invalid","Valid"))</f>
        <v>Valid</v>
      </c>
      <c r="AH204" s="7" t="str">
        <f>TEXT(B204,"mmmm")</f>
        <v>March</v>
      </c>
      <c r="AI204" s="7">
        <f t="shared" si="21"/>
        <v>2025</v>
      </c>
      <c r="AJ204" s="7" t="str">
        <f>IF(OR(R204&lt;0,C204&lt;B204),"Invalid",
IF(OR(G204="Unknown",M204="Unknown"),"Warning","Clean"))</f>
        <v>Invalid</v>
      </c>
      <c r="AK204" s="7" t="str">
        <f>IF(C204&lt;B204,"Ship Before Order","OK")</f>
        <v>Ship Before Order</v>
      </c>
      <c r="AL204" s="7" t="str">
        <f>IF(ISNUMBER(B204),"Valid","Invalid")</f>
        <v>Valid</v>
      </c>
      <c r="AM204" s="7" t="str">
        <f t="shared" si="22"/>
        <v>Missmatched</v>
      </c>
      <c r="AN204" s="7" t="str">
        <f t="shared" si="23"/>
        <v>Missmatched</v>
      </c>
    </row>
    <row r="205" spans="1:40">
      <c r="A205" t="s">
        <v>716</v>
      </c>
      <c r="B205" s="6">
        <v>45379</v>
      </c>
      <c r="C205" s="4">
        <v>45703</v>
      </c>
      <c r="D205" t="s">
        <v>717</v>
      </c>
      <c r="E205" t="s">
        <v>132</v>
      </c>
      <c r="F205" t="s">
        <v>90</v>
      </c>
      <c r="G205" t="s">
        <v>63</v>
      </c>
      <c r="H205" t="s">
        <v>26</v>
      </c>
      <c r="I205" t="s">
        <v>109</v>
      </c>
      <c r="J205" t="s">
        <v>74</v>
      </c>
      <c r="K205" t="s">
        <v>75</v>
      </c>
      <c r="L205" t="s">
        <v>718</v>
      </c>
      <c r="M205" t="s">
        <v>31</v>
      </c>
      <c r="N205">
        <v>1</v>
      </c>
      <c r="O205">
        <v>570.34</v>
      </c>
      <c r="P205">
        <v>0.15</v>
      </c>
      <c r="Q205" s="7">
        <f>IF(P205="", 0, P205)</f>
        <v>0.15</v>
      </c>
      <c r="R205">
        <v>484.79</v>
      </c>
      <c r="S205">
        <v>333.54</v>
      </c>
      <c r="T205" s="7">
        <f>N205*O205*(1-Q205)</f>
        <v>484.78899999999999</v>
      </c>
      <c r="U205" s="7">
        <f t="shared" si="18"/>
        <v>151.24899999999997</v>
      </c>
      <c r="V205">
        <v>151.25</v>
      </c>
      <c r="W205" s="12">
        <f t="shared" si="19"/>
        <v>0.3119893396921134</v>
      </c>
      <c r="X205" t="s">
        <v>32</v>
      </c>
      <c r="Y205" t="str">
        <f t="shared" si="20"/>
        <v>Paid</v>
      </c>
      <c r="Z205" t="s">
        <v>33</v>
      </c>
      <c r="AA205">
        <f>C205-B205</f>
        <v>324</v>
      </c>
      <c r="AB205" t="str">
        <f>IF(B205="","Missing Order Date",
IF(C205="","Missing Ship Date","OK"))</f>
        <v>OK</v>
      </c>
      <c r="AC205" s="7" t="str">
        <f>IF(C205&lt;B205, "Invalid", "Valid")</f>
        <v>Valid</v>
      </c>
      <c r="AD205" s="7" t="str">
        <f>IF(COUNTIF($A:$A, A205)&gt;1, "Duplicate", "Unique")</f>
        <v>Unique</v>
      </c>
      <c r="AE205" s="7" t="str">
        <f>IF(G205="","Unknown",G205)</f>
        <v>West</v>
      </c>
      <c r="AF205" s="7" t="str">
        <f>IF(M205="","Unknown",M205)</f>
        <v>Second Class</v>
      </c>
      <c r="AG205" s="7" t="str">
        <f>IF(P205&lt;0,"Invalid",
IF(P205&gt;1,"Invalid","Valid"))</f>
        <v>Valid</v>
      </c>
      <c r="AH205" s="7" t="str">
        <f>TEXT(B205,"mmmm")</f>
        <v>March</v>
      </c>
      <c r="AI205" s="7">
        <f t="shared" si="21"/>
        <v>2024</v>
      </c>
      <c r="AJ205" s="7" t="str">
        <f>IF(OR(R205&lt;0,C205&lt;B205),"Invalid",
IF(OR(G205="Unknown",M205="Unknown"),"Warning","Clean"))</f>
        <v>Clean</v>
      </c>
      <c r="AK205" s="7" t="str">
        <f>IF(C205&lt;B205,"Ship Before Order","OK")</f>
        <v>OK</v>
      </c>
      <c r="AL205" s="7" t="str">
        <f>IF(ISNUMBER(B205),"Valid","Invalid")</f>
        <v>Valid</v>
      </c>
      <c r="AM205" s="7" t="str">
        <f t="shared" si="22"/>
        <v>Missmatched</v>
      </c>
      <c r="AN205" s="7" t="str">
        <f t="shared" si="23"/>
        <v>Missmatched</v>
      </c>
    </row>
    <row r="206" spans="1:40">
      <c r="A206" t="s">
        <v>719</v>
      </c>
      <c r="B206" s="6">
        <v>45858</v>
      </c>
      <c r="C206" s="4">
        <v>45704</v>
      </c>
      <c r="D206" t="s">
        <v>720</v>
      </c>
      <c r="E206" t="s">
        <v>36</v>
      </c>
      <c r="F206" t="s">
        <v>95</v>
      </c>
      <c r="G206" t="s">
        <v>38</v>
      </c>
      <c r="H206" t="s">
        <v>99</v>
      </c>
      <c r="I206" t="s">
        <v>100</v>
      </c>
      <c r="J206" t="s">
        <v>41</v>
      </c>
      <c r="K206" t="s">
        <v>42</v>
      </c>
      <c r="L206" t="s">
        <v>721</v>
      </c>
      <c r="M206" t="s">
        <v>31</v>
      </c>
      <c r="N206">
        <v>4</v>
      </c>
      <c r="O206">
        <v>477.69</v>
      </c>
      <c r="P206">
        <v>0.15</v>
      </c>
      <c r="Q206" s="7">
        <f>IF(P206="", 0, P206)</f>
        <v>0.15</v>
      </c>
      <c r="R206">
        <v>1624.15</v>
      </c>
      <c r="S206">
        <v>1217.99</v>
      </c>
      <c r="T206" s="7">
        <f>N206*O206*(1-Q206)</f>
        <v>1624.146</v>
      </c>
      <c r="U206" s="7">
        <f t="shared" si="18"/>
        <v>406.15599999999995</v>
      </c>
      <c r="V206">
        <v>406.16</v>
      </c>
      <c r="W206" s="12">
        <f t="shared" si="19"/>
        <v>0.25007357712914968</v>
      </c>
      <c r="X206" t="s">
        <v>32</v>
      </c>
      <c r="Y206" t="str">
        <f t="shared" si="20"/>
        <v>Paid</v>
      </c>
      <c r="Z206" t="s">
        <v>33</v>
      </c>
      <c r="AA206">
        <f>C206-B206</f>
        <v>-154</v>
      </c>
      <c r="AB206" t="str">
        <f>IF(B206="","Missing Order Date",
IF(C206="","Missing Ship Date","OK"))</f>
        <v>OK</v>
      </c>
      <c r="AC206" s="7" t="str">
        <f>IF(C206&lt;B206, "Invalid", "Valid")</f>
        <v>Invalid</v>
      </c>
      <c r="AD206" s="7" t="str">
        <f>IF(COUNTIF($A:$A, A206)&gt;1, "Duplicate", "Unique")</f>
        <v>Unique</v>
      </c>
      <c r="AE206" s="7" t="str">
        <f>IF(G206="","Unknown",G206)</f>
        <v>East</v>
      </c>
      <c r="AF206" s="7" t="str">
        <f>IF(M206="","Unknown",M206)</f>
        <v>Second Class</v>
      </c>
      <c r="AG206" s="7" t="str">
        <f>IF(P206&lt;0,"Invalid",
IF(P206&gt;1,"Invalid","Valid"))</f>
        <v>Valid</v>
      </c>
      <c r="AH206" s="7" t="str">
        <f>TEXT(B206,"mmmm")</f>
        <v>July</v>
      </c>
      <c r="AI206" s="7">
        <f t="shared" si="21"/>
        <v>2025</v>
      </c>
      <c r="AJ206" s="7" t="str">
        <f>IF(OR(R206&lt;0,C206&lt;B206),"Invalid",
IF(OR(G206="Unknown",M206="Unknown"),"Warning","Clean"))</f>
        <v>Invalid</v>
      </c>
      <c r="AK206" s="7" t="str">
        <f>IF(C206&lt;B206,"Ship Before Order","OK")</f>
        <v>Ship Before Order</v>
      </c>
      <c r="AL206" s="7" t="str">
        <f>IF(ISNUMBER(B206),"Valid","Invalid")</f>
        <v>Valid</v>
      </c>
      <c r="AM206" s="7" t="str">
        <f t="shared" si="22"/>
        <v>Missmatched</v>
      </c>
      <c r="AN206" s="7" t="str">
        <f t="shared" si="23"/>
        <v>Missmatched</v>
      </c>
    </row>
    <row r="207" spans="1:40">
      <c r="A207" t="s">
        <v>722</v>
      </c>
      <c r="B207" s="6">
        <v>45768</v>
      </c>
      <c r="C207" s="4">
        <v>45705</v>
      </c>
      <c r="D207" t="s">
        <v>723</v>
      </c>
      <c r="E207" t="s">
        <v>62</v>
      </c>
      <c r="F207" t="s">
        <v>24</v>
      </c>
      <c r="G207" t="s">
        <v>63</v>
      </c>
      <c r="H207" t="s">
        <v>64</v>
      </c>
      <c r="I207" t="s">
        <v>65</v>
      </c>
      <c r="J207" t="s">
        <v>28</v>
      </c>
      <c r="K207" t="s">
        <v>91</v>
      </c>
      <c r="L207" t="s">
        <v>724</v>
      </c>
      <c r="M207" t="s">
        <v>44</v>
      </c>
      <c r="N207">
        <v>6</v>
      </c>
      <c r="O207">
        <v>873.59</v>
      </c>
      <c r="P207">
        <v>0.2</v>
      </c>
      <c r="Q207" s="7">
        <f>IF(P207="", 0, P207)</f>
        <v>0.2</v>
      </c>
      <c r="R207">
        <v>4193.2299999999996</v>
      </c>
      <c r="S207">
        <v>3329.99</v>
      </c>
      <c r="T207" s="7">
        <f>N207*O207*(1-Q207)</f>
        <v>4193.232</v>
      </c>
      <c r="U207" s="7">
        <f t="shared" si="18"/>
        <v>863.24200000000019</v>
      </c>
      <c r="V207">
        <v>863.24</v>
      </c>
      <c r="W207" s="12">
        <f t="shared" si="19"/>
        <v>0.2058655471483572</v>
      </c>
      <c r="X207" t="s">
        <v>32</v>
      </c>
      <c r="Y207" t="str">
        <f t="shared" si="20"/>
        <v>Paid</v>
      </c>
      <c r="Z207" t="s">
        <v>33</v>
      </c>
      <c r="AA207">
        <f>C207-B207</f>
        <v>-63</v>
      </c>
      <c r="AB207" t="str">
        <f>IF(B207="","Missing Order Date",
IF(C207="","Missing Ship Date","OK"))</f>
        <v>OK</v>
      </c>
      <c r="AC207" s="7" t="str">
        <f>IF(C207&lt;B207, "Invalid", "Valid")</f>
        <v>Invalid</v>
      </c>
      <c r="AD207" s="7" t="str">
        <f>IF(COUNTIF($A:$A, A207)&gt;1, "Duplicate", "Unique")</f>
        <v>Unique</v>
      </c>
      <c r="AE207" s="7" t="str">
        <f>IF(G207="","Unknown",G207)</f>
        <v>West</v>
      </c>
      <c r="AF207" s="7" t="str">
        <f>IF(M207="","Unknown",M207)</f>
        <v>Same Day</v>
      </c>
      <c r="AG207" s="7" t="str">
        <f>IF(P207&lt;0,"Invalid",
IF(P207&gt;1,"Invalid","Valid"))</f>
        <v>Valid</v>
      </c>
      <c r="AH207" s="7" t="str">
        <f>TEXT(B207,"mmmm")</f>
        <v>April</v>
      </c>
      <c r="AI207" s="7">
        <f t="shared" si="21"/>
        <v>2025</v>
      </c>
      <c r="AJ207" s="7" t="str">
        <f>IF(OR(R207&lt;0,C207&lt;B207),"Invalid",
IF(OR(G207="Unknown",M207="Unknown"),"Warning","Clean"))</f>
        <v>Invalid</v>
      </c>
      <c r="AK207" s="7" t="str">
        <f>IF(C207&lt;B207,"Ship Before Order","OK")</f>
        <v>Ship Before Order</v>
      </c>
      <c r="AL207" s="7" t="str">
        <f>IF(ISNUMBER(B207),"Valid","Invalid")</f>
        <v>Valid</v>
      </c>
      <c r="AM207" s="7" t="str">
        <f t="shared" si="22"/>
        <v>Missmatched</v>
      </c>
      <c r="AN207" s="7" t="str">
        <f t="shared" si="23"/>
        <v>Missmatched</v>
      </c>
    </row>
    <row r="208" spans="1:40">
      <c r="A208" t="s">
        <v>725</v>
      </c>
      <c r="B208" s="6">
        <v>45795</v>
      </c>
      <c r="C208" s="4">
        <v>45706</v>
      </c>
      <c r="D208" t="s">
        <v>726</v>
      </c>
      <c r="E208" t="s">
        <v>162</v>
      </c>
      <c r="F208" t="s">
        <v>37</v>
      </c>
      <c r="G208" t="s">
        <v>25</v>
      </c>
      <c r="H208" t="s">
        <v>136</v>
      </c>
      <c r="I208" t="s">
        <v>137</v>
      </c>
      <c r="J208" t="s">
        <v>41</v>
      </c>
      <c r="K208" t="s">
        <v>57</v>
      </c>
      <c r="L208" t="s">
        <v>727</v>
      </c>
      <c r="M208" t="s">
        <v>50</v>
      </c>
      <c r="N208">
        <v>2</v>
      </c>
      <c r="O208">
        <v>215.13</v>
      </c>
      <c r="P208">
        <v>0</v>
      </c>
      <c r="Q208" s="7">
        <f>IF(P208="", 0, P208)</f>
        <v>0</v>
      </c>
      <c r="R208">
        <v>430.26</v>
      </c>
      <c r="S208">
        <v>286.38</v>
      </c>
      <c r="T208" s="7">
        <f>N208*O208*(1-Q208)</f>
        <v>430.26</v>
      </c>
      <c r="U208" s="7">
        <f t="shared" si="18"/>
        <v>143.88</v>
      </c>
      <c r="V208">
        <v>143.88</v>
      </c>
      <c r="W208" s="12">
        <f t="shared" si="19"/>
        <v>0.33440245432994004</v>
      </c>
      <c r="X208" t="s">
        <v>32</v>
      </c>
      <c r="Y208" t="str">
        <f t="shared" si="20"/>
        <v>Paid</v>
      </c>
      <c r="Z208" t="s">
        <v>33</v>
      </c>
      <c r="AA208">
        <f>C208-B208</f>
        <v>-89</v>
      </c>
      <c r="AB208" t="str">
        <f>IF(B208="","Missing Order Date",
IF(C208="","Missing Ship Date","OK"))</f>
        <v>OK</v>
      </c>
      <c r="AC208" s="7" t="str">
        <f>IF(C208&lt;B208, "Invalid", "Valid")</f>
        <v>Invalid</v>
      </c>
      <c r="AD208" s="7" t="str">
        <f>IF(COUNTIF($A:$A, A208)&gt;1, "Duplicate", "Unique")</f>
        <v>Unique</v>
      </c>
      <c r="AE208" s="7" t="str">
        <f>IF(G208="","Unknown",G208)</f>
        <v>North</v>
      </c>
      <c r="AF208" s="7" t="str">
        <f>IF(M208="","Unknown",M208)</f>
        <v>First Class</v>
      </c>
      <c r="AG208" s="7" t="str">
        <f>IF(P208&lt;0,"Invalid",
IF(P208&gt;1,"Invalid","Valid"))</f>
        <v>Valid</v>
      </c>
      <c r="AH208" s="7" t="str">
        <f>TEXT(B208,"mmmm")</f>
        <v>May</v>
      </c>
      <c r="AI208" s="7">
        <f t="shared" si="21"/>
        <v>2025</v>
      </c>
      <c r="AJ208" s="7" t="str">
        <f>IF(OR(R208&lt;0,C208&lt;B208),"Invalid",
IF(OR(G208="Unknown",M208="Unknown"),"Warning","Clean"))</f>
        <v>Invalid</v>
      </c>
      <c r="AK208" s="7" t="str">
        <f>IF(C208&lt;B208,"Ship Before Order","OK")</f>
        <v>Ship Before Order</v>
      </c>
      <c r="AL208" s="7" t="str">
        <f>IF(ISNUMBER(B208),"Valid","Invalid")</f>
        <v>Valid</v>
      </c>
      <c r="AM208" s="7" t="str">
        <f t="shared" si="22"/>
        <v>Ok</v>
      </c>
      <c r="AN208" s="7" t="str">
        <f t="shared" si="23"/>
        <v>Ok</v>
      </c>
    </row>
    <row r="209" spans="1:40">
      <c r="A209" t="s">
        <v>728</v>
      </c>
      <c r="B209" s="6">
        <v>45572</v>
      </c>
      <c r="C209" s="4">
        <v>45707</v>
      </c>
      <c r="D209" t="s">
        <v>729</v>
      </c>
      <c r="E209" t="s">
        <v>128</v>
      </c>
      <c r="F209" t="s">
        <v>95</v>
      </c>
      <c r="G209" t="s">
        <v>63</v>
      </c>
      <c r="H209" t="s">
        <v>190</v>
      </c>
      <c r="I209" t="s">
        <v>191</v>
      </c>
      <c r="J209" t="s">
        <v>41</v>
      </c>
      <c r="K209" t="s">
        <v>158</v>
      </c>
      <c r="L209" t="s">
        <v>730</v>
      </c>
      <c r="M209" t="s">
        <v>31</v>
      </c>
      <c r="N209">
        <v>2</v>
      </c>
      <c r="O209">
        <v>1095.45</v>
      </c>
      <c r="P209">
        <v>0.2</v>
      </c>
      <c r="Q209" s="7">
        <f>IF(P209="", 0, P209)</f>
        <v>0.2</v>
      </c>
      <c r="R209">
        <v>1752.72</v>
      </c>
      <c r="S209">
        <v>996.41</v>
      </c>
      <c r="T209" s="7">
        <f>N209*O209*(1-Q209)</f>
        <v>1752.7200000000003</v>
      </c>
      <c r="U209" s="7">
        <f t="shared" si="18"/>
        <v>756.31000000000029</v>
      </c>
      <c r="V209">
        <v>756.31</v>
      </c>
      <c r="W209" s="12">
        <f t="shared" si="19"/>
        <v>0.43150645853302305</v>
      </c>
      <c r="X209" t="s">
        <v>32</v>
      </c>
      <c r="Y209" t="str">
        <f t="shared" si="20"/>
        <v>Paid</v>
      </c>
      <c r="Z209" t="s">
        <v>33</v>
      </c>
      <c r="AA209">
        <f>C209-B209</f>
        <v>135</v>
      </c>
      <c r="AB209" t="str">
        <f>IF(B209="","Missing Order Date",
IF(C209="","Missing Ship Date","OK"))</f>
        <v>OK</v>
      </c>
      <c r="AC209" s="7" t="str">
        <f>IF(C209&lt;B209, "Invalid", "Valid")</f>
        <v>Valid</v>
      </c>
      <c r="AD209" s="7" t="str">
        <f>IF(COUNTIF($A:$A, A209)&gt;1, "Duplicate", "Unique")</f>
        <v>Unique</v>
      </c>
      <c r="AE209" s="7" t="str">
        <f>IF(G209="","Unknown",G209)</f>
        <v>West</v>
      </c>
      <c r="AF209" s="7" t="str">
        <f>IF(M209="","Unknown",M209)</f>
        <v>Second Class</v>
      </c>
      <c r="AG209" s="7" t="str">
        <f>IF(P209&lt;0,"Invalid",
IF(P209&gt;1,"Invalid","Valid"))</f>
        <v>Valid</v>
      </c>
      <c r="AH209" s="7" t="str">
        <f>TEXT(B209,"mmmm")</f>
        <v>October</v>
      </c>
      <c r="AI209" s="7">
        <f t="shared" si="21"/>
        <v>2024</v>
      </c>
      <c r="AJ209" s="7" t="str">
        <f>IF(OR(R209&lt;0,C209&lt;B209),"Invalid",
IF(OR(G209="Unknown",M209="Unknown"),"Warning","Clean"))</f>
        <v>Clean</v>
      </c>
      <c r="AK209" s="7" t="str">
        <f>IF(C209&lt;B209,"Ship Before Order","OK")</f>
        <v>OK</v>
      </c>
      <c r="AL209" s="7" t="str">
        <f>IF(ISNUMBER(B209),"Valid","Invalid")</f>
        <v>Valid</v>
      </c>
      <c r="AM209" s="7" t="str">
        <f t="shared" si="22"/>
        <v>Ok</v>
      </c>
      <c r="AN209" s="7" t="str">
        <f t="shared" si="23"/>
        <v>Ok</v>
      </c>
    </row>
    <row r="210" spans="1:40">
      <c r="A210" t="s">
        <v>731</v>
      </c>
      <c r="B210" s="6">
        <v>45837</v>
      </c>
      <c r="C210" s="4">
        <v>45708</v>
      </c>
      <c r="D210" t="s">
        <v>732</v>
      </c>
      <c r="E210" t="s">
        <v>162</v>
      </c>
      <c r="F210" t="s">
        <v>24</v>
      </c>
      <c r="G210" t="s">
        <v>25</v>
      </c>
      <c r="H210" t="s">
        <v>122</v>
      </c>
      <c r="I210" t="s">
        <v>123</v>
      </c>
      <c r="J210" t="s">
        <v>41</v>
      </c>
      <c r="K210" t="s">
        <v>66</v>
      </c>
      <c r="L210" t="s">
        <v>733</v>
      </c>
      <c r="M210" t="s">
        <v>44</v>
      </c>
      <c r="N210">
        <v>1</v>
      </c>
      <c r="O210">
        <v>999.83</v>
      </c>
      <c r="P210">
        <v>0</v>
      </c>
      <c r="Q210" s="7">
        <f>IF(P210="", 0, P210)</f>
        <v>0</v>
      </c>
      <c r="R210">
        <v>999.83</v>
      </c>
      <c r="S210">
        <v>634.91</v>
      </c>
      <c r="T210" s="7">
        <f>N210*O210*(1-Q210)</f>
        <v>999.83</v>
      </c>
      <c r="U210" s="7">
        <f t="shared" si="18"/>
        <v>364.92000000000007</v>
      </c>
      <c r="V210">
        <v>364.92</v>
      </c>
      <c r="W210" s="12">
        <f t="shared" si="19"/>
        <v>0.3649820469479812</v>
      </c>
      <c r="X210" t="s">
        <v>32</v>
      </c>
      <c r="Y210" t="str">
        <f t="shared" si="20"/>
        <v>Paid</v>
      </c>
      <c r="Z210" t="s">
        <v>33</v>
      </c>
      <c r="AA210">
        <f>C210-B210</f>
        <v>-129</v>
      </c>
      <c r="AB210" t="str">
        <f>IF(B210="","Missing Order Date",
IF(C210="","Missing Ship Date","OK"))</f>
        <v>OK</v>
      </c>
      <c r="AC210" s="7" t="str">
        <f>IF(C210&lt;B210, "Invalid", "Valid")</f>
        <v>Invalid</v>
      </c>
      <c r="AD210" s="7" t="str">
        <f>IF(COUNTIF($A:$A, A210)&gt;1, "Duplicate", "Unique")</f>
        <v>Unique</v>
      </c>
      <c r="AE210" s="7" t="str">
        <f>IF(G210="","Unknown",G210)</f>
        <v>North</v>
      </c>
      <c r="AF210" s="7" t="str">
        <f>IF(M210="","Unknown",M210)</f>
        <v>Same Day</v>
      </c>
      <c r="AG210" s="7" t="str">
        <f>IF(P210&lt;0,"Invalid",
IF(P210&gt;1,"Invalid","Valid"))</f>
        <v>Valid</v>
      </c>
      <c r="AH210" s="7" t="str">
        <f>TEXT(B210,"mmmm")</f>
        <v>June</v>
      </c>
      <c r="AI210" s="7">
        <f t="shared" si="21"/>
        <v>2025</v>
      </c>
      <c r="AJ210" s="7" t="str">
        <f>IF(OR(R210&lt;0,C210&lt;B210),"Invalid",
IF(OR(G210="Unknown",M210="Unknown"),"Warning","Clean"))</f>
        <v>Invalid</v>
      </c>
      <c r="AK210" s="7" t="str">
        <f>IF(C210&lt;B210,"Ship Before Order","OK")</f>
        <v>Ship Before Order</v>
      </c>
      <c r="AL210" s="7" t="str">
        <f>IF(ISNUMBER(B210),"Valid","Invalid")</f>
        <v>Valid</v>
      </c>
      <c r="AM210" s="7" t="str">
        <f t="shared" si="22"/>
        <v>Ok</v>
      </c>
      <c r="AN210" s="7" t="str">
        <f t="shared" si="23"/>
        <v>Ok</v>
      </c>
    </row>
    <row r="211" spans="1:40">
      <c r="A211" t="s">
        <v>734</v>
      </c>
      <c r="B211" s="6">
        <v>45882</v>
      </c>
      <c r="C211" s="4">
        <v>45709</v>
      </c>
      <c r="D211" t="s">
        <v>735</v>
      </c>
      <c r="E211" t="s">
        <v>141</v>
      </c>
      <c r="F211" t="s">
        <v>37</v>
      </c>
      <c r="G211" t="s">
        <v>54</v>
      </c>
      <c r="H211" t="s">
        <v>84</v>
      </c>
      <c r="I211" t="s">
        <v>85</v>
      </c>
      <c r="J211" t="s">
        <v>28</v>
      </c>
      <c r="K211" t="s">
        <v>29</v>
      </c>
      <c r="L211" t="s">
        <v>736</v>
      </c>
      <c r="M211" t="s">
        <v>50</v>
      </c>
      <c r="N211">
        <v>9</v>
      </c>
      <c r="O211">
        <v>864.98</v>
      </c>
      <c r="P211">
        <v>0.1</v>
      </c>
      <c r="Q211" s="7">
        <f>IF(P211="", 0, P211)</f>
        <v>0.1</v>
      </c>
      <c r="R211">
        <v>7006.34</v>
      </c>
      <c r="S211">
        <v>4640.88</v>
      </c>
      <c r="T211" s="7">
        <f>N211*O211*(1-Q211)</f>
        <v>7006.3379999999997</v>
      </c>
      <c r="U211" s="7">
        <f t="shared" si="18"/>
        <v>2365.4579999999996</v>
      </c>
      <c r="V211">
        <v>2365.46</v>
      </c>
      <c r="W211" s="12">
        <f t="shared" si="19"/>
        <v>0.33761688345609359</v>
      </c>
      <c r="X211" t="s">
        <v>32</v>
      </c>
      <c r="Y211" t="str">
        <f t="shared" si="20"/>
        <v>Paid</v>
      </c>
      <c r="Z211" t="s">
        <v>33</v>
      </c>
      <c r="AA211">
        <f>C211-B211</f>
        <v>-173</v>
      </c>
      <c r="AB211" t="str">
        <f>IF(B211="","Missing Order Date",
IF(C211="","Missing Ship Date","OK"))</f>
        <v>OK</v>
      </c>
      <c r="AC211" s="7" t="str">
        <f>IF(C211&lt;B211, "Invalid", "Valid")</f>
        <v>Invalid</v>
      </c>
      <c r="AD211" s="7" t="str">
        <f>IF(COUNTIF($A:$A, A211)&gt;1, "Duplicate", "Unique")</f>
        <v>Unique</v>
      </c>
      <c r="AE211" s="7" t="str">
        <f>IF(G211="","Unknown",G211)</f>
        <v>South</v>
      </c>
      <c r="AF211" s="7" t="str">
        <f>IF(M211="","Unknown",M211)</f>
        <v>First Class</v>
      </c>
      <c r="AG211" s="7" t="str">
        <f>IF(P211&lt;0,"Invalid",
IF(P211&gt;1,"Invalid","Valid"))</f>
        <v>Valid</v>
      </c>
      <c r="AH211" s="7" t="str">
        <f>TEXT(B211,"mmmm")</f>
        <v>August</v>
      </c>
      <c r="AI211" s="7">
        <f t="shared" si="21"/>
        <v>2025</v>
      </c>
      <c r="AJ211" s="7" t="str">
        <f>IF(OR(R211&lt;0,C211&lt;B211),"Invalid",
IF(OR(G211="Unknown",M211="Unknown"),"Warning","Clean"))</f>
        <v>Invalid</v>
      </c>
      <c r="AK211" s="7" t="str">
        <f>IF(C211&lt;B211,"Ship Before Order","OK")</f>
        <v>Ship Before Order</v>
      </c>
      <c r="AL211" s="7" t="str">
        <f>IF(ISNUMBER(B211),"Valid","Invalid")</f>
        <v>Valid</v>
      </c>
      <c r="AM211" s="7" t="str">
        <f t="shared" si="22"/>
        <v>Missmatched</v>
      </c>
      <c r="AN211" s="7" t="str">
        <f t="shared" si="23"/>
        <v>Missmatched</v>
      </c>
    </row>
    <row r="212" spans="1:40">
      <c r="A212" t="s">
        <v>737</v>
      </c>
      <c r="B212" s="6">
        <v>45366</v>
      </c>
      <c r="C212" s="4">
        <v>45710</v>
      </c>
      <c r="D212" t="s">
        <v>738</v>
      </c>
      <c r="E212" t="s">
        <v>264</v>
      </c>
      <c r="F212" t="s">
        <v>95</v>
      </c>
      <c r="G212" t="s">
        <v>54</v>
      </c>
      <c r="H212" t="s">
        <v>175</v>
      </c>
      <c r="I212" t="s">
        <v>176</v>
      </c>
      <c r="J212" t="s">
        <v>74</v>
      </c>
      <c r="K212" t="s">
        <v>274</v>
      </c>
      <c r="L212" t="s">
        <v>739</v>
      </c>
      <c r="M212" t="s">
        <v>31</v>
      </c>
      <c r="N212">
        <v>1</v>
      </c>
      <c r="O212">
        <v>4131.3599999999997</v>
      </c>
      <c r="P212">
        <v>0</v>
      </c>
      <c r="Q212" s="7">
        <f>IF(P212="", 0, P212)</f>
        <v>0</v>
      </c>
      <c r="R212">
        <v>4131.3599999999997</v>
      </c>
      <c r="S212">
        <v>2937.07</v>
      </c>
      <c r="T212" s="7">
        <f>N212*O212*(1-Q212)</f>
        <v>4131.3599999999997</v>
      </c>
      <c r="U212" s="7">
        <f t="shared" si="18"/>
        <v>1194.2899999999995</v>
      </c>
      <c r="V212">
        <v>1194.29</v>
      </c>
      <c r="W212" s="12">
        <f t="shared" si="19"/>
        <v>0.28907914100925591</v>
      </c>
      <c r="X212" t="s">
        <v>155</v>
      </c>
      <c r="Y212" t="str">
        <f t="shared" si="20"/>
        <v>Failed</v>
      </c>
      <c r="Z212" t="s">
        <v>103</v>
      </c>
      <c r="AA212">
        <f>C212-B212</f>
        <v>344</v>
      </c>
      <c r="AB212" t="str">
        <f>IF(B212="","Missing Order Date",
IF(C212="","Missing Ship Date","OK"))</f>
        <v>OK</v>
      </c>
      <c r="AC212" s="7" t="str">
        <f>IF(C212&lt;B212, "Invalid", "Valid")</f>
        <v>Valid</v>
      </c>
      <c r="AD212" s="7" t="str">
        <f>IF(COUNTIF($A:$A, A212)&gt;1, "Duplicate", "Unique")</f>
        <v>Unique</v>
      </c>
      <c r="AE212" s="7" t="str">
        <f>IF(G212="","Unknown",G212)</f>
        <v>South</v>
      </c>
      <c r="AF212" s="7" t="str">
        <f>IF(M212="","Unknown",M212)</f>
        <v>Second Class</v>
      </c>
      <c r="AG212" s="7" t="str">
        <f>IF(P212&lt;0,"Invalid",
IF(P212&gt;1,"Invalid","Valid"))</f>
        <v>Valid</v>
      </c>
      <c r="AH212" s="7" t="str">
        <f>TEXT(B212,"mmmm")</f>
        <v>March</v>
      </c>
      <c r="AI212" s="7">
        <f t="shared" si="21"/>
        <v>2024</v>
      </c>
      <c r="AJ212" s="7" t="str">
        <f>IF(OR(R212&lt;0,C212&lt;B212),"Invalid",
IF(OR(G212="Unknown",M212="Unknown"),"Warning","Clean"))</f>
        <v>Clean</v>
      </c>
      <c r="AK212" s="7" t="str">
        <f>IF(C212&lt;B212,"Ship Before Order","OK")</f>
        <v>OK</v>
      </c>
      <c r="AL212" s="7" t="str">
        <f>IF(ISNUMBER(B212),"Valid","Invalid")</f>
        <v>Valid</v>
      </c>
      <c r="AM212" s="7" t="str">
        <f t="shared" si="22"/>
        <v>Ok</v>
      </c>
      <c r="AN212" s="7" t="str">
        <f t="shared" si="23"/>
        <v>Ok</v>
      </c>
    </row>
    <row r="213" spans="1:40">
      <c r="A213" t="s">
        <v>740</v>
      </c>
      <c r="B213" s="6">
        <v>45428</v>
      </c>
      <c r="C213" s="4">
        <v>45711</v>
      </c>
      <c r="D213" t="s">
        <v>741</v>
      </c>
      <c r="E213" t="s">
        <v>141</v>
      </c>
      <c r="F213" t="s">
        <v>90</v>
      </c>
      <c r="G213" t="s">
        <v>38</v>
      </c>
      <c r="H213" t="s">
        <v>99</v>
      </c>
      <c r="I213" t="s">
        <v>100</v>
      </c>
      <c r="J213" t="s">
        <v>74</v>
      </c>
      <c r="K213" t="s">
        <v>80</v>
      </c>
      <c r="L213" t="s">
        <v>742</v>
      </c>
      <c r="M213" t="s">
        <v>31</v>
      </c>
      <c r="N213">
        <v>8</v>
      </c>
      <c r="O213">
        <v>4221.95</v>
      </c>
      <c r="P213">
        <v>0.2</v>
      </c>
      <c r="Q213" s="7">
        <f>IF(P213="", 0, P213)</f>
        <v>0.2</v>
      </c>
      <c r="R213">
        <v>27020.48</v>
      </c>
      <c r="S213">
        <v>22885.24</v>
      </c>
      <c r="T213" s="7">
        <f>N213*O213*(1-Q213)</f>
        <v>27020.48</v>
      </c>
      <c r="U213" s="7">
        <f t="shared" si="18"/>
        <v>4135.239999999998</v>
      </c>
      <c r="V213">
        <v>4135.24</v>
      </c>
      <c r="W213" s="12">
        <f t="shared" si="19"/>
        <v>0.15304095264036752</v>
      </c>
      <c r="X213" t="s">
        <v>32</v>
      </c>
      <c r="Y213" t="str">
        <f t="shared" si="20"/>
        <v>Paid</v>
      </c>
      <c r="Z213" t="s">
        <v>33</v>
      </c>
      <c r="AA213">
        <f>C213-B213</f>
        <v>283</v>
      </c>
      <c r="AB213" t="str">
        <f>IF(B213="","Missing Order Date",
IF(C213="","Missing Ship Date","OK"))</f>
        <v>OK</v>
      </c>
      <c r="AC213" s="7" t="str">
        <f>IF(C213&lt;B213, "Invalid", "Valid")</f>
        <v>Valid</v>
      </c>
      <c r="AD213" s="7" t="str">
        <f>IF(COUNTIF($A:$A, A213)&gt;1, "Duplicate", "Unique")</f>
        <v>Unique</v>
      </c>
      <c r="AE213" s="7" t="str">
        <f>IF(G213="","Unknown",G213)</f>
        <v>East</v>
      </c>
      <c r="AF213" s="7" t="str">
        <f>IF(M213="","Unknown",M213)</f>
        <v>Second Class</v>
      </c>
      <c r="AG213" s="7" t="str">
        <f>IF(P213&lt;0,"Invalid",
IF(P213&gt;1,"Invalid","Valid"))</f>
        <v>Valid</v>
      </c>
      <c r="AH213" s="7" t="str">
        <f>TEXT(B213,"mmmm")</f>
        <v>May</v>
      </c>
      <c r="AI213" s="7">
        <f t="shared" si="21"/>
        <v>2024</v>
      </c>
      <c r="AJ213" s="7" t="str">
        <f>IF(OR(R213&lt;0,C213&lt;B213),"Invalid",
IF(OR(G213="Unknown",M213="Unknown"),"Warning","Clean"))</f>
        <v>Clean</v>
      </c>
      <c r="AK213" s="7" t="str">
        <f>IF(C213&lt;B213,"Ship Before Order","OK")</f>
        <v>OK</v>
      </c>
      <c r="AL213" s="7" t="str">
        <f>IF(ISNUMBER(B213),"Valid","Invalid")</f>
        <v>Valid</v>
      </c>
      <c r="AM213" s="7" t="str">
        <f t="shared" si="22"/>
        <v>Ok</v>
      </c>
      <c r="AN213" s="7" t="str">
        <f t="shared" si="23"/>
        <v>Ok</v>
      </c>
    </row>
    <row r="214" spans="1:40">
      <c r="A214" t="s">
        <v>743</v>
      </c>
      <c r="B214" s="6">
        <v>45556</v>
      </c>
      <c r="C214" s="4">
        <v>45712</v>
      </c>
      <c r="D214" t="s">
        <v>744</v>
      </c>
      <c r="E214" t="s">
        <v>62</v>
      </c>
      <c r="F214" t="s">
        <v>37</v>
      </c>
      <c r="G214" t="s">
        <v>38</v>
      </c>
      <c r="H214" t="s">
        <v>39</v>
      </c>
      <c r="I214" t="s">
        <v>40</v>
      </c>
      <c r="J214" t="s">
        <v>74</v>
      </c>
      <c r="K214" t="s">
        <v>171</v>
      </c>
      <c r="L214" t="s">
        <v>745</v>
      </c>
      <c r="M214" t="s">
        <v>44</v>
      </c>
      <c r="N214">
        <v>2</v>
      </c>
      <c r="O214">
        <v>214.5</v>
      </c>
      <c r="P214">
        <v>0.15</v>
      </c>
      <c r="Q214" s="7">
        <f>IF(P214="", 0, P214)</f>
        <v>0.15</v>
      </c>
      <c r="R214">
        <v>364.65</v>
      </c>
      <c r="S214">
        <v>280.74</v>
      </c>
      <c r="T214" s="7">
        <f>N214*O214*(1-Q214)</f>
        <v>364.65</v>
      </c>
      <c r="U214" s="7">
        <f t="shared" si="18"/>
        <v>83.909999999999968</v>
      </c>
      <c r="V214">
        <v>83.91</v>
      </c>
      <c r="W214" s="12">
        <f t="shared" si="19"/>
        <v>0.23011106540518297</v>
      </c>
      <c r="X214" t="s">
        <v>32</v>
      </c>
      <c r="Y214" t="str">
        <f t="shared" si="20"/>
        <v>Paid</v>
      </c>
      <c r="Z214" t="s">
        <v>33</v>
      </c>
      <c r="AA214">
        <f>C214-B214</f>
        <v>156</v>
      </c>
      <c r="AB214" t="str">
        <f>IF(B214="","Missing Order Date",
IF(C214="","Missing Ship Date","OK"))</f>
        <v>OK</v>
      </c>
      <c r="AC214" s="7" t="str">
        <f>IF(C214&lt;B214, "Invalid", "Valid")</f>
        <v>Valid</v>
      </c>
      <c r="AD214" s="7" t="str">
        <f>IF(COUNTIF($A:$A, A214)&gt;1, "Duplicate", "Unique")</f>
        <v>Unique</v>
      </c>
      <c r="AE214" s="7" t="str">
        <f>IF(G214="","Unknown",G214)</f>
        <v>East</v>
      </c>
      <c r="AF214" s="7" t="str">
        <f>IF(M214="","Unknown",M214)</f>
        <v>Same Day</v>
      </c>
      <c r="AG214" s="7" t="str">
        <f>IF(P214&lt;0,"Invalid",
IF(P214&gt;1,"Invalid","Valid"))</f>
        <v>Valid</v>
      </c>
      <c r="AH214" s="7" t="str">
        <f>TEXT(B214,"mmmm")</f>
        <v>September</v>
      </c>
      <c r="AI214" s="7">
        <f t="shared" si="21"/>
        <v>2024</v>
      </c>
      <c r="AJ214" s="7" t="str">
        <f>IF(OR(R214&lt;0,C214&lt;B214),"Invalid",
IF(OR(G214="Unknown",M214="Unknown"),"Warning","Clean"))</f>
        <v>Clean</v>
      </c>
      <c r="AK214" s="7" t="str">
        <f>IF(C214&lt;B214,"Ship Before Order","OK")</f>
        <v>OK</v>
      </c>
      <c r="AL214" s="7" t="str">
        <f>IF(ISNUMBER(B214),"Valid","Invalid")</f>
        <v>Valid</v>
      </c>
      <c r="AM214" s="7" t="str">
        <f t="shared" si="22"/>
        <v>Ok</v>
      </c>
      <c r="AN214" s="7" t="str">
        <f t="shared" si="23"/>
        <v>Ok</v>
      </c>
    </row>
    <row r="215" spans="1:40">
      <c r="A215" t="s">
        <v>746</v>
      </c>
      <c r="B215" s="6">
        <v>45427</v>
      </c>
      <c r="C215" s="4">
        <v>45713</v>
      </c>
      <c r="D215" t="s">
        <v>747</v>
      </c>
      <c r="E215" t="s">
        <v>47</v>
      </c>
      <c r="F215" t="s">
        <v>37</v>
      </c>
      <c r="G215" t="s">
        <v>38</v>
      </c>
      <c r="H215" t="s">
        <v>145</v>
      </c>
      <c r="I215" t="s">
        <v>146</v>
      </c>
      <c r="J215" t="s">
        <v>74</v>
      </c>
      <c r="K215" t="s">
        <v>75</v>
      </c>
      <c r="L215" t="s">
        <v>748</v>
      </c>
      <c r="M215" t="s">
        <v>31</v>
      </c>
      <c r="N215">
        <v>4</v>
      </c>
      <c r="O215">
        <v>4332.7299999999996</v>
      </c>
      <c r="P215">
        <v>0.2</v>
      </c>
      <c r="Q215" s="7">
        <f>IF(P215="", 0, P215)</f>
        <v>0.2</v>
      </c>
      <c r="R215">
        <v>13864.74</v>
      </c>
      <c r="S215">
        <v>11294.06</v>
      </c>
      <c r="T215" s="7">
        <f>N215*O215*(1-Q215)</f>
        <v>13864.735999999999</v>
      </c>
      <c r="U215" s="7">
        <f t="shared" si="18"/>
        <v>2570.6759999999995</v>
      </c>
      <c r="V215">
        <v>2570.6799999999998</v>
      </c>
      <c r="W215" s="12">
        <f t="shared" si="19"/>
        <v>0.18541110339208763</v>
      </c>
      <c r="X215" t="s">
        <v>32</v>
      </c>
      <c r="Y215" t="str">
        <f t="shared" si="20"/>
        <v>Paid</v>
      </c>
      <c r="Z215" t="s">
        <v>33</v>
      </c>
      <c r="AA215">
        <f>C215-B215</f>
        <v>286</v>
      </c>
      <c r="AB215" t="str">
        <f>IF(B215="","Missing Order Date",
IF(C215="","Missing Ship Date","OK"))</f>
        <v>OK</v>
      </c>
      <c r="AC215" s="7" t="str">
        <f>IF(C215&lt;B215, "Invalid", "Valid")</f>
        <v>Valid</v>
      </c>
      <c r="AD215" s="7" t="str">
        <f>IF(COUNTIF($A:$A, A215)&gt;1, "Duplicate", "Unique")</f>
        <v>Unique</v>
      </c>
      <c r="AE215" s="7" t="str">
        <f>IF(G215="","Unknown",G215)</f>
        <v>East</v>
      </c>
      <c r="AF215" s="7" t="str">
        <f>IF(M215="","Unknown",M215)</f>
        <v>Second Class</v>
      </c>
      <c r="AG215" s="7" t="str">
        <f>IF(P215&lt;0,"Invalid",
IF(P215&gt;1,"Invalid","Valid"))</f>
        <v>Valid</v>
      </c>
      <c r="AH215" s="7" t="str">
        <f>TEXT(B215,"mmmm")</f>
        <v>May</v>
      </c>
      <c r="AI215" s="7">
        <f t="shared" si="21"/>
        <v>2024</v>
      </c>
      <c r="AJ215" s="7" t="str">
        <f>IF(OR(R215&lt;0,C215&lt;B215),"Invalid",
IF(OR(G215="Unknown",M215="Unknown"),"Warning","Clean"))</f>
        <v>Clean</v>
      </c>
      <c r="AK215" s="7" t="str">
        <f>IF(C215&lt;B215,"Ship Before Order","OK")</f>
        <v>OK</v>
      </c>
      <c r="AL215" s="7" t="str">
        <f>IF(ISNUMBER(B215),"Valid","Invalid")</f>
        <v>Valid</v>
      </c>
      <c r="AM215" s="7" t="str">
        <f t="shared" si="22"/>
        <v>Missmatched</v>
      </c>
      <c r="AN215" s="7" t="str">
        <f t="shared" si="23"/>
        <v>Missmatched</v>
      </c>
    </row>
    <row r="216" spans="1:40">
      <c r="A216" t="s">
        <v>749</v>
      </c>
      <c r="B216" s="6">
        <v>45368</v>
      </c>
      <c r="C216" s="4">
        <v>45714</v>
      </c>
      <c r="D216" t="s">
        <v>750</v>
      </c>
      <c r="E216" t="s">
        <v>118</v>
      </c>
      <c r="F216" t="s">
        <v>24</v>
      </c>
      <c r="G216" t="s">
        <v>25</v>
      </c>
      <c r="H216" t="s">
        <v>236</v>
      </c>
      <c r="I216" t="s">
        <v>237</v>
      </c>
      <c r="J216" t="s">
        <v>74</v>
      </c>
      <c r="K216" t="s">
        <v>75</v>
      </c>
      <c r="L216" t="s">
        <v>751</v>
      </c>
      <c r="M216" t="s">
        <v>50</v>
      </c>
      <c r="N216">
        <v>3</v>
      </c>
      <c r="O216">
        <v>248.18</v>
      </c>
      <c r="P216">
        <v>0.05</v>
      </c>
      <c r="Q216" s="7">
        <f>IF(P216="", 0, P216)</f>
        <v>0.05</v>
      </c>
      <c r="R216">
        <v>707.31</v>
      </c>
      <c r="S216">
        <v>569</v>
      </c>
      <c r="T216" s="7">
        <f>N216*O216*(1-Q216)</f>
        <v>707.31299999999999</v>
      </c>
      <c r="U216" s="7">
        <f t="shared" si="18"/>
        <v>138.31299999999999</v>
      </c>
      <c r="V216">
        <v>138.31</v>
      </c>
      <c r="W216" s="12">
        <f t="shared" si="19"/>
        <v>0.19554709159876885</v>
      </c>
      <c r="X216" t="s">
        <v>32</v>
      </c>
      <c r="Y216" t="str">
        <f t="shared" si="20"/>
        <v>Paid</v>
      </c>
      <c r="Z216" t="s">
        <v>33</v>
      </c>
      <c r="AA216">
        <f>C216-B216</f>
        <v>346</v>
      </c>
      <c r="AB216" t="str">
        <f>IF(B216="","Missing Order Date",
IF(C216="","Missing Ship Date","OK"))</f>
        <v>OK</v>
      </c>
      <c r="AC216" s="7" t="str">
        <f>IF(C216&lt;B216, "Invalid", "Valid")</f>
        <v>Valid</v>
      </c>
      <c r="AD216" s="7" t="str">
        <f>IF(COUNTIF($A:$A, A216)&gt;1, "Duplicate", "Unique")</f>
        <v>Unique</v>
      </c>
      <c r="AE216" s="7" t="str">
        <f>IF(G216="","Unknown",G216)</f>
        <v>North</v>
      </c>
      <c r="AF216" s="7" t="str">
        <f>IF(M216="","Unknown",M216)</f>
        <v>First Class</v>
      </c>
      <c r="AG216" s="7" t="str">
        <f>IF(P216&lt;0,"Invalid",
IF(P216&gt;1,"Invalid","Valid"))</f>
        <v>Valid</v>
      </c>
      <c r="AH216" s="7" t="str">
        <f>TEXT(B216,"mmmm")</f>
        <v>March</v>
      </c>
      <c r="AI216" s="7">
        <f t="shared" si="21"/>
        <v>2024</v>
      </c>
      <c r="AJ216" s="7" t="str">
        <f>IF(OR(R216&lt;0,C216&lt;B216),"Invalid",
IF(OR(G216="Unknown",M216="Unknown"),"Warning","Clean"))</f>
        <v>Clean</v>
      </c>
      <c r="AK216" s="7" t="str">
        <f>IF(C216&lt;B216,"Ship Before Order","OK")</f>
        <v>OK</v>
      </c>
      <c r="AL216" s="7" t="str">
        <f>IF(ISNUMBER(B216),"Valid","Invalid")</f>
        <v>Valid</v>
      </c>
      <c r="AM216" s="7" t="str">
        <f t="shared" si="22"/>
        <v>Missmatched</v>
      </c>
      <c r="AN216" s="7" t="str">
        <f t="shared" si="23"/>
        <v>Missmatched</v>
      </c>
    </row>
    <row r="217" spans="1:40">
      <c r="A217" t="s">
        <v>752</v>
      </c>
      <c r="B217" s="6">
        <v>45352</v>
      </c>
      <c r="C217" s="4">
        <v>45715</v>
      </c>
      <c r="D217" t="s">
        <v>753</v>
      </c>
      <c r="E217" t="s">
        <v>36</v>
      </c>
      <c r="F217" t="s">
        <v>24</v>
      </c>
      <c r="G217" t="s">
        <v>63</v>
      </c>
      <c r="H217" t="s">
        <v>72</v>
      </c>
      <c r="I217" t="s">
        <v>73</v>
      </c>
      <c r="J217" t="s">
        <v>28</v>
      </c>
      <c r="K217" t="s">
        <v>29</v>
      </c>
      <c r="L217" t="s">
        <v>754</v>
      </c>
      <c r="M217" t="s">
        <v>50</v>
      </c>
      <c r="N217">
        <v>8</v>
      </c>
      <c r="O217">
        <v>3202.4</v>
      </c>
      <c r="P217">
        <v>0.25</v>
      </c>
      <c r="Q217" s="7">
        <f>IF(P217="", 0, P217)</f>
        <v>0.25</v>
      </c>
      <c r="R217">
        <v>19214.400000000001</v>
      </c>
      <c r="S217">
        <v>10916.01</v>
      </c>
      <c r="T217" s="7">
        <f>N217*O217*(1-Q217)</f>
        <v>19214.400000000001</v>
      </c>
      <c r="U217" s="7">
        <f t="shared" si="18"/>
        <v>8298.3900000000012</v>
      </c>
      <c r="V217">
        <v>8298.39</v>
      </c>
      <c r="W217" s="12">
        <f t="shared" si="19"/>
        <v>0.43188389957531853</v>
      </c>
      <c r="X217" t="s">
        <v>32</v>
      </c>
      <c r="Y217" t="str">
        <f t="shared" si="20"/>
        <v>Paid</v>
      </c>
      <c r="Z217" t="s">
        <v>33</v>
      </c>
      <c r="AA217">
        <f>C217-B217</f>
        <v>363</v>
      </c>
      <c r="AB217" t="str">
        <f>IF(B217="","Missing Order Date",
IF(C217="","Missing Ship Date","OK"))</f>
        <v>OK</v>
      </c>
      <c r="AC217" s="7" t="str">
        <f>IF(C217&lt;B217, "Invalid", "Valid")</f>
        <v>Valid</v>
      </c>
      <c r="AD217" s="7" t="str">
        <f>IF(COUNTIF($A:$A, A217)&gt;1, "Duplicate", "Unique")</f>
        <v>Unique</v>
      </c>
      <c r="AE217" s="7" t="str">
        <f>IF(G217="","Unknown",G217)</f>
        <v>West</v>
      </c>
      <c r="AF217" s="7" t="str">
        <f>IF(M217="","Unknown",M217)</f>
        <v>First Class</v>
      </c>
      <c r="AG217" s="7" t="str">
        <f>IF(P217&lt;0,"Invalid",
IF(P217&gt;1,"Invalid","Valid"))</f>
        <v>Valid</v>
      </c>
      <c r="AH217" s="7" t="str">
        <f>TEXT(B217,"mmmm")</f>
        <v>March</v>
      </c>
      <c r="AI217" s="7">
        <f t="shared" si="21"/>
        <v>2024</v>
      </c>
      <c r="AJ217" s="7" t="str">
        <f>IF(OR(R217&lt;0,C217&lt;B217),"Invalid",
IF(OR(G217="Unknown",M217="Unknown"),"Warning","Clean"))</f>
        <v>Clean</v>
      </c>
      <c r="AK217" s="7" t="str">
        <f>IF(C217&lt;B217,"Ship Before Order","OK")</f>
        <v>OK</v>
      </c>
      <c r="AL217" s="7" t="str">
        <f>IF(ISNUMBER(B217),"Valid","Invalid")</f>
        <v>Valid</v>
      </c>
      <c r="AM217" s="7" t="str">
        <f t="shared" si="22"/>
        <v>Ok</v>
      </c>
      <c r="AN217" s="7" t="str">
        <f t="shared" si="23"/>
        <v>Ok</v>
      </c>
    </row>
    <row r="218" spans="1:40">
      <c r="A218" t="s">
        <v>755</v>
      </c>
      <c r="B218" s="6">
        <v>45934</v>
      </c>
      <c r="C218" s="4">
        <v>45716</v>
      </c>
      <c r="D218" t="s">
        <v>756</v>
      </c>
      <c r="E218" t="s">
        <v>47</v>
      </c>
      <c r="F218" t="s">
        <v>24</v>
      </c>
      <c r="G218" t="s">
        <v>63</v>
      </c>
      <c r="H218" t="s">
        <v>180</v>
      </c>
      <c r="I218" t="s">
        <v>181</v>
      </c>
      <c r="J218" t="s">
        <v>41</v>
      </c>
      <c r="K218" t="s">
        <v>42</v>
      </c>
      <c r="L218" t="s">
        <v>757</v>
      </c>
      <c r="M218" t="s">
        <v>59</v>
      </c>
      <c r="N218">
        <v>8</v>
      </c>
      <c r="O218">
        <v>1839.87</v>
      </c>
      <c r="P218">
        <v>0.25</v>
      </c>
      <c r="Q218" s="7">
        <f>IF(P218="", 0, P218)</f>
        <v>0.25</v>
      </c>
      <c r="R218">
        <v>11039.22</v>
      </c>
      <c r="S218">
        <v>7642.91</v>
      </c>
      <c r="T218" s="7">
        <f>N218*O218*(1-Q218)</f>
        <v>11039.22</v>
      </c>
      <c r="U218" s="7">
        <f t="shared" si="18"/>
        <v>3396.3099999999995</v>
      </c>
      <c r="V218">
        <v>3396.31</v>
      </c>
      <c r="W218" s="12">
        <f t="shared" si="19"/>
        <v>0.30765851210502188</v>
      </c>
      <c r="X218" t="s">
        <v>155</v>
      </c>
      <c r="Y218" t="str">
        <f t="shared" si="20"/>
        <v>Failed</v>
      </c>
      <c r="Z218" t="s">
        <v>103</v>
      </c>
      <c r="AA218">
        <f>C218-B218</f>
        <v>-218</v>
      </c>
      <c r="AB218" t="str">
        <f>IF(B218="","Missing Order Date",
IF(C218="","Missing Ship Date","OK"))</f>
        <v>OK</v>
      </c>
      <c r="AC218" s="7" t="str">
        <f>IF(C218&lt;B218, "Invalid", "Valid")</f>
        <v>Invalid</v>
      </c>
      <c r="AD218" s="7" t="str">
        <f>IF(COUNTIF($A:$A, A218)&gt;1, "Duplicate", "Unique")</f>
        <v>Unique</v>
      </c>
      <c r="AE218" s="7" t="str">
        <f>IF(G218="","Unknown",G218)</f>
        <v>West</v>
      </c>
      <c r="AF218" s="7" t="str">
        <f>IF(M218="","Unknown",M218)</f>
        <v>Standard Class</v>
      </c>
      <c r="AG218" s="7" t="str">
        <f>IF(P218&lt;0,"Invalid",
IF(P218&gt;1,"Invalid","Valid"))</f>
        <v>Valid</v>
      </c>
      <c r="AH218" s="7" t="str">
        <f>TEXT(B218,"mmmm")</f>
        <v>October</v>
      </c>
      <c r="AI218" s="7">
        <f t="shared" si="21"/>
        <v>2025</v>
      </c>
      <c r="AJ218" s="7" t="str">
        <f>IF(OR(R218&lt;0,C218&lt;B218),"Invalid",
IF(OR(G218="Unknown",M218="Unknown"),"Warning","Clean"))</f>
        <v>Invalid</v>
      </c>
      <c r="AK218" s="7" t="str">
        <f>IF(C218&lt;B218,"Ship Before Order","OK")</f>
        <v>Ship Before Order</v>
      </c>
      <c r="AL218" s="7" t="str">
        <f>IF(ISNUMBER(B218),"Valid","Invalid")</f>
        <v>Valid</v>
      </c>
      <c r="AM218" s="7" t="str">
        <f t="shared" si="22"/>
        <v>Ok</v>
      </c>
      <c r="AN218" s="7" t="str">
        <f t="shared" si="23"/>
        <v>Ok</v>
      </c>
    </row>
    <row r="219" spans="1:40">
      <c r="A219" t="s">
        <v>758</v>
      </c>
      <c r="B219" s="6">
        <v>45748</v>
      </c>
      <c r="C219" s="4">
        <v>45717</v>
      </c>
      <c r="D219" t="s">
        <v>759</v>
      </c>
      <c r="E219" t="s">
        <v>89</v>
      </c>
      <c r="F219" t="s">
        <v>24</v>
      </c>
      <c r="G219" t="s">
        <v>38</v>
      </c>
      <c r="H219" t="s">
        <v>39</v>
      </c>
      <c r="I219" t="s">
        <v>40</v>
      </c>
      <c r="J219" t="s">
        <v>41</v>
      </c>
      <c r="K219" t="s">
        <v>158</v>
      </c>
      <c r="L219" t="s">
        <v>760</v>
      </c>
      <c r="M219" t="s">
        <v>31</v>
      </c>
      <c r="N219">
        <v>5</v>
      </c>
      <c r="O219">
        <v>1021.28</v>
      </c>
      <c r="P219">
        <v>0.1</v>
      </c>
      <c r="Q219" s="7">
        <f>IF(P219="", 0, P219)</f>
        <v>0.1</v>
      </c>
      <c r="R219">
        <v>4595.76</v>
      </c>
      <c r="S219">
        <v>3396.8</v>
      </c>
      <c r="T219" s="7">
        <f>N219*O219*(1-Q219)</f>
        <v>4595.76</v>
      </c>
      <c r="U219" s="7">
        <f t="shared" si="18"/>
        <v>1198.96</v>
      </c>
      <c r="V219">
        <v>1198.96</v>
      </c>
      <c r="W219" s="12">
        <f t="shared" si="19"/>
        <v>0.26088394520166414</v>
      </c>
      <c r="X219" t="s">
        <v>102</v>
      </c>
      <c r="Y219" t="str">
        <f t="shared" si="20"/>
        <v>Refunded</v>
      </c>
      <c r="Z219" t="s">
        <v>68</v>
      </c>
      <c r="AA219">
        <f>C219-B219</f>
        <v>-31</v>
      </c>
      <c r="AB219" t="str">
        <f>IF(B219="","Missing Order Date",
IF(C219="","Missing Ship Date","OK"))</f>
        <v>OK</v>
      </c>
      <c r="AC219" s="7" t="str">
        <f>IF(C219&lt;B219, "Invalid", "Valid")</f>
        <v>Invalid</v>
      </c>
      <c r="AD219" s="7" t="str">
        <f>IF(COUNTIF($A:$A, A219)&gt;1, "Duplicate", "Unique")</f>
        <v>Unique</v>
      </c>
      <c r="AE219" s="7" t="str">
        <f>IF(G219="","Unknown",G219)</f>
        <v>East</v>
      </c>
      <c r="AF219" s="7" t="str">
        <f>IF(M219="","Unknown",M219)</f>
        <v>Second Class</v>
      </c>
      <c r="AG219" s="7" t="str">
        <f>IF(P219&lt;0,"Invalid",
IF(P219&gt;1,"Invalid","Valid"))</f>
        <v>Valid</v>
      </c>
      <c r="AH219" s="7" t="str">
        <f>TEXT(B219,"mmmm")</f>
        <v>April</v>
      </c>
      <c r="AI219" s="7">
        <f t="shared" si="21"/>
        <v>2025</v>
      </c>
      <c r="AJ219" s="7" t="str">
        <f>IF(OR(R219&lt;0,C219&lt;B219),"Invalid",
IF(OR(G219="Unknown",M219="Unknown"),"Warning","Clean"))</f>
        <v>Invalid</v>
      </c>
      <c r="AK219" s="7" t="str">
        <f>IF(C219&lt;B219,"Ship Before Order","OK")</f>
        <v>Ship Before Order</v>
      </c>
      <c r="AL219" s="7" t="str">
        <f>IF(ISNUMBER(B219),"Valid","Invalid")</f>
        <v>Valid</v>
      </c>
      <c r="AM219" s="7" t="str">
        <f t="shared" si="22"/>
        <v>Ok</v>
      </c>
      <c r="AN219" s="7" t="str">
        <f t="shared" si="23"/>
        <v>Ok</v>
      </c>
    </row>
    <row r="220" spans="1:40">
      <c r="A220" t="s">
        <v>761</v>
      </c>
      <c r="B220" s="6">
        <v>45714</v>
      </c>
      <c r="C220" s="4">
        <v>45718</v>
      </c>
      <c r="D220" t="s">
        <v>762</v>
      </c>
      <c r="E220" t="s">
        <v>114</v>
      </c>
      <c r="F220" t="s">
        <v>90</v>
      </c>
      <c r="G220" t="s">
        <v>63</v>
      </c>
      <c r="H220" t="s">
        <v>180</v>
      </c>
      <c r="I220" t="s">
        <v>181</v>
      </c>
      <c r="J220" t="s">
        <v>41</v>
      </c>
      <c r="K220" t="s">
        <v>158</v>
      </c>
      <c r="L220" t="s">
        <v>763</v>
      </c>
      <c r="M220" t="s">
        <v>59</v>
      </c>
      <c r="N220">
        <v>5</v>
      </c>
      <c r="O220">
        <v>258.27999999999997</v>
      </c>
      <c r="P220">
        <v>0</v>
      </c>
      <c r="Q220" s="7">
        <f>IF(P220="", 0, P220)</f>
        <v>0</v>
      </c>
      <c r="R220">
        <v>1291.4000000000001</v>
      </c>
      <c r="S220">
        <v>756.93</v>
      </c>
      <c r="T220" s="7">
        <f>N220*O220*(1-Q220)</f>
        <v>1291.3999999999999</v>
      </c>
      <c r="U220" s="7">
        <f t="shared" si="18"/>
        <v>534.46999999999991</v>
      </c>
      <c r="V220">
        <v>534.47</v>
      </c>
      <c r="W220" s="12">
        <f t="shared" si="19"/>
        <v>0.41386866966083319</v>
      </c>
      <c r="X220" t="s">
        <v>32</v>
      </c>
      <c r="Y220" t="str">
        <f t="shared" si="20"/>
        <v>Paid</v>
      </c>
      <c r="Z220" t="s">
        <v>33</v>
      </c>
      <c r="AA220">
        <f>C220-B220</f>
        <v>4</v>
      </c>
      <c r="AB220" t="str">
        <f>IF(B220="","Missing Order Date",
IF(C220="","Missing Ship Date","OK"))</f>
        <v>OK</v>
      </c>
      <c r="AC220" s="7" t="str">
        <f>IF(C220&lt;B220, "Invalid", "Valid")</f>
        <v>Valid</v>
      </c>
      <c r="AD220" s="7" t="str">
        <f>IF(COUNTIF($A:$A, A220)&gt;1, "Duplicate", "Unique")</f>
        <v>Unique</v>
      </c>
      <c r="AE220" s="7" t="str">
        <f>IF(G220="","Unknown",G220)</f>
        <v>West</v>
      </c>
      <c r="AF220" s="7" t="str">
        <f>IF(M220="","Unknown",M220)</f>
        <v>Standard Class</v>
      </c>
      <c r="AG220" s="7" t="str">
        <f>IF(P220&lt;0,"Invalid",
IF(P220&gt;1,"Invalid","Valid"))</f>
        <v>Valid</v>
      </c>
      <c r="AH220" s="7" t="str">
        <f>TEXT(B220,"mmmm")</f>
        <v>February</v>
      </c>
      <c r="AI220" s="7">
        <f t="shared" si="21"/>
        <v>2025</v>
      </c>
      <c r="AJ220" s="7" t="str">
        <f>IF(OR(R220&lt;0,C220&lt;B220),"Invalid",
IF(OR(G220="Unknown",M220="Unknown"),"Warning","Clean"))</f>
        <v>Clean</v>
      </c>
      <c r="AK220" s="7" t="str">
        <f>IF(C220&lt;B220,"Ship Before Order","OK")</f>
        <v>OK</v>
      </c>
      <c r="AL220" s="7" t="str">
        <f>IF(ISNUMBER(B220),"Valid","Invalid")</f>
        <v>Valid</v>
      </c>
      <c r="AM220" s="7" t="str">
        <f t="shared" si="22"/>
        <v>Ok</v>
      </c>
      <c r="AN220" s="7" t="str">
        <f t="shared" si="23"/>
        <v>Ok</v>
      </c>
    </row>
    <row r="221" spans="1:40">
      <c r="A221" t="s">
        <v>764</v>
      </c>
      <c r="B221" s="6">
        <v>45461</v>
      </c>
      <c r="C221" s="4">
        <v>45719</v>
      </c>
      <c r="D221" t="s">
        <v>765</v>
      </c>
      <c r="E221" t="s">
        <v>118</v>
      </c>
      <c r="F221" t="s">
        <v>24</v>
      </c>
      <c r="G221" t="s">
        <v>38</v>
      </c>
      <c r="H221" t="s">
        <v>145</v>
      </c>
      <c r="I221" t="s">
        <v>146</v>
      </c>
      <c r="J221" t="s">
        <v>74</v>
      </c>
      <c r="K221" t="s">
        <v>274</v>
      </c>
      <c r="L221" t="s">
        <v>766</v>
      </c>
      <c r="M221" t="s">
        <v>50</v>
      </c>
      <c r="N221">
        <v>2</v>
      </c>
      <c r="O221">
        <v>121.49</v>
      </c>
      <c r="P221" t="s">
        <v>767</v>
      </c>
      <c r="Q221" s="7" t="str">
        <f>IF(P221="", 0, P221)</f>
        <v>85%</v>
      </c>
      <c r="R221">
        <v>242.98</v>
      </c>
      <c r="S221">
        <v>161.41999999999999</v>
      </c>
      <c r="T221" s="7">
        <f>N221*O221*(1-Q221)</f>
        <v>36.447000000000003</v>
      </c>
      <c r="U221" s="7">
        <f t="shared" si="18"/>
        <v>-124.97299999999998</v>
      </c>
      <c r="V221">
        <v>81.56</v>
      </c>
      <c r="W221" s="12">
        <f t="shared" si="19"/>
        <v>-3.4288967541910162</v>
      </c>
      <c r="X221" t="s">
        <v>32</v>
      </c>
      <c r="Y221" t="str">
        <f t="shared" si="20"/>
        <v>Paid</v>
      </c>
      <c r="Z221" t="s">
        <v>33</v>
      </c>
      <c r="AA221">
        <f>C221-B221</f>
        <v>258</v>
      </c>
      <c r="AB221" t="str">
        <f>IF(B221="","Missing Order Date",
IF(C221="","Missing Ship Date","OK"))</f>
        <v>OK</v>
      </c>
      <c r="AC221" s="7" t="str">
        <f>IF(C221&lt;B221, "Invalid", "Valid")</f>
        <v>Valid</v>
      </c>
      <c r="AD221" s="7" t="str">
        <f>IF(COUNTIF($A:$A, A221)&gt;1, "Duplicate", "Unique")</f>
        <v>Unique</v>
      </c>
      <c r="AE221" s="7" t="str">
        <f>IF(G221="","Unknown",G221)</f>
        <v>East</v>
      </c>
      <c r="AF221" s="7" t="str">
        <f>IF(M221="","Unknown",M221)</f>
        <v>First Class</v>
      </c>
      <c r="AG221" s="7" t="str">
        <f>IF(P221&lt;0,"Invalid",
IF(P221&gt;1,"Invalid","Valid"))</f>
        <v>Invalid</v>
      </c>
      <c r="AH221" s="7" t="str">
        <f>TEXT(B221,"mmmm")</f>
        <v>June</v>
      </c>
      <c r="AI221" s="7">
        <f t="shared" si="21"/>
        <v>2024</v>
      </c>
      <c r="AJ221" s="7" t="str">
        <f>IF(OR(R221&lt;0,C221&lt;B221),"Invalid",
IF(OR(G221="Unknown",M221="Unknown"),"Warning","Clean"))</f>
        <v>Clean</v>
      </c>
      <c r="AK221" s="7" t="str">
        <f>IF(C221&lt;B221,"Ship Before Order","OK")</f>
        <v>OK</v>
      </c>
      <c r="AL221" s="7" t="str">
        <f>IF(ISNUMBER(B221),"Valid","Invalid")</f>
        <v>Valid</v>
      </c>
      <c r="AM221" s="7" t="str">
        <f t="shared" si="22"/>
        <v>Missmatched</v>
      </c>
      <c r="AN221" s="7" t="str">
        <f t="shared" si="23"/>
        <v>Missmatched</v>
      </c>
    </row>
    <row r="222" spans="1:40">
      <c r="A222" t="s">
        <v>768</v>
      </c>
      <c r="B222" s="6">
        <v>45360</v>
      </c>
      <c r="C222" s="4">
        <v>45720</v>
      </c>
      <c r="D222" t="s">
        <v>769</v>
      </c>
      <c r="E222" t="s">
        <v>132</v>
      </c>
      <c r="F222" t="s">
        <v>24</v>
      </c>
      <c r="G222" t="s">
        <v>54</v>
      </c>
      <c r="H222" t="s">
        <v>185</v>
      </c>
      <c r="I222" t="s">
        <v>186</v>
      </c>
      <c r="J222" t="s">
        <v>28</v>
      </c>
      <c r="K222" t="s">
        <v>124</v>
      </c>
      <c r="L222" t="s">
        <v>770</v>
      </c>
      <c r="M222" t="s">
        <v>50</v>
      </c>
      <c r="N222">
        <v>4</v>
      </c>
      <c r="O222">
        <v>2810.17</v>
      </c>
      <c r="P222">
        <v>0.15</v>
      </c>
      <c r="Q222" s="7">
        <f>IF(P222="", 0, P222)</f>
        <v>0.15</v>
      </c>
      <c r="R222">
        <v>9554.58</v>
      </c>
      <c r="S222">
        <v>6068.47</v>
      </c>
      <c r="T222" s="7">
        <f>N222*O222*(1-Q222)</f>
        <v>9554.5779999999995</v>
      </c>
      <c r="U222" s="7">
        <f t="shared" si="18"/>
        <v>3486.1079999999993</v>
      </c>
      <c r="V222">
        <v>3486.11</v>
      </c>
      <c r="W222" s="12">
        <f t="shared" si="19"/>
        <v>0.36486258210462036</v>
      </c>
      <c r="X222" t="s">
        <v>102</v>
      </c>
      <c r="Y222" t="str">
        <f t="shared" si="20"/>
        <v>Refunded</v>
      </c>
      <c r="Z222" t="s">
        <v>68</v>
      </c>
      <c r="AA222">
        <f>C222-B222</f>
        <v>360</v>
      </c>
      <c r="AB222" t="str">
        <f>IF(B222="","Missing Order Date",
IF(C222="","Missing Ship Date","OK"))</f>
        <v>OK</v>
      </c>
      <c r="AC222" s="7" t="str">
        <f>IF(C222&lt;B222, "Invalid", "Valid")</f>
        <v>Valid</v>
      </c>
      <c r="AD222" s="7" t="str">
        <f>IF(COUNTIF($A:$A, A222)&gt;1, "Duplicate", "Unique")</f>
        <v>Unique</v>
      </c>
      <c r="AE222" s="7" t="str">
        <f>IF(G222="","Unknown",G222)</f>
        <v>South</v>
      </c>
      <c r="AF222" s="7" t="str">
        <f>IF(M222="","Unknown",M222)</f>
        <v>First Class</v>
      </c>
      <c r="AG222" s="7" t="str">
        <f>IF(P222&lt;0,"Invalid",
IF(P222&gt;1,"Invalid","Valid"))</f>
        <v>Valid</v>
      </c>
      <c r="AH222" s="7" t="str">
        <f>TEXT(B222,"mmmm")</f>
        <v>March</v>
      </c>
      <c r="AI222" s="7">
        <f t="shared" si="21"/>
        <v>2024</v>
      </c>
      <c r="AJ222" s="7" t="str">
        <f>IF(OR(R222&lt;0,C222&lt;B222),"Invalid",
IF(OR(G222="Unknown",M222="Unknown"),"Warning","Clean"))</f>
        <v>Clean</v>
      </c>
      <c r="AK222" s="7" t="str">
        <f>IF(C222&lt;B222,"Ship Before Order","OK")</f>
        <v>OK</v>
      </c>
      <c r="AL222" s="7" t="str">
        <f>IF(ISNUMBER(B222),"Valid","Invalid")</f>
        <v>Valid</v>
      </c>
      <c r="AM222" s="7" t="str">
        <f t="shared" si="22"/>
        <v>Missmatched</v>
      </c>
      <c r="AN222" s="7" t="str">
        <f t="shared" si="23"/>
        <v>Missmatched</v>
      </c>
    </row>
    <row r="223" spans="1:40">
      <c r="A223" t="s">
        <v>771</v>
      </c>
      <c r="B223" s="6">
        <v>45669</v>
      </c>
      <c r="C223" s="4">
        <v>45721</v>
      </c>
      <c r="D223" t="s">
        <v>772</v>
      </c>
      <c r="E223" t="s">
        <v>36</v>
      </c>
      <c r="F223" t="s">
        <v>90</v>
      </c>
      <c r="G223" t="s">
        <v>54</v>
      </c>
      <c r="H223" t="s">
        <v>175</v>
      </c>
      <c r="I223" t="s">
        <v>176</v>
      </c>
      <c r="J223" t="s">
        <v>41</v>
      </c>
      <c r="K223" t="s">
        <v>66</v>
      </c>
      <c r="L223" t="s">
        <v>773</v>
      </c>
      <c r="M223" t="s">
        <v>44</v>
      </c>
      <c r="N223">
        <v>4</v>
      </c>
      <c r="O223">
        <v>1531.53</v>
      </c>
      <c r="P223">
        <v>0.2</v>
      </c>
      <c r="Q223" s="7">
        <f>IF(P223="", 0, P223)</f>
        <v>0.2</v>
      </c>
      <c r="R223">
        <v>4900.8999999999996</v>
      </c>
      <c r="S223">
        <v>3552.69</v>
      </c>
      <c r="T223" s="7">
        <f>N223*O223*(1-Q223)</f>
        <v>4900.8959999999997</v>
      </c>
      <c r="U223" s="7">
        <f t="shared" si="18"/>
        <v>1348.2059999999997</v>
      </c>
      <c r="V223">
        <v>1348.21</v>
      </c>
      <c r="W223" s="12">
        <f t="shared" si="19"/>
        <v>0.27509377877024932</v>
      </c>
      <c r="X223" t="s">
        <v>32</v>
      </c>
      <c r="Y223" t="str">
        <f t="shared" si="20"/>
        <v>Paid</v>
      </c>
      <c r="Z223" t="s">
        <v>33</v>
      </c>
      <c r="AA223">
        <f>C223-B223</f>
        <v>52</v>
      </c>
      <c r="AB223" t="str">
        <f>IF(B223="","Missing Order Date",
IF(C223="","Missing Ship Date","OK"))</f>
        <v>OK</v>
      </c>
      <c r="AC223" s="7" t="str">
        <f>IF(C223&lt;B223, "Invalid", "Valid")</f>
        <v>Valid</v>
      </c>
      <c r="AD223" s="7" t="str">
        <f>IF(COUNTIF($A:$A, A223)&gt;1, "Duplicate", "Unique")</f>
        <v>Unique</v>
      </c>
      <c r="AE223" s="7" t="str">
        <f>IF(G223="","Unknown",G223)</f>
        <v>South</v>
      </c>
      <c r="AF223" s="7" t="str">
        <f>IF(M223="","Unknown",M223)</f>
        <v>Same Day</v>
      </c>
      <c r="AG223" s="7" t="str">
        <f>IF(P223&lt;0,"Invalid",
IF(P223&gt;1,"Invalid","Valid"))</f>
        <v>Valid</v>
      </c>
      <c r="AH223" s="7" t="str">
        <f>TEXT(B223,"mmmm")</f>
        <v>January</v>
      </c>
      <c r="AI223" s="7">
        <f t="shared" si="21"/>
        <v>2025</v>
      </c>
      <c r="AJ223" s="7" t="str">
        <f>IF(OR(R223&lt;0,C223&lt;B223),"Invalid",
IF(OR(G223="Unknown",M223="Unknown"),"Warning","Clean"))</f>
        <v>Clean</v>
      </c>
      <c r="AK223" s="7" t="str">
        <f>IF(C223&lt;B223,"Ship Before Order","OK")</f>
        <v>OK</v>
      </c>
      <c r="AL223" s="7" t="str">
        <f>IF(ISNUMBER(B223),"Valid","Invalid")</f>
        <v>Valid</v>
      </c>
      <c r="AM223" s="7" t="str">
        <f t="shared" si="22"/>
        <v>Missmatched</v>
      </c>
      <c r="AN223" s="7" t="str">
        <f t="shared" si="23"/>
        <v>Missmatched</v>
      </c>
    </row>
    <row r="224" spans="1:40">
      <c r="A224" t="s">
        <v>774</v>
      </c>
      <c r="B224" s="6">
        <v>45776</v>
      </c>
      <c r="C224" s="4">
        <v>45722</v>
      </c>
      <c r="D224" t="s">
        <v>775</v>
      </c>
      <c r="E224" t="s">
        <v>71</v>
      </c>
      <c r="F224" t="s">
        <v>37</v>
      </c>
      <c r="G224" t="s">
        <v>63</v>
      </c>
      <c r="H224" t="s">
        <v>190</v>
      </c>
      <c r="I224" t="s">
        <v>191</v>
      </c>
      <c r="J224" t="s">
        <v>28</v>
      </c>
      <c r="K224" t="s">
        <v>124</v>
      </c>
      <c r="L224" t="s">
        <v>776</v>
      </c>
      <c r="M224" t="s">
        <v>50</v>
      </c>
      <c r="N224">
        <v>6</v>
      </c>
      <c r="O224">
        <v>4308.09</v>
      </c>
      <c r="P224">
        <v>0</v>
      </c>
      <c r="Q224" s="7">
        <f>IF(P224="", 0, P224)</f>
        <v>0</v>
      </c>
      <c r="R224">
        <v>25848.54</v>
      </c>
      <c r="S224">
        <v>17729.09</v>
      </c>
      <c r="T224" s="7">
        <f>N224*O224*(1-Q224)</f>
        <v>25848.54</v>
      </c>
      <c r="U224" s="7">
        <f t="shared" si="18"/>
        <v>8119.4500000000007</v>
      </c>
      <c r="V224">
        <v>8119.45</v>
      </c>
      <c r="W224" s="12">
        <f t="shared" si="19"/>
        <v>0.31411638723115504</v>
      </c>
      <c r="X224" t="s">
        <v>32</v>
      </c>
      <c r="Y224" t="str">
        <f t="shared" si="20"/>
        <v>Paid</v>
      </c>
      <c r="Z224" t="s">
        <v>33</v>
      </c>
      <c r="AA224">
        <f>C224-B224</f>
        <v>-54</v>
      </c>
      <c r="AB224" t="str">
        <f>IF(B224="","Missing Order Date",
IF(C224="","Missing Ship Date","OK"))</f>
        <v>OK</v>
      </c>
      <c r="AC224" s="7" t="str">
        <f>IF(C224&lt;B224, "Invalid", "Valid")</f>
        <v>Invalid</v>
      </c>
      <c r="AD224" s="7" t="str">
        <f>IF(COUNTIF($A:$A, A224)&gt;1, "Duplicate", "Unique")</f>
        <v>Unique</v>
      </c>
      <c r="AE224" s="7" t="str">
        <f>IF(G224="","Unknown",G224)</f>
        <v>West</v>
      </c>
      <c r="AF224" s="7" t="str">
        <f>IF(M224="","Unknown",M224)</f>
        <v>First Class</v>
      </c>
      <c r="AG224" s="7" t="str">
        <f>IF(P224&lt;0,"Invalid",
IF(P224&gt;1,"Invalid","Valid"))</f>
        <v>Valid</v>
      </c>
      <c r="AH224" s="7" t="str">
        <f>TEXT(B224,"mmmm")</f>
        <v>April</v>
      </c>
      <c r="AI224" s="7">
        <f t="shared" si="21"/>
        <v>2025</v>
      </c>
      <c r="AJ224" s="7" t="str">
        <f>IF(OR(R224&lt;0,C224&lt;B224),"Invalid",
IF(OR(G224="Unknown",M224="Unknown"),"Warning","Clean"))</f>
        <v>Invalid</v>
      </c>
      <c r="AK224" s="7" t="str">
        <f>IF(C224&lt;B224,"Ship Before Order","OK")</f>
        <v>Ship Before Order</v>
      </c>
      <c r="AL224" s="7" t="str">
        <f>IF(ISNUMBER(B224),"Valid","Invalid")</f>
        <v>Valid</v>
      </c>
      <c r="AM224" s="7" t="str">
        <f t="shared" si="22"/>
        <v>Ok</v>
      </c>
      <c r="AN224" s="7" t="str">
        <f t="shared" si="23"/>
        <v>Ok</v>
      </c>
    </row>
    <row r="225" spans="1:40">
      <c r="A225" t="s">
        <v>777</v>
      </c>
      <c r="B225" s="6">
        <v>45707</v>
      </c>
      <c r="C225" s="4">
        <v>45723</v>
      </c>
      <c r="D225" t="s">
        <v>778</v>
      </c>
      <c r="E225" t="s">
        <v>36</v>
      </c>
      <c r="F225" t="s">
        <v>90</v>
      </c>
      <c r="G225" t="s">
        <v>63</v>
      </c>
      <c r="H225" t="s">
        <v>64</v>
      </c>
      <c r="I225" t="s">
        <v>65</v>
      </c>
      <c r="J225" t="s">
        <v>41</v>
      </c>
      <c r="K225" t="s">
        <v>57</v>
      </c>
      <c r="L225" t="s">
        <v>779</v>
      </c>
      <c r="M225" t="s">
        <v>50</v>
      </c>
      <c r="N225">
        <v>3</v>
      </c>
      <c r="O225">
        <v>490.3</v>
      </c>
      <c r="P225">
        <v>0.2</v>
      </c>
      <c r="Q225" s="7">
        <f>IF(P225="", 0, P225)</f>
        <v>0.2</v>
      </c>
      <c r="R225">
        <v>1176.72</v>
      </c>
      <c r="S225">
        <v>654.33000000000004</v>
      </c>
      <c r="T225" s="7">
        <f>N225*O225*(1-Q225)</f>
        <v>1176.72</v>
      </c>
      <c r="U225" s="7">
        <f t="shared" si="18"/>
        <v>522.39</v>
      </c>
      <c r="V225">
        <v>522.39</v>
      </c>
      <c r="W225" s="12">
        <f t="shared" si="19"/>
        <v>0.44393738527432181</v>
      </c>
      <c r="X225" t="s">
        <v>111</v>
      </c>
      <c r="Y225" t="str">
        <f t="shared" si="20"/>
        <v>Pending</v>
      </c>
      <c r="Z225" t="s">
        <v>103</v>
      </c>
      <c r="AA225">
        <f>C225-B225</f>
        <v>16</v>
      </c>
      <c r="AB225" t="str">
        <f>IF(B225="","Missing Order Date",
IF(C225="","Missing Ship Date","OK"))</f>
        <v>OK</v>
      </c>
      <c r="AC225" s="7" t="str">
        <f>IF(C225&lt;B225, "Invalid", "Valid")</f>
        <v>Valid</v>
      </c>
      <c r="AD225" s="7" t="str">
        <f>IF(COUNTIF($A:$A, A225)&gt;1, "Duplicate", "Unique")</f>
        <v>Unique</v>
      </c>
      <c r="AE225" s="7" t="str">
        <f>IF(G225="","Unknown",G225)</f>
        <v>West</v>
      </c>
      <c r="AF225" s="7" t="str">
        <f>IF(M225="","Unknown",M225)</f>
        <v>First Class</v>
      </c>
      <c r="AG225" s="7" t="str">
        <f>IF(P225&lt;0,"Invalid",
IF(P225&gt;1,"Invalid","Valid"))</f>
        <v>Valid</v>
      </c>
      <c r="AH225" s="7" t="str">
        <f>TEXT(B225,"mmmm")</f>
        <v>February</v>
      </c>
      <c r="AI225" s="7">
        <f t="shared" si="21"/>
        <v>2025</v>
      </c>
      <c r="AJ225" s="7" t="str">
        <f>IF(OR(R225&lt;0,C225&lt;B225),"Invalid",
IF(OR(G225="Unknown",M225="Unknown"),"Warning","Clean"))</f>
        <v>Clean</v>
      </c>
      <c r="AK225" s="7" t="str">
        <f>IF(C225&lt;B225,"Ship Before Order","OK")</f>
        <v>OK</v>
      </c>
      <c r="AL225" s="7" t="str">
        <f>IF(ISNUMBER(B225),"Valid","Invalid")</f>
        <v>Valid</v>
      </c>
      <c r="AM225" s="7" t="str">
        <f t="shared" si="22"/>
        <v>Ok</v>
      </c>
      <c r="AN225" s="7" t="str">
        <f t="shared" si="23"/>
        <v>Ok</v>
      </c>
    </row>
    <row r="226" spans="1:40">
      <c r="A226" t="s">
        <v>780</v>
      </c>
      <c r="B226" s="6">
        <v>45698</v>
      </c>
      <c r="C226" s="4">
        <v>45724</v>
      </c>
      <c r="D226" t="s">
        <v>781</v>
      </c>
      <c r="E226" t="s">
        <v>47</v>
      </c>
      <c r="F226" t="s">
        <v>37</v>
      </c>
      <c r="G226" t="s">
        <v>25</v>
      </c>
      <c r="H226" t="s">
        <v>122</v>
      </c>
      <c r="I226" t="s">
        <v>123</v>
      </c>
      <c r="J226" t="s">
        <v>41</v>
      </c>
      <c r="K226" t="s">
        <v>57</v>
      </c>
      <c r="L226" t="s">
        <v>782</v>
      </c>
      <c r="M226" t="s">
        <v>59</v>
      </c>
      <c r="N226">
        <v>4</v>
      </c>
      <c r="O226">
        <v>3944.64</v>
      </c>
      <c r="P226">
        <v>0.25</v>
      </c>
      <c r="Q226" s="7">
        <f>IF(P226="", 0, P226)</f>
        <v>0.25</v>
      </c>
      <c r="R226">
        <v>11833.92</v>
      </c>
      <c r="S226">
        <v>6682.92</v>
      </c>
      <c r="T226" s="7">
        <f>N226*O226*(1-Q226)</f>
        <v>11833.92</v>
      </c>
      <c r="U226" s="7">
        <f t="shared" si="18"/>
        <v>5151</v>
      </c>
      <c r="V226">
        <v>5151</v>
      </c>
      <c r="W226" s="12">
        <f t="shared" si="19"/>
        <v>0.43527419485681834</v>
      </c>
      <c r="X226" t="s">
        <v>32</v>
      </c>
      <c r="Y226" t="str">
        <f t="shared" si="20"/>
        <v>Paid</v>
      </c>
      <c r="Z226" t="s">
        <v>68</v>
      </c>
      <c r="AA226">
        <f>C226-B226</f>
        <v>26</v>
      </c>
      <c r="AB226" t="str">
        <f>IF(B226="","Missing Order Date",
IF(C226="","Missing Ship Date","OK"))</f>
        <v>OK</v>
      </c>
      <c r="AC226" s="7" t="str">
        <f>IF(C226&lt;B226, "Invalid", "Valid")</f>
        <v>Valid</v>
      </c>
      <c r="AD226" s="7" t="str">
        <f>IF(COUNTIF($A:$A, A226)&gt;1, "Duplicate", "Unique")</f>
        <v>Duplicate</v>
      </c>
      <c r="AE226" s="7" t="str">
        <f>IF(G226="","Unknown",G226)</f>
        <v>North</v>
      </c>
      <c r="AF226" s="7" t="str">
        <f>IF(M226="","Unknown",M226)</f>
        <v>Standard Class</v>
      </c>
      <c r="AG226" s="7" t="str">
        <f>IF(P226&lt;0,"Invalid",
IF(P226&gt;1,"Invalid","Valid"))</f>
        <v>Valid</v>
      </c>
      <c r="AH226" s="7" t="str">
        <f>TEXT(B226,"mmmm")</f>
        <v>February</v>
      </c>
      <c r="AI226" s="7">
        <f t="shared" si="21"/>
        <v>2025</v>
      </c>
      <c r="AJ226" s="7" t="str">
        <f>IF(OR(R226&lt;0,C226&lt;B226),"Invalid",
IF(OR(G226="Unknown",M226="Unknown"),"Warning","Clean"))</f>
        <v>Clean</v>
      </c>
      <c r="AK226" s="7" t="str">
        <f>IF(C226&lt;B226,"Ship Before Order","OK")</f>
        <v>OK</v>
      </c>
      <c r="AL226" s="7" t="str">
        <f>IF(ISNUMBER(B226),"Valid","Invalid")</f>
        <v>Valid</v>
      </c>
      <c r="AM226" s="7" t="str">
        <f t="shared" si="22"/>
        <v>Ok</v>
      </c>
      <c r="AN226" s="7" t="str">
        <f t="shared" si="23"/>
        <v>Ok</v>
      </c>
    </row>
    <row r="227" spans="1:40">
      <c r="A227" t="s">
        <v>783</v>
      </c>
      <c r="B227" s="6">
        <v>45331</v>
      </c>
      <c r="C227" s="4">
        <v>45725</v>
      </c>
      <c r="D227" t="s">
        <v>784</v>
      </c>
      <c r="E227" t="s">
        <v>36</v>
      </c>
      <c r="F227" t="s">
        <v>90</v>
      </c>
      <c r="G227" t="s">
        <v>63</v>
      </c>
      <c r="H227" t="s">
        <v>190</v>
      </c>
      <c r="I227" t="s">
        <v>191</v>
      </c>
      <c r="J227" t="s">
        <v>74</v>
      </c>
      <c r="K227" t="s">
        <v>171</v>
      </c>
      <c r="L227" t="s">
        <v>785</v>
      </c>
      <c r="M227" t="s">
        <v>59</v>
      </c>
      <c r="N227">
        <v>6</v>
      </c>
      <c r="O227">
        <v>1032.47</v>
      </c>
      <c r="P227">
        <v>0.15</v>
      </c>
      <c r="Q227" s="7">
        <f>IF(P227="", 0, P227)</f>
        <v>0.15</v>
      </c>
      <c r="R227">
        <v>5265.6</v>
      </c>
      <c r="S227">
        <v>4293.1099999999997</v>
      </c>
      <c r="T227" s="7">
        <f>N227*O227*(1-Q227)</f>
        <v>5265.5969999999998</v>
      </c>
      <c r="U227" s="7">
        <f t="shared" si="18"/>
        <v>972.48700000000008</v>
      </c>
      <c r="V227">
        <v>787.57</v>
      </c>
      <c r="W227" s="12">
        <f t="shared" si="19"/>
        <v>0.18468694053114967</v>
      </c>
      <c r="X227" t="s">
        <v>32</v>
      </c>
      <c r="Y227" t="str">
        <f t="shared" si="20"/>
        <v>Paid</v>
      </c>
      <c r="Z227" t="s">
        <v>33</v>
      </c>
      <c r="AA227">
        <f>C227-B227</f>
        <v>394</v>
      </c>
      <c r="AB227" t="str">
        <f>IF(B227="","Missing Order Date",
IF(C227="","Missing Ship Date","OK"))</f>
        <v>OK</v>
      </c>
      <c r="AC227" s="7" t="str">
        <f>IF(C227&lt;B227, "Invalid", "Valid")</f>
        <v>Valid</v>
      </c>
      <c r="AD227" s="7" t="str">
        <f>IF(COUNTIF($A:$A, A227)&gt;1, "Duplicate", "Unique")</f>
        <v>Unique</v>
      </c>
      <c r="AE227" s="7" t="str">
        <f>IF(G227="","Unknown",G227)</f>
        <v>West</v>
      </c>
      <c r="AF227" s="7" t="str">
        <f>IF(M227="","Unknown",M227)</f>
        <v>Standard Class</v>
      </c>
      <c r="AG227" s="7" t="str">
        <f>IF(P227&lt;0,"Invalid",
IF(P227&gt;1,"Invalid","Valid"))</f>
        <v>Valid</v>
      </c>
      <c r="AH227" s="7" t="str">
        <f>TEXT(B227,"mmmm")</f>
        <v>February</v>
      </c>
      <c r="AI227" s="7">
        <f t="shared" si="21"/>
        <v>2024</v>
      </c>
      <c r="AJ227" s="7" t="str">
        <f>IF(OR(R227&lt;0,C227&lt;B227),"Invalid",
IF(OR(G227="Unknown",M227="Unknown"),"Warning","Clean"))</f>
        <v>Clean</v>
      </c>
      <c r="AK227" s="7" t="str">
        <f>IF(C227&lt;B227,"Ship Before Order","OK")</f>
        <v>OK</v>
      </c>
      <c r="AL227" s="7" t="str">
        <f>IF(ISNUMBER(B227),"Valid","Invalid")</f>
        <v>Valid</v>
      </c>
      <c r="AM227" s="7" t="str">
        <f t="shared" si="22"/>
        <v>Missmatched</v>
      </c>
      <c r="AN227" s="7" t="str">
        <f t="shared" si="23"/>
        <v>Missmatched</v>
      </c>
    </row>
    <row r="228" spans="1:40">
      <c r="A228" t="s">
        <v>786</v>
      </c>
      <c r="B228" s="6">
        <v>45757</v>
      </c>
      <c r="C228" s="4">
        <v>45726</v>
      </c>
      <c r="D228" t="s">
        <v>787</v>
      </c>
      <c r="E228" t="s">
        <v>162</v>
      </c>
      <c r="F228" t="s">
        <v>95</v>
      </c>
      <c r="G228" t="s">
        <v>2785</v>
      </c>
      <c r="H228" t="s">
        <v>185</v>
      </c>
      <c r="I228" t="s">
        <v>186</v>
      </c>
      <c r="J228" t="s">
        <v>74</v>
      </c>
      <c r="K228" t="s">
        <v>80</v>
      </c>
      <c r="L228" t="s">
        <v>788</v>
      </c>
      <c r="M228" t="s">
        <v>44</v>
      </c>
      <c r="N228">
        <v>1</v>
      </c>
      <c r="O228">
        <v>2208.27</v>
      </c>
      <c r="P228">
        <v>0.1</v>
      </c>
      <c r="Q228" s="7">
        <f>IF(P228="", 0, P228)</f>
        <v>0.1</v>
      </c>
      <c r="R228">
        <v>1987.44</v>
      </c>
      <c r="S228">
        <v>1110.23</v>
      </c>
      <c r="T228" s="7">
        <f>N228*O228*(1-Q228)</f>
        <v>1987.443</v>
      </c>
      <c r="U228" s="7">
        <f t="shared" si="18"/>
        <v>877.21299999999997</v>
      </c>
      <c r="V228">
        <v>877.21</v>
      </c>
      <c r="W228" s="12">
        <f t="shared" si="19"/>
        <v>0.44137768982556985</v>
      </c>
      <c r="X228" t="s">
        <v>32</v>
      </c>
      <c r="Y228" t="str">
        <f t="shared" si="20"/>
        <v>Paid</v>
      </c>
      <c r="Z228" t="s">
        <v>33</v>
      </c>
      <c r="AA228">
        <f>C228-B228</f>
        <v>-31</v>
      </c>
      <c r="AB228" t="str">
        <f>IF(B228="","Missing Order Date",
IF(C228="","Missing Ship Date","OK"))</f>
        <v>OK</v>
      </c>
      <c r="AC228" s="7" t="str">
        <f>IF(C228&lt;B228, "Invalid", "Valid")</f>
        <v>Invalid</v>
      </c>
      <c r="AD228" s="7" t="str">
        <f>IF(COUNTIF($A:$A, A228)&gt;1, "Duplicate", "Unique")</f>
        <v>Unique</v>
      </c>
      <c r="AE228" s="7" t="str">
        <f>IF(G228="","Unknown",G228)</f>
        <v>Unknown</v>
      </c>
      <c r="AF228" s="7" t="str">
        <f>IF(M228="","Unknown",M228)</f>
        <v>Same Day</v>
      </c>
      <c r="AG228" s="7" t="str">
        <f>IF(P228&lt;0,"Invalid",
IF(P228&gt;1,"Invalid","Valid"))</f>
        <v>Valid</v>
      </c>
      <c r="AH228" s="7" t="str">
        <f>TEXT(B228,"mmmm")</f>
        <v>April</v>
      </c>
      <c r="AI228" s="7">
        <f t="shared" si="21"/>
        <v>2025</v>
      </c>
      <c r="AJ228" s="7" t="str">
        <f>IF(OR(R228&lt;0,C228&lt;B228),"Invalid",
IF(OR(G228="Unknown",M228="Unknown"),"Warning","Clean"))</f>
        <v>Invalid</v>
      </c>
      <c r="AK228" s="7" t="str">
        <f>IF(C228&lt;B228,"Ship Before Order","OK")</f>
        <v>Ship Before Order</v>
      </c>
      <c r="AL228" s="7" t="str">
        <f>IF(ISNUMBER(B228),"Valid","Invalid")</f>
        <v>Valid</v>
      </c>
      <c r="AM228" s="7" t="str">
        <f t="shared" si="22"/>
        <v>Missmatched</v>
      </c>
      <c r="AN228" s="7" t="str">
        <f t="shared" si="23"/>
        <v>Missmatched</v>
      </c>
    </row>
    <row r="229" spans="1:40">
      <c r="A229" t="s">
        <v>789</v>
      </c>
      <c r="B229" s="6">
        <v>45419</v>
      </c>
      <c r="C229" s="4">
        <v>45727</v>
      </c>
      <c r="D229" t="s">
        <v>790</v>
      </c>
      <c r="E229" t="s">
        <v>62</v>
      </c>
      <c r="F229" t="s">
        <v>37</v>
      </c>
      <c r="G229" t="s">
        <v>63</v>
      </c>
      <c r="H229" t="s">
        <v>190</v>
      </c>
      <c r="I229" t="s">
        <v>191</v>
      </c>
      <c r="J229" t="s">
        <v>28</v>
      </c>
      <c r="K229" t="s">
        <v>153</v>
      </c>
      <c r="L229" t="s">
        <v>791</v>
      </c>
      <c r="M229" t="s">
        <v>50</v>
      </c>
      <c r="N229">
        <v>3</v>
      </c>
      <c r="O229">
        <v>577.75</v>
      </c>
      <c r="P229">
        <v>0.15</v>
      </c>
      <c r="Q229" s="7">
        <f>IF(P229="", 0, P229)</f>
        <v>0.15</v>
      </c>
      <c r="R229">
        <v>1473.26</v>
      </c>
      <c r="S229">
        <v>899.86</v>
      </c>
      <c r="T229" s="7">
        <f>N229*O229*(1-Q229)</f>
        <v>1473.2625</v>
      </c>
      <c r="U229" s="7">
        <f t="shared" si="18"/>
        <v>573.40250000000003</v>
      </c>
      <c r="V229">
        <v>573.4</v>
      </c>
      <c r="W229" s="12">
        <f t="shared" si="19"/>
        <v>0.38920592901808065</v>
      </c>
      <c r="X229" t="s">
        <v>32</v>
      </c>
      <c r="Y229" t="str">
        <f t="shared" si="20"/>
        <v>Paid</v>
      </c>
      <c r="Z229" t="s">
        <v>33</v>
      </c>
      <c r="AA229">
        <f>C229-B229</f>
        <v>308</v>
      </c>
      <c r="AB229" t="str">
        <f>IF(B229="","Missing Order Date",
IF(C229="","Missing Ship Date","OK"))</f>
        <v>OK</v>
      </c>
      <c r="AC229" s="7" t="str">
        <f>IF(C229&lt;B229, "Invalid", "Valid")</f>
        <v>Valid</v>
      </c>
      <c r="AD229" s="7" t="str">
        <f>IF(COUNTIF($A:$A, A229)&gt;1, "Duplicate", "Unique")</f>
        <v>Unique</v>
      </c>
      <c r="AE229" s="7" t="str">
        <f>IF(G229="","Unknown",G229)</f>
        <v>West</v>
      </c>
      <c r="AF229" s="7" t="str">
        <f>IF(M229="","Unknown",M229)</f>
        <v>First Class</v>
      </c>
      <c r="AG229" s="7" t="str">
        <f>IF(P229&lt;0,"Invalid",
IF(P229&gt;1,"Invalid","Valid"))</f>
        <v>Valid</v>
      </c>
      <c r="AH229" s="7" t="str">
        <f>TEXT(B229,"mmmm")</f>
        <v>May</v>
      </c>
      <c r="AI229" s="7">
        <f t="shared" si="21"/>
        <v>2024</v>
      </c>
      <c r="AJ229" s="7" t="str">
        <f>IF(OR(R229&lt;0,C229&lt;B229),"Invalid",
IF(OR(G229="Unknown",M229="Unknown"),"Warning","Clean"))</f>
        <v>Clean</v>
      </c>
      <c r="AK229" s="7" t="str">
        <f>IF(C229&lt;B229,"Ship Before Order","OK")</f>
        <v>OK</v>
      </c>
      <c r="AL229" s="7" t="str">
        <f>IF(ISNUMBER(B229),"Valid","Invalid")</f>
        <v>Valid</v>
      </c>
      <c r="AM229" s="7" t="str">
        <f t="shared" si="22"/>
        <v>Missmatched</v>
      </c>
      <c r="AN229" s="7" t="str">
        <f t="shared" si="23"/>
        <v>Missmatched</v>
      </c>
    </row>
    <row r="230" spans="1:40">
      <c r="A230" t="s">
        <v>792</v>
      </c>
      <c r="B230" s="6">
        <v>45406</v>
      </c>
      <c r="C230" s="4">
        <v>45728</v>
      </c>
      <c r="D230" t="s">
        <v>793</v>
      </c>
      <c r="E230" t="s">
        <v>23</v>
      </c>
      <c r="F230" t="s">
        <v>37</v>
      </c>
      <c r="G230" t="s">
        <v>54</v>
      </c>
      <c r="H230" t="s">
        <v>55</v>
      </c>
      <c r="I230" t="s">
        <v>56</v>
      </c>
      <c r="J230" t="s">
        <v>28</v>
      </c>
      <c r="K230" t="s">
        <v>91</v>
      </c>
      <c r="L230" t="s">
        <v>794</v>
      </c>
      <c r="M230" t="s">
        <v>31</v>
      </c>
      <c r="N230">
        <v>1</v>
      </c>
      <c r="O230">
        <v>3194.37</v>
      </c>
      <c r="P230">
        <v>0.15</v>
      </c>
      <c r="Q230" s="7">
        <f>IF(P230="", 0, P230)</f>
        <v>0.15</v>
      </c>
      <c r="R230">
        <v>2715.21</v>
      </c>
      <c r="S230">
        <v>1551.55</v>
      </c>
      <c r="T230" s="7">
        <f>N230*O230*(1-Q230)</f>
        <v>2715.2145</v>
      </c>
      <c r="U230" s="7">
        <f t="shared" si="18"/>
        <v>1163.6645000000001</v>
      </c>
      <c r="V230">
        <v>1163.6600000000001</v>
      </c>
      <c r="W230" s="12">
        <f t="shared" si="19"/>
        <v>0.42857184948003191</v>
      </c>
      <c r="X230" t="s">
        <v>32</v>
      </c>
      <c r="Y230" t="str">
        <f t="shared" si="20"/>
        <v>Paid</v>
      </c>
      <c r="Z230" t="s">
        <v>33</v>
      </c>
      <c r="AA230">
        <f>C230-B230</f>
        <v>322</v>
      </c>
      <c r="AB230" t="str">
        <f>IF(B230="","Missing Order Date",
IF(C230="","Missing Ship Date","OK"))</f>
        <v>OK</v>
      </c>
      <c r="AC230" s="7" t="str">
        <f>IF(C230&lt;B230, "Invalid", "Valid")</f>
        <v>Valid</v>
      </c>
      <c r="AD230" s="7" t="str">
        <f>IF(COUNTIF($A:$A, A230)&gt;1, "Duplicate", "Unique")</f>
        <v>Unique</v>
      </c>
      <c r="AE230" s="7" t="str">
        <f>IF(G230="","Unknown",G230)</f>
        <v>South</v>
      </c>
      <c r="AF230" s="7" t="str">
        <f>IF(M230="","Unknown",M230)</f>
        <v>Second Class</v>
      </c>
      <c r="AG230" s="7" t="str">
        <f>IF(P230&lt;0,"Invalid",
IF(P230&gt;1,"Invalid","Valid"))</f>
        <v>Valid</v>
      </c>
      <c r="AH230" s="7" t="str">
        <f>TEXT(B230,"mmmm")</f>
        <v>April</v>
      </c>
      <c r="AI230" s="7">
        <f t="shared" si="21"/>
        <v>2024</v>
      </c>
      <c r="AJ230" s="7" t="str">
        <f>IF(OR(R230&lt;0,C230&lt;B230),"Invalid",
IF(OR(G230="Unknown",M230="Unknown"),"Warning","Clean"))</f>
        <v>Clean</v>
      </c>
      <c r="AK230" s="7" t="str">
        <f>IF(C230&lt;B230,"Ship Before Order","OK")</f>
        <v>OK</v>
      </c>
      <c r="AL230" s="7" t="str">
        <f>IF(ISNUMBER(B230),"Valid","Invalid")</f>
        <v>Valid</v>
      </c>
      <c r="AM230" s="7" t="str">
        <f t="shared" si="22"/>
        <v>Missmatched</v>
      </c>
      <c r="AN230" s="7" t="str">
        <f t="shared" si="23"/>
        <v>Missmatched</v>
      </c>
    </row>
    <row r="231" spans="1:40">
      <c r="A231" t="s">
        <v>795</v>
      </c>
      <c r="B231" s="6">
        <v>45836</v>
      </c>
      <c r="C231" s="4">
        <v>45729</v>
      </c>
      <c r="D231" t="s">
        <v>796</v>
      </c>
      <c r="E231" t="s">
        <v>141</v>
      </c>
      <c r="F231" t="s">
        <v>24</v>
      </c>
      <c r="G231" t="s">
        <v>54</v>
      </c>
      <c r="H231" t="s">
        <v>55</v>
      </c>
      <c r="I231" t="s">
        <v>56</v>
      </c>
      <c r="J231" t="s">
        <v>41</v>
      </c>
      <c r="K231" t="s">
        <v>158</v>
      </c>
      <c r="L231" t="s">
        <v>797</v>
      </c>
      <c r="M231" t="s">
        <v>50</v>
      </c>
      <c r="N231">
        <v>3</v>
      </c>
      <c r="O231">
        <v>2886.23</v>
      </c>
      <c r="P231">
        <v>0</v>
      </c>
      <c r="Q231" s="7">
        <f>IF(P231="", 0, P231)</f>
        <v>0</v>
      </c>
      <c r="R231">
        <v>8658.69</v>
      </c>
      <c r="S231">
        <v>5535.94</v>
      </c>
      <c r="T231" s="7">
        <f>N231*O231*(1-Q231)</f>
        <v>8658.69</v>
      </c>
      <c r="U231" s="7">
        <f t="shared" si="18"/>
        <v>3122.7500000000009</v>
      </c>
      <c r="V231">
        <v>3122.75</v>
      </c>
      <c r="W231" s="12">
        <f t="shared" si="19"/>
        <v>0.36064924370776652</v>
      </c>
      <c r="X231" t="s">
        <v>102</v>
      </c>
      <c r="Y231" t="str">
        <f t="shared" si="20"/>
        <v>Refunded</v>
      </c>
      <c r="Z231" t="s">
        <v>103</v>
      </c>
      <c r="AA231">
        <f>C231-B231</f>
        <v>-107</v>
      </c>
      <c r="AB231" t="str">
        <f>IF(B231="","Missing Order Date",
IF(C231="","Missing Ship Date","OK"))</f>
        <v>OK</v>
      </c>
      <c r="AC231" s="7" t="str">
        <f>IF(C231&lt;B231, "Invalid", "Valid")</f>
        <v>Invalid</v>
      </c>
      <c r="AD231" s="7" t="str">
        <f>IF(COUNTIF($A:$A, A231)&gt;1, "Duplicate", "Unique")</f>
        <v>Unique</v>
      </c>
      <c r="AE231" s="7" t="str">
        <f>IF(G231="","Unknown",G231)</f>
        <v>South</v>
      </c>
      <c r="AF231" s="7" t="str">
        <f>IF(M231="","Unknown",M231)</f>
        <v>First Class</v>
      </c>
      <c r="AG231" s="7" t="str">
        <f>IF(P231&lt;0,"Invalid",
IF(P231&gt;1,"Invalid","Valid"))</f>
        <v>Valid</v>
      </c>
      <c r="AH231" s="7" t="str">
        <f>TEXT(B231,"mmmm")</f>
        <v>June</v>
      </c>
      <c r="AI231" s="7">
        <f t="shared" si="21"/>
        <v>2025</v>
      </c>
      <c r="AJ231" s="7" t="str">
        <f>IF(OR(R231&lt;0,C231&lt;B231),"Invalid",
IF(OR(G231="Unknown",M231="Unknown"),"Warning","Clean"))</f>
        <v>Invalid</v>
      </c>
      <c r="AK231" s="7" t="str">
        <f>IF(C231&lt;B231,"Ship Before Order","OK")</f>
        <v>Ship Before Order</v>
      </c>
      <c r="AL231" s="7" t="str">
        <f>IF(ISNUMBER(B231),"Valid","Invalid")</f>
        <v>Valid</v>
      </c>
      <c r="AM231" s="7" t="str">
        <f t="shared" si="22"/>
        <v>Ok</v>
      </c>
      <c r="AN231" s="7" t="str">
        <f t="shared" si="23"/>
        <v>Ok</v>
      </c>
    </row>
    <row r="232" spans="1:40">
      <c r="A232" t="s">
        <v>798</v>
      </c>
      <c r="B232" s="6">
        <v>45440</v>
      </c>
      <c r="C232" s="4">
        <v>45730</v>
      </c>
      <c r="D232" t="s">
        <v>799</v>
      </c>
      <c r="E232" t="s">
        <v>79</v>
      </c>
      <c r="F232" t="s">
        <v>37</v>
      </c>
      <c r="G232" t="s">
        <v>25</v>
      </c>
      <c r="H232" t="s">
        <v>26</v>
      </c>
      <c r="I232" t="s">
        <v>27</v>
      </c>
      <c r="J232" t="s">
        <v>28</v>
      </c>
      <c r="K232" t="s">
        <v>29</v>
      </c>
      <c r="L232" t="s">
        <v>800</v>
      </c>
      <c r="M232" t="s">
        <v>59</v>
      </c>
      <c r="N232">
        <v>8</v>
      </c>
      <c r="O232">
        <v>1540.33</v>
      </c>
      <c r="P232">
        <v>0.1</v>
      </c>
      <c r="Q232" s="7">
        <f>IF(P232="", 0, P232)</f>
        <v>0.1</v>
      </c>
      <c r="R232">
        <v>11090.38</v>
      </c>
      <c r="S232">
        <v>8840.9500000000007</v>
      </c>
      <c r="T232" s="7">
        <f>N232*O232*(1-Q232)</f>
        <v>11090.376</v>
      </c>
      <c r="U232" s="7">
        <f t="shared" si="18"/>
        <v>2249.4259999999995</v>
      </c>
      <c r="V232">
        <v>2249.4299999999998</v>
      </c>
      <c r="W232" s="12">
        <f t="shared" si="19"/>
        <v>0.20282684734944958</v>
      </c>
      <c r="X232" t="s">
        <v>32</v>
      </c>
      <c r="Y232" t="str">
        <f t="shared" si="20"/>
        <v>Paid</v>
      </c>
      <c r="Z232" t="s">
        <v>33</v>
      </c>
      <c r="AA232">
        <f>C232-B232</f>
        <v>290</v>
      </c>
      <c r="AB232" t="str">
        <f>IF(B232="","Missing Order Date",
IF(C232="","Missing Ship Date","OK"))</f>
        <v>OK</v>
      </c>
      <c r="AC232" s="7" t="str">
        <f>IF(C232&lt;B232, "Invalid", "Valid")</f>
        <v>Valid</v>
      </c>
      <c r="AD232" s="7" t="str">
        <f>IF(COUNTIF($A:$A, A232)&gt;1, "Duplicate", "Unique")</f>
        <v>Unique</v>
      </c>
      <c r="AE232" s="7" t="str">
        <f>IF(G232="","Unknown",G232)</f>
        <v>North</v>
      </c>
      <c r="AF232" s="7" t="str">
        <f>IF(M232="","Unknown",M232)</f>
        <v>Standard Class</v>
      </c>
      <c r="AG232" s="7" t="str">
        <f>IF(P232&lt;0,"Invalid",
IF(P232&gt;1,"Invalid","Valid"))</f>
        <v>Valid</v>
      </c>
      <c r="AH232" s="7" t="str">
        <f>TEXT(B232,"mmmm")</f>
        <v>May</v>
      </c>
      <c r="AI232" s="7">
        <f t="shared" si="21"/>
        <v>2024</v>
      </c>
      <c r="AJ232" s="7" t="str">
        <f>IF(OR(R232&lt;0,C232&lt;B232),"Invalid",
IF(OR(G232="Unknown",M232="Unknown"),"Warning","Clean"))</f>
        <v>Clean</v>
      </c>
      <c r="AK232" s="7" t="str">
        <f>IF(C232&lt;B232,"Ship Before Order","OK")</f>
        <v>OK</v>
      </c>
      <c r="AL232" s="7" t="str">
        <f>IF(ISNUMBER(B232),"Valid","Invalid")</f>
        <v>Valid</v>
      </c>
      <c r="AM232" s="7" t="str">
        <f t="shared" si="22"/>
        <v>Missmatched</v>
      </c>
      <c r="AN232" s="7" t="str">
        <f t="shared" si="23"/>
        <v>Missmatched</v>
      </c>
    </row>
    <row r="233" spans="1:40">
      <c r="A233" t="s">
        <v>801</v>
      </c>
      <c r="B233" s="6">
        <v>45327</v>
      </c>
      <c r="C233" s="4">
        <v>45731</v>
      </c>
      <c r="D233" t="s">
        <v>802</v>
      </c>
      <c r="E233" t="s">
        <v>62</v>
      </c>
      <c r="F233" t="s">
        <v>90</v>
      </c>
      <c r="G233" t="s">
        <v>25</v>
      </c>
      <c r="H233" t="s">
        <v>26</v>
      </c>
      <c r="I233" t="s">
        <v>27</v>
      </c>
      <c r="J233" t="s">
        <v>28</v>
      </c>
      <c r="K233" t="s">
        <v>91</v>
      </c>
      <c r="L233" t="s">
        <v>803</v>
      </c>
      <c r="M233" t="s">
        <v>50</v>
      </c>
      <c r="N233">
        <v>7</v>
      </c>
      <c r="O233">
        <v>2183.38</v>
      </c>
      <c r="P233">
        <v>0.25</v>
      </c>
      <c r="Q233" s="7">
        <f>IF(P233="", 0, P233)</f>
        <v>0.25</v>
      </c>
      <c r="R233">
        <v>11462.74</v>
      </c>
      <c r="S233">
        <v>7163.54</v>
      </c>
      <c r="T233" s="7">
        <f>N233*O233*(1-Q233)</f>
        <v>11462.744999999999</v>
      </c>
      <c r="U233" s="7">
        <f t="shared" si="18"/>
        <v>4299.204999999999</v>
      </c>
      <c r="V233">
        <v>4299.2</v>
      </c>
      <c r="W233" s="12">
        <f t="shared" si="19"/>
        <v>0.37505894094302888</v>
      </c>
      <c r="X233" t="s">
        <v>102</v>
      </c>
      <c r="Y233" t="str">
        <f t="shared" si="20"/>
        <v>Refunded</v>
      </c>
      <c r="Z233" t="s">
        <v>68</v>
      </c>
      <c r="AA233">
        <f>C233-B233</f>
        <v>404</v>
      </c>
      <c r="AB233" t="str">
        <f>IF(B233="","Missing Order Date",
IF(C233="","Missing Ship Date","OK"))</f>
        <v>OK</v>
      </c>
      <c r="AC233" s="7" t="str">
        <f>IF(C233&lt;B233, "Invalid", "Valid")</f>
        <v>Valid</v>
      </c>
      <c r="AD233" s="7" t="str">
        <f>IF(COUNTIF($A:$A, A233)&gt;1, "Duplicate", "Unique")</f>
        <v>Unique</v>
      </c>
      <c r="AE233" s="7" t="str">
        <f>IF(G233="","Unknown",G233)</f>
        <v>North</v>
      </c>
      <c r="AF233" s="7" t="str">
        <f>IF(M233="","Unknown",M233)</f>
        <v>First Class</v>
      </c>
      <c r="AG233" s="7" t="str">
        <f>IF(P233&lt;0,"Invalid",
IF(P233&gt;1,"Invalid","Valid"))</f>
        <v>Valid</v>
      </c>
      <c r="AH233" s="7" t="str">
        <f>TEXT(B233,"mmmm")</f>
        <v>February</v>
      </c>
      <c r="AI233" s="7">
        <f t="shared" si="21"/>
        <v>2024</v>
      </c>
      <c r="AJ233" s="7" t="str">
        <f>IF(OR(R233&lt;0,C233&lt;B233),"Invalid",
IF(OR(G233="Unknown",M233="Unknown"),"Warning","Clean"))</f>
        <v>Clean</v>
      </c>
      <c r="AK233" s="7" t="str">
        <f>IF(C233&lt;B233,"Ship Before Order","OK")</f>
        <v>OK</v>
      </c>
      <c r="AL233" s="7" t="str">
        <f>IF(ISNUMBER(B233),"Valid","Invalid")</f>
        <v>Valid</v>
      </c>
      <c r="AM233" s="7" t="str">
        <f t="shared" si="22"/>
        <v>Missmatched</v>
      </c>
      <c r="AN233" s="7" t="str">
        <f t="shared" si="23"/>
        <v>Missmatched</v>
      </c>
    </row>
    <row r="234" spans="1:40">
      <c r="A234" t="s">
        <v>804</v>
      </c>
      <c r="B234" s="6">
        <v>45753</v>
      </c>
      <c r="C234" s="4">
        <v>45732</v>
      </c>
      <c r="D234" t="s">
        <v>805</v>
      </c>
      <c r="E234" t="s">
        <v>118</v>
      </c>
      <c r="F234" t="s">
        <v>24</v>
      </c>
      <c r="G234" t="s">
        <v>54</v>
      </c>
      <c r="H234" t="s">
        <v>84</v>
      </c>
      <c r="I234" t="s">
        <v>85</v>
      </c>
      <c r="J234" t="s">
        <v>74</v>
      </c>
      <c r="K234" t="s">
        <v>171</v>
      </c>
      <c r="L234" t="s">
        <v>806</v>
      </c>
      <c r="M234" t="s">
        <v>59</v>
      </c>
      <c r="N234">
        <v>4</v>
      </c>
      <c r="O234">
        <v>223.37</v>
      </c>
      <c r="P234">
        <v>0.25</v>
      </c>
      <c r="Q234" s="7">
        <f>IF(P234="", 0, P234)</f>
        <v>0.25</v>
      </c>
      <c r="R234">
        <v>670.11</v>
      </c>
      <c r="S234">
        <v>559.57000000000005</v>
      </c>
      <c r="T234" s="7">
        <f>N234*O234*(1-Q234)</f>
        <v>670.11</v>
      </c>
      <c r="U234" s="7">
        <f t="shared" si="18"/>
        <v>110.53999999999996</v>
      </c>
      <c r="V234">
        <v>110.54</v>
      </c>
      <c r="W234" s="12">
        <f t="shared" si="19"/>
        <v>0.16495799197146732</v>
      </c>
      <c r="X234" t="s">
        <v>32</v>
      </c>
      <c r="Y234" t="str">
        <f t="shared" si="20"/>
        <v>Paid</v>
      </c>
      <c r="Z234" t="s">
        <v>33</v>
      </c>
      <c r="AA234">
        <f>C234-B234</f>
        <v>-21</v>
      </c>
      <c r="AB234" t="str">
        <f>IF(B234="","Missing Order Date",
IF(C234="","Missing Ship Date","OK"))</f>
        <v>OK</v>
      </c>
      <c r="AC234" s="7" t="str">
        <f>IF(C234&lt;B234, "Invalid", "Valid")</f>
        <v>Invalid</v>
      </c>
      <c r="AD234" s="7" t="str">
        <f>IF(COUNTIF($A:$A, A234)&gt;1, "Duplicate", "Unique")</f>
        <v>Unique</v>
      </c>
      <c r="AE234" s="7" t="str">
        <f>IF(G234="","Unknown",G234)</f>
        <v>South</v>
      </c>
      <c r="AF234" s="7" t="str">
        <f>IF(M234="","Unknown",M234)</f>
        <v>Standard Class</v>
      </c>
      <c r="AG234" s="7" t="str">
        <f>IF(P234&lt;0,"Invalid",
IF(P234&gt;1,"Invalid","Valid"))</f>
        <v>Valid</v>
      </c>
      <c r="AH234" s="7" t="str">
        <f>TEXT(B234,"mmmm")</f>
        <v>April</v>
      </c>
      <c r="AI234" s="7">
        <f t="shared" si="21"/>
        <v>2025</v>
      </c>
      <c r="AJ234" s="7" t="str">
        <f>IF(OR(R234&lt;0,C234&lt;B234),"Invalid",
IF(OR(G234="Unknown",M234="Unknown"),"Warning","Clean"))</f>
        <v>Invalid</v>
      </c>
      <c r="AK234" s="7" t="str">
        <f>IF(C234&lt;B234,"Ship Before Order","OK")</f>
        <v>Ship Before Order</v>
      </c>
      <c r="AL234" s="7" t="str">
        <f>IF(ISNUMBER(B234),"Valid","Invalid")</f>
        <v>Valid</v>
      </c>
      <c r="AM234" s="7" t="str">
        <f t="shared" si="22"/>
        <v>Ok</v>
      </c>
      <c r="AN234" s="7" t="str">
        <f t="shared" si="23"/>
        <v>Ok</v>
      </c>
    </row>
    <row r="235" spans="1:40">
      <c r="A235" t="s">
        <v>807</v>
      </c>
      <c r="B235" s="6">
        <v>45579</v>
      </c>
      <c r="C235" s="4">
        <v>45733</v>
      </c>
      <c r="D235" t="s">
        <v>808</v>
      </c>
      <c r="E235" t="s">
        <v>71</v>
      </c>
      <c r="F235" t="s">
        <v>90</v>
      </c>
      <c r="G235" t="s">
        <v>54</v>
      </c>
      <c r="H235" t="s">
        <v>175</v>
      </c>
      <c r="I235" t="s">
        <v>176</v>
      </c>
      <c r="J235" t="s">
        <v>41</v>
      </c>
      <c r="K235" t="s">
        <v>158</v>
      </c>
      <c r="L235" t="s">
        <v>809</v>
      </c>
      <c r="M235" t="s">
        <v>2785</v>
      </c>
      <c r="N235">
        <v>8</v>
      </c>
      <c r="O235">
        <v>3904.59</v>
      </c>
      <c r="P235">
        <v>0</v>
      </c>
      <c r="Q235" s="7">
        <f>IF(P235="", 0, P235)</f>
        <v>0</v>
      </c>
      <c r="R235">
        <v>31236.720000000001</v>
      </c>
      <c r="S235">
        <v>26377.7</v>
      </c>
      <c r="T235" s="7">
        <f>N235*O235*(1-Q235)</f>
        <v>31236.720000000001</v>
      </c>
      <c r="U235" s="7">
        <f t="shared" si="18"/>
        <v>4859.0200000000004</v>
      </c>
      <c r="V235">
        <v>4859.0200000000004</v>
      </c>
      <c r="W235" s="12">
        <f t="shared" si="19"/>
        <v>0.15555474454424154</v>
      </c>
      <c r="X235" t="s">
        <v>32</v>
      </c>
      <c r="Y235" t="str">
        <f t="shared" si="20"/>
        <v>Paid</v>
      </c>
      <c r="Z235" t="s">
        <v>33</v>
      </c>
      <c r="AA235">
        <f>C235-B235</f>
        <v>154</v>
      </c>
      <c r="AB235" t="str">
        <f>IF(B235="","Missing Order Date",
IF(C235="","Missing Ship Date","OK"))</f>
        <v>OK</v>
      </c>
      <c r="AC235" s="7" t="str">
        <f>IF(C235&lt;B235, "Invalid", "Valid")</f>
        <v>Valid</v>
      </c>
      <c r="AD235" s="7" t="str">
        <f>IF(COUNTIF($A:$A, A235)&gt;1, "Duplicate", "Unique")</f>
        <v>Unique</v>
      </c>
      <c r="AE235" s="7" t="str">
        <f>IF(G235="","Unknown",G235)</f>
        <v>South</v>
      </c>
      <c r="AF235" s="7" t="str">
        <f>IF(M235="","Unknown",M235)</f>
        <v>Unknown</v>
      </c>
      <c r="AG235" s="7" t="str">
        <f>IF(P235&lt;0,"Invalid",
IF(P235&gt;1,"Invalid","Valid"))</f>
        <v>Valid</v>
      </c>
      <c r="AH235" s="7" t="str">
        <f>TEXT(B235,"mmmm")</f>
        <v>October</v>
      </c>
      <c r="AI235" s="7">
        <f t="shared" si="21"/>
        <v>2024</v>
      </c>
      <c r="AJ235" s="7" t="str">
        <f>IF(OR(R235&lt;0,C235&lt;B235),"Invalid",
IF(OR(G235="Unknown",M235="Unknown"),"Warning","Clean"))</f>
        <v>Clean</v>
      </c>
      <c r="AK235" s="7" t="str">
        <f>IF(C235&lt;B235,"Ship Before Order","OK")</f>
        <v>OK</v>
      </c>
      <c r="AL235" s="7" t="str">
        <f>IF(ISNUMBER(B235),"Valid","Invalid")</f>
        <v>Valid</v>
      </c>
      <c r="AM235" s="7" t="str">
        <f t="shared" si="22"/>
        <v>Ok</v>
      </c>
      <c r="AN235" s="7" t="str">
        <f t="shared" si="23"/>
        <v>Ok</v>
      </c>
    </row>
    <row r="236" spans="1:40">
      <c r="A236" t="s">
        <v>810</v>
      </c>
      <c r="B236" s="6">
        <v>45331</v>
      </c>
      <c r="C236" s="4">
        <v>45734</v>
      </c>
      <c r="D236" t="s">
        <v>811</v>
      </c>
      <c r="E236" t="s">
        <v>264</v>
      </c>
      <c r="F236" t="s">
        <v>95</v>
      </c>
      <c r="G236" t="s">
        <v>25</v>
      </c>
      <c r="H236" t="s">
        <v>350</v>
      </c>
      <c r="I236" t="s">
        <v>351</v>
      </c>
      <c r="J236" t="s">
        <v>41</v>
      </c>
      <c r="K236" t="s">
        <v>57</v>
      </c>
      <c r="L236" t="s">
        <v>812</v>
      </c>
      <c r="M236" t="s">
        <v>50</v>
      </c>
      <c r="N236">
        <v>9</v>
      </c>
      <c r="O236">
        <v>1353.61</v>
      </c>
      <c r="P236">
        <v>0.1</v>
      </c>
      <c r="Q236" s="7">
        <f>IF(P236="", 0, P236)</f>
        <v>0.1</v>
      </c>
      <c r="R236">
        <v>10964.24</v>
      </c>
      <c r="S236">
        <v>9262.4699999999993</v>
      </c>
      <c r="T236" s="7">
        <f>N236*O236*(1-Q236)</f>
        <v>10964.241</v>
      </c>
      <c r="U236" s="7">
        <f t="shared" si="18"/>
        <v>1701.7710000000006</v>
      </c>
      <c r="V236">
        <v>1701.77</v>
      </c>
      <c r="W236" s="12">
        <f t="shared" si="19"/>
        <v>0.15521101734265058</v>
      </c>
      <c r="X236" t="s">
        <v>32</v>
      </c>
      <c r="Y236" t="str">
        <f t="shared" si="20"/>
        <v>Paid</v>
      </c>
      <c r="Z236" t="s">
        <v>33</v>
      </c>
      <c r="AA236">
        <f>C236-B236</f>
        <v>403</v>
      </c>
      <c r="AB236" t="str">
        <f>IF(B236="","Missing Order Date",
IF(C236="","Missing Ship Date","OK"))</f>
        <v>OK</v>
      </c>
      <c r="AC236" s="7" t="str">
        <f>IF(C236&lt;B236, "Invalid", "Valid")</f>
        <v>Valid</v>
      </c>
      <c r="AD236" s="7" t="str">
        <f>IF(COUNTIF($A:$A, A236)&gt;1, "Duplicate", "Unique")</f>
        <v>Unique</v>
      </c>
      <c r="AE236" s="7" t="str">
        <f>IF(G236="","Unknown",G236)</f>
        <v>North</v>
      </c>
      <c r="AF236" s="7" t="str">
        <f>IF(M236="","Unknown",M236)</f>
        <v>First Class</v>
      </c>
      <c r="AG236" s="7" t="str">
        <f>IF(P236&lt;0,"Invalid",
IF(P236&gt;1,"Invalid","Valid"))</f>
        <v>Valid</v>
      </c>
      <c r="AH236" s="7" t="str">
        <f>TEXT(B236,"mmmm")</f>
        <v>February</v>
      </c>
      <c r="AI236" s="7">
        <f t="shared" si="21"/>
        <v>2024</v>
      </c>
      <c r="AJ236" s="7" t="str">
        <f>IF(OR(R236&lt;0,C236&lt;B236),"Invalid",
IF(OR(G236="Unknown",M236="Unknown"),"Warning","Clean"))</f>
        <v>Clean</v>
      </c>
      <c r="AK236" s="7" t="str">
        <f>IF(C236&lt;B236,"Ship Before Order","OK")</f>
        <v>OK</v>
      </c>
      <c r="AL236" s="7" t="str">
        <f>IF(ISNUMBER(B236),"Valid","Invalid")</f>
        <v>Valid</v>
      </c>
      <c r="AM236" s="7" t="str">
        <f t="shared" si="22"/>
        <v>Missmatched</v>
      </c>
      <c r="AN236" s="7" t="str">
        <f t="shared" si="23"/>
        <v>Missmatched</v>
      </c>
    </row>
    <row r="237" spans="1:40">
      <c r="A237" t="s">
        <v>813</v>
      </c>
      <c r="B237" s="6">
        <v>45333</v>
      </c>
      <c r="C237" s="4">
        <v>45735</v>
      </c>
      <c r="D237" t="s">
        <v>814</v>
      </c>
      <c r="E237" t="s">
        <v>118</v>
      </c>
      <c r="F237" t="s">
        <v>37</v>
      </c>
      <c r="G237" t="s">
        <v>63</v>
      </c>
      <c r="H237" t="s">
        <v>26</v>
      </c>
      <c r="I237" t="s">
        <v>109</v>
      </c>
      <c r="J237" t="s">
        <v>28</v>
      </c>
      <c r="K237" t="s">
        <v>124</v>
      </c>
      <c r="L237" t="s">
        <v>815</v>
      </c>
      <c r="M237" t="s">
        <v>59</v>
      </c>
      <c r="N237">
        <v>6</v>
      </c>
      <c r="O237">
        <v>2671.29</v>
      </c>
      <c r="P237">
        <v>0.05</v>
      </c>
      <c r="Q237" s="7">
        <f>IF(P237="", 0, P237)</f>
        <v>0.05</v>
      </c>
      <c r="R237">
        <v>15226.35</v>
      </c>
      <c r="S237">
        <v>11145.28</v>
      </c>
      <c r="T237" s="7">
        <f>N237*O237*(1-Q237)</f>
        <v>15226.352999999999</v>
      </c>
      <c r="U237" s="7">
        <f t="shared" si="18"/>
        <v>4081.0729999999985</v>
      </c>
      <c r="V237">
        <v>4081.07</v>
      </c>
      <c r="W237" s="12">
        <f t="shared" si="19"/>
        <v>0.26802695300706603</v>
      </c>
      <c r="X237" t="s">
        <v>32</v>
      </c>
      <c r="Y237" t="str">
        <f t="shared" si="20"/>
        <v>Paid</v>
      </c>
      <c r="Z237" t="s">
        <v>33</v>
      </c>
      <c r="AA237">
        <f>C237-B237</f>
        <v>402</v>
      </c>
      <c r="AB237" t="str">
        <f>IF(B237="","Missing Order Date",
IF(C237="","Missing Ship Date","OK"))</f>
        <v>OK</v>
      </c>
      <c r="AC237" s="7" t="str">
        <f>IF(C237&lt;B237, "Invalid", "Valid")</f>
        <v>Valid</v>
      </c>
      <c r="AD237" s="7" t="str">
        <f>IF(COUNTIF($A:$A, A237)&gt;1, "Duplicate", "Unique")</f>
        <v>Unique</v>
      </c>
      <c r="AE237" s="7" t="str">
        <f>IF(G237="","Unknown",G237)</f>
        <v>West</v>
      </c>
      <c r="AF237" s="7" t="str">
        <f>IF(M237="","Unknown",M237)</f>
        <v>Standard Class</v>
      </c>
      <c r="AG237" s="7" t="str">
        <f>IF(P237&lt;0,"Invalid",
IF(P237&gt;1,"Invalid","Valid"))</f>
        <v>Valid</v>
      </c>
      <c r="AH237" s="7" t="str">
        <f>TEXT(B237,"mmmm")</f>
        <v>February</v>
      </c>
      <c r="AI237" s="7">
        <f t="shared" si="21"/>
        <v>2024</v>
      </c>
      <c r="AJ237" s="7" t="str">
        <f>IF(OR(R237&lt;0,C237&lt;B237),"Invalid",
IF(OR(G237="Unknown",M237="Unknown"),"Warning","Clean"))</f>
        <v>Clean</v>
      </c>
      <c r="AK237" s="7" t="str">
        <f>IF(C237&lt;B237,"Ship Before Order","OK")</f>
        <v>OK</v>
      </c>
      <c r="AL237" s="7" t="str">
        <f>IF(ISNUMBER(B237),"Valid","Invalid")</f>
        <v>Valid</v>
      </c>
      <c r="AM237" s="7" t="str">
        <f t="shared" si="22"/>
        <v>Missmatched</v>
      </c>
      <c r="AN237" s="7" t="str">
        <f t="shared" si="23"/>
        <v>Missmatched</v>
      </c>
    </row>
    <row r="238" spans="1:40">
      <c r="A238" t="s">
        <v>816</v>
      </c>
      <c r="B238" s="6">
        <v>45579</v>
      </c>
      <c r="C238" s="4">
        <v>45736</v>
      </c>
      <c r="D238" t="s">
        <v>817</v>
      </c>
      <c r="E238" t="s">
        <v>114</v>
      </c>
      <c r="F238" t="s">
        <v>90</v>
      </c>
      <c r="G238" t="s">
        <v>25</v>
      </c>
      <c r="H238" t="s">
        <v>136</v>
      </c>
      <c r="I238" t="s">
        <v>137</v>
      </c>
      <c r="J238" t="s">
        <v>41</v>
      </c>
      <c r="K238" t="s">
        <v>158</v>
      </c>
      <c r="L238" t="s">
        <v>818</v>
      </c>
      <c r="M238" t="s">
        <v>50</v>
      </c>
      <c r="N238">
        <v>6</v>
      </c>
      <c r="O238">
        <v>4062.78</v>
      </c>
      <c r="P238">
        <v>0</v>
      </c>
      <c r="Q238" s="7">
        <f>IF(P238="", 0, P238)</f>
        <v>0</v>
      </c>
      <c r="R238">
        <v>24376.68</v>
      </c>
      <c r="S238">
        <v>18533.39</v>
      </c>
      <c r="T238" s="7">
        <f>N238*O238*(1-Q238)</f>
        <v>24376.68</v>
      </c>
      <c r="U238" s="7">
        <f t="shared" si="18"/>
        <v>5843.2900000000009</v>
      </c>
      <c r="V238">
        <v>5843.29</v>
      </c>
      <c r="W238" s="12">
        <f t="shared" si="19"/>
        <v>0.23970819652224998</v>
      </c>
      <c r="X238" t="s">
        <v>32</v>
      </c>
      <c r="Y238" t="str">
        <f t="shared" si="20"/>
        <v>Paid</v>
      </c>
      <c r="Z238" t="s">
        <v>33</v>
      </c>
      <c r="AA238">
        <f>C238-B238</f>
        <v>157</v>
      </c>
      <c r="AB238" t="str">
        <f>IF(B238="","Missing Order Date",
IF(C238="","Missing Ship Date","OK"))</f>
        <v>OK</v>
      </c>
      <c r="AC238" s="7" t="str">
        <f>IF(C238&lt;B238, "Invalid", "Valid")</f>
        <v>Valid</v>
      </c>
      <c r="AD238" s="7" t="str">
        <f>IF(COUNTIF($A:$A, A238)&gt;1, "Duplicate", "Unique")</f>
        <v>Unique</v>
      </c>
      <c r="AE238" s="7" t="str">
        <f>IF(G238="","Unknown",G238)</f>
        <v>North</v>
      </c>
      <c r="AF238" s="7" t="str">
        <f>IF(M238="","Unknown",M238)</f>
        <v>First Class</v>
      </c>
      <c r="AG238" s="7" t="str">
        <f>IF(P238&lt;0,"Invalid",
IF(P238&gt;1,"Invalid","Valid"))</f>
        <v>Valid</v>
      </c>
      <c r="AH238" s="7" t="str">
        <f>TEXT(B238,"mmmm")</f>
        <v>October</v>
      </c>
      <c r="AI238" s="7">
        <f t="shared" si="21"/>
        <v>2024</v>
      </c>
      <c r="AJ238" s="7" t="str">
        <f>IF(OR(R238&lt;0,C238&lt;B238),"Invalid",
IF(OR(G238="Unknown",M238="Unknown"),"Warning","Clean"))</f>
        <v>Clean</v>
      </c>
      <c r="AK238" s="7" t="str">
        <f>IF(C238&lt;B238,"Ship Before Order","OK")</f>
        <v>OK</v>
      </c>
      <c r="AL238" s="7" t="str">
        <f>IF(ISNUMBER(B238),"Valid","Invalid")</f>
        <v>Valid</v>
      </c>
      <c r="AM238" s="7" t="str">
        <f t="shared" si="22"/>
        <v>Ok</v>
      </c>
      <c r="AN238" s="7" t="str">
        <f t="shared" si="23"/>
        <v>Ok</v>
      </c>
    </row>
    <row r="239" spans="1:40">
      <c r="A239" t="s">
        <v>819</v>
      </c>
      <c r="B239" s="6">
        <v>45531</v>
      </c>
      <c r="C239" s="4">
        <v>45737</v>
      </c>
      <c r="D239" t="s">
        <v>820</v>
      </c>
      <c r="E239" t="s">
        <v>36</v>
      </c>
      <c r="F239" t="s">
        <v>24</v>
      </c>
      <c r="G239" t="s">
        <v>25</v>
      </c>
      <c r="H239" t="s">
        <v>236</v>
      </c>
      <c r="I239" t="s">
        <v>237</v>
      </c>
      <c r="J239" t="s">
        <v>74</v>
      </c>
      <c r="K239" t="s">
        <v>80</v>
      </c>
      <c r="L239" t="s">
        <v>821</v>
      </c>
      <c r="M239" t="s">
        <v>59</v>
      </c>
      <c r="N239">
        <v>9</v>
      </c>
      <c r="O239">
        <v>2330.3000000000002</v>
      </c>
      <c r="P239">
        <v>0</v>
      </c>
      <c r="Q239" s="7">
        <f>IF(P239="", 0, P239)</f>
        <v>0</v>
      </c>
      <c r="R239">
        <v>20972.7</v>
      </c>
      <c r="S239">
        <v>13504.88</v>
      </c>
      <c r="T239" s="7">
        <f>N239*O239*(1-Q239)</f>
        <v>20972.7</v>
      </c>
      <c r="U239" s="7">
        <f t="shared" si="18"/>
        <v>7467.8200000000015</v>
      </c>
      <c r="V239">
        <v>7467.82</v>
      </c>
      <c r="W239" s="12">
        <f t="shared" si="19"/>
        <v>0.35607337157352181</v>
      </c>
      <c r="X239" t="s">
        <v>32</v>
      </c>
      <c r="Y239" t="str">
        <f t="shared" si="20"/>
        <v>Paid</v>
      </c>
      <c r="Z239" t="s">
        <v>33</v>
      </c>
      <c r="AA239">
        <f>C239-B239</f>
        <v>206</v>
      </c>
      <c r="AB239" t="str">
        <f>IF(B239="","Missing Order Date",
IF(C239="","Missing Ship Date","OK"))</f>
        <v>OK</v>
      </c>
      <c r="AC239" s="7" t="str">
        <f>IF(C239&lt;B239, "Invalid", "Valid")</f>
        <v>Valid</v>
      </c>
      <c r="AD239" s="7" t="str">
        <f>IF(COUNTIF($A:$A, A239)&gt;1, "Duplicate", "Unique")</f>
        <v>Unique</v>
      </c>
      <c r="AE239" s="7" t="str">
        <f>IF(G239="","Unknown",G239)</f>
        <v>North</v>
      </c>
      <c r="AF239" s="7" t="str">
        <f>IF(M239="","Unknown",M239)</f>
        <v>Standard Class</v>
      </c>
      <c r="AG239" s="7" t="str">
        <f>IF(P239&lt;0,"Invalid",
IF(P239&gt;1,"Invalid","Valid"))</f>
        <v>Valid</v>
      </c>
      <c r="AH239" s="7" t="str">
        <f>TEXT(B239,"mmmm")</f>
        <v>August</v>
      </c>
      <c r="AI239" s="7">
        <f t="shared" si="21"/>
        <v>2024</v>
      </c>
      <c r="AJ239" s="7" t="str">
        <f>IF(OR(R239&lt;0,C239&lt;B239),"Invalid",
IF(OR(G239="Unknown",M239="Unknown"),"Warning","Clean"))</f>
        <v>Clean</v>
      </c>
      <c r="AK239" s="7" t="str">
        <f>IF(C239&lt;B239,"Ship Before Order","OK")</f>
        <v>OK</v>
      </c>
      <c r="AL239" s="7" t="str">
        <f>IF(ISNUMBER(B239),"Valid","Invalid")</f>
        <v>Valid</v>
      </c>
      <c r="AM239" s="7" t="str">
        <f t="shared" si="22"/>
        <v>Ok</v>
      </c>
      <c r="AN239" s="7" t="str">
        <f t="shared" si="23"/>
        <v>Ok</v>
      </c>
    </row>
    <row r="240" spans="1:40">
      <c r="A240" t="s">
        <v>822</v>
      </c>
      <c r="B240" s="6">
        <v>45627</v>
      </c>
      <c r="C240" s="4">
        <v>45738</v>
      </c>
      <c r="D240" t="s">
        <v>823</v>
      </c>
      <c r="E240" t="s">
        <v>53</v>
      </c>
      <c r="F240" t="s">
        <v>24</v>
      </c>
      <c r="G240" t="s">
        <v>54</v>
      </c>
      <c r="H240" t="s">
        <v>84</v>
      </c>
      <c r="I240" t="s">
        <v>85</v>
      </c>
      <c r="J240" t="s">
        <v>28</v>
      </c>
      <c r="K240" t="s">
        <v>124</v>
      </c>
      <c r="L240" t="s">
        <v>824</v>
      </c>
      <c r="M240" t="s">
        <v>50</v>
      </c>
      <c r="N240">
        <v>7</v>
      </c>
      <c r="O240">
        <v>4005.05</v>
      </c>
      <c r="P240">
        <v>0.55000000000000004</v>
      </c>
      <c r="Q240" s="7">
        <f>IF(P240="", 0, P240)</f>
        <v>0.55000000000000004</v>
      </c>
      <c r="R240">
        <v>26633.58</v>
      </c>
      <c r="S240">
        <v>18838.75</v>
      </c>
      <c r="T240" s="7">
        <f>N240*O240*(1-Q240)</f>
        <v>12615.907499999999</v>
      </c>
      <c r="U240" s="7">
        <f t="shared" si="18"/>
        <v>-6222.8425000000007</v>
      </c>
      <c r="V240">
        <v>7794.83</v>
      </c>
      <c r="W240" s="12">
        <f t="shared" si="19"/>
        <v>-0.4932536561480021</v>
      </c>
      <c r="X240" t="s">
        <v>32</v>
      </c>
      <c r="Y240" t="str">
        <f t="shared" si="20"/>
        <v>Paid</v>
      </c>
      <c r="Z240" t="s">
        <v>33</v>
      </c>
      <c r="AA240">
        <f>C240-B240</f>
        <v>111</v>
      </c>
      <c r="AB240" t="str">
        <f>IF(B240="","Missing Order Date",
IF(C240="","Missing Ship Date","OK"))</f>
        <v>OK</v>
      </c>
      <c r="AC240" s="7" t="str">
        <f>IF(C240&lt;B240, "Invalid", "Valid")</f>
        <v>Valid</v>
      </c>
      <c r="AD240" s="7" t="str">
        <f>IF(COUNTIF($A:$A, A240)&gt;1, "Duplicate", "Unique")</f>
        <v>Unique</v>
      </c>
      <c r="AE240" s="7" t="str">
        <f>IF(G240="","Unknown",G240)</f>
        <v>South</v>
      </c>
      <c r="AF240" s="7" t="str">
        <f>IF(M240="","Unknown",M240)</f>
        <v>First Class</v>
      </c>
      <c r="AG240" s="7" t="str">
        <f>IF(P240&lt;0,"Invalid",
IF(P240&gt;1,"Invalid","Valid"))</f>
        <v>Valid</v>
      </c>
      <c r="AH240" s="7" t="str">
        <f>TEXT(B240,"mmmm")</f>
        <v>December</v>
      </c>
      <c r="AI240" s="7">
        <f t="shared" si="21"/>
        <v>2024</v>
      </c>
      <c r="AJ240" s="7" t="str">
        <f>IF(OR(R240&lt;0,C240&lt;B240),"Invalid",
IF(OR(G240="Unknown",M240="Unknown"),"Warning","Clean"))</f>
        <v>Clean</v>
      </c>
      <c r="AK240" s="7" t="str">
        <f>IF(C240&lt;B240,"Ship Before Order","OK")</f>
        <v>OK</v>
      </c>
      <c r="AL240" s="7" t="str">
        <f>IF(ISNUMBER(B240),"Valid","Invalid")</f>
        <v>Valid</v>
      </c>
      <c r="AM240" s="7" t="str">
        <f t="shared" si="22"/>
        <v>Missmatched</v>
      </c>
      <c r="AN240" s="7" t="str">
        <f t="shared" si="23"/>
        <v>Missmatched</v>
      </c>
    </row>
    <row r="241" spans="1:40">
      <c r="A241" t="s">
        <v>825</v>
      </c>
      <c r="B241" s="6">
        <v>45556</v>
      </c>
      <c r="C241" s="4">
        <v>45739</v>
      </c>
      <c r="D241" t="s">
        <v>826</v>
      </c>
      <c r="E241" t="s">
        <v>264</v>
      </c>
      <c r="F241" t="s">
        <v>90</v>
      </c>
      <c r="G241" t="s">
        <v>54</v>
      </c>
      <c r="H241" t="s">
        <v>175</v>
      </c>
      <c r="I241" t="s">
        <v>176</v>
      </c>
      <c r="J241" t="s">
        <v>74</v>
      </c>
      <c r="K241" t="s">
        <v>274</v>
      </c>
      <c r="L241" t="s">
        <v>827</v>
      </c>
      <c r="M241" t="s">
        <v>50</v>
      </c>
      <c r="N241">
        <v>2</v>
      </c>
      <c r="O241">
        <v>1960.06</v>
      </c>
      <c r="P241">
        <v>0.2</v>
      </c>
      <c r="Q241" s="7">
        <f>IF(P241="", 0, P241)</f>
        <v>0.2</v>
      </c>
      <c r="R241">
        <v>3136.1</v>
      </c>
      <c r="S241">
        <v>2279.4899999999998</v>
      </c>
      <c r="T241" s="7">
        <f>N241*O241*(1-Q241)</f>
        <v>3136.096</v>
      </c>
      <c r="U241" s="7">
        <f t="shared" si="18"/>
        <v>856.60600000000022</v>
      </c>
      <c r="V241">
        <v>856.61</v>
      </c>
      <c r="W241" s="12">
        <f t="shared" si="19"/>
        <v>0.273144061916472</v>
      </c>
      <c r="X241" t="s">
        <v>32</v>
      </c>
      <c r="Y241" t="str">
        <f t="shared" si="20"/>
        <v>Paid</v>
      </c>
      <c r="Z241" t="s">
        <v>33</v>
      </c>
      <c r="AA241">
        <f>C241-B241</f>
        <v>183</v>
      </c>
      <c r="AB241" t="str">
        <f>IF(B241="","Missing Order Date",
IF(C241="","Missing Ship Date","OK"))</f>
        <v>OK</v>
      </c>
      <c r="AC241" s="7" t="str">
        <f>IF(C241&lt;B241, "Invalid", "Valid")</f>
        <v>Valid</v>
      </c>
      <c r="AD241" s="7" t="str">
        <f>IF(COUNTIF($A:$A, A241)&gt;1, "Duplicate", "Unique")</f>
        <v>Unique</v>
      </c>
      <c r="AE241" s="7" t="str">
        <f>IF(G241="","Unknown",G241)</f>
        <v>South</v>
      </c>
      <c r="AF241" s="7" t="str">
        <f>IF(M241="","Unknown",M241)</f>
        <v>First Class</v>
      </c>
      <c r="AG241" s="7" t="str">
        <f>IF(P241&lt;0,"Invalid",
IF(P241&gt;1,"Invalid","Valid"))</f>
        <v>Valid</v>
      </c>
      <c r="AH241" s="7" t="str">
        <f>TEXT(B241,"mmmm")</f>
        <v>September</v>
      </c>
      <c r="AI241" s="7">
        <f t="shared" si="21"/>
        <v>2024</v>
      </c>
      <c r="AJ241" s="7" t="str">
        <f>IF(OR(R241&lt;0,C241&lt;B241),"Invalid",
IF(OR(G241="Unknown",M241="Unknown"),"Warning","Clean"))</f>
        <v>Clean</v>
      </c>
      <c r="AK241" s="7" t="str">
        <f>IF(C241&lt;B241,"Ship Before Order","OK")</f>
        <v>OK</v>
      </c>
      <c r="AL241" s="7" t="str">
        <f>IF(ISNUMBER(B241),"Valid","Invalid")</f>
        <v>Valid</v>
      </c>
      <c r="AM241" s="7" t="str">
        <f t="shared" si="22"/>
        <v>Missmatched</v>
      </c>
      <c r="AN241" s="7" t="str">
        <f t="shared" si="23"/>
        <v>Missmatched</v>
      </c>
    </row>
    <row r="242" spans="1:40">
      <c r="A242" t="s">
        <v>828</v>
      </c>
      <c r="B242" s="6">
        <v>45643</v>
      </c>
      <c r="C242" s="4">
        <v>45740</v>
      </c>
      <c r="D242" t="s">
        <v>829</v>
      </c>
      <c r="E242" t="s">
        <v>128</v>
      </c>
      <c r="F242" t="s">
        <v>90</v>
      </c>
      <c r="G242" t="s">
        <v>54</v>
      </c>
      <c r="H242" t="s">
        <v>55</v>
      </c>
      <c r="I242" t="s">
        <v>56</v>
      </c>
      <c r="J242" t="s">
        <v>28</v>
      </c>
      <c r="K242" t="s">
        <v>153</v>
      </c>
      <c r="L242" t="s">
        <v>830</v>
      </c>
      <c r="M242" t="s">
        <v>50</v>
      </c>
      <c r="N242">
        <v>9</v>
      </c>
      <c r="O242">
        <v>2315.1</v>
      </c>
      <c r="P242">
        <v>0</v>
      </c>
      <c r="Q242" s="7">
        <f>IF(P242="", 0, P242)</f>
        <v>0</v>
      </c>
      <c r="R242">
        <v>20835.900000000001</v>
      </c>
      <c r="S242">
        <v>13928.19</v>
      </c>
      <c r="T242" s="7">
        <f>N242*O242*(1-Q242)</f>
        <v>20835.899999999998</v>
      </c>
      <c r="U242" s="7">
        <f t="shared" si="18"/>
        <v>6907.7099999999973</v>
      </c>
      <c r="V242">
        <v>6907.71</v>
      </c>
      <c r="W242" s="12">
        <f t="shared" si="19"/>
        <v>0.33152923559817421</v>
      </c>
      <c r="X242" t="s">
        <v>32</v>
      </c>
      <c r="Y242" t="str">
        <f t="shared" si="20"/>
        <v>Paid</v>
      </c>
      <c r="Z242" t="s">
        <v>33</v>
      </c>
      <c r="AA242">
        <f>C242-B242</f>
        <v>97</v>
      </c>
      <c r="AB242" t="str">
        <f>IF(B242="","Missing Order Date",
IF(C242="","Missing Ship Date","OK"))</f>
        <v>OK</v>
      </c>
      <c r="AC242" s="7" t="str">
        <f>IF(C242&lt;B242, "Invalid", "Valid")</f>
        <v>Valid</v>
      </c>
      <c r="AD242" s="7" t="str">
        <f>IF(COUNTIF($A:$A, A242)&gt;1, "Duplicate", "Unique")</f>
        <v>Unique</v>
      </c>
      <c r="AE242" s="7" t="str">
        <f>IF(G242="","Unknown",G242)</f>
        <v>South</v>
      </c>
      <c r="AF242" s="7" t="str">
        <f>IF(M242="","Unknown",M242)</f>
        <v>First Class</v>
      </c>
      <c r="AG242" s="7" t="str">
        <f>IF(P242&lt;0,"Invalid",
IF(P242&gt;1,"Invalid","Valid"))</f>
        <v>Valid</v>
      </c>
      <c r="AH242" s="7" t="str">
        <f>TEXT(B242,"mmmm")</f>
        <v>December</v>
      </c>
      <c r="AI242" s="7">
        <f t="shared" si="21"/>
        <v>2024</v>
      </c>
      <c r="AJ242" s="7" t="str">
        <f>IF(OR(R242&lt;0,C242&lt;B242),"Invalid",
IF(OR(G242="Unknown",M242="Unknown"),"Warning","Clean"))</f>
        <v>Clean</v>
      </c>
      <c r="AK242" s="7" t="str">
        <f>IF(C242&lt;B242,"Ship Before Order","OK")</f>
        <v>OK</v>
      </c>
      <c r="AL242" s="7" t="str">
        <f>IF(ISNUMBER(B242),"Valid","Invalid")</f>
        <v>Valid</v>
      </c>
      <c r="AM242" s="7" t="str">
        <f t="shared" si="22"/>
        <v>Ok</v>
      </c>
      <c r="AN242" s="7" t="str">
        <f t="shared" si="23"/>
        <v>Ok</v>
      </c>
    </row>
    <row r="243" spans="1:40">
      <c r="A243" t="s">
        <v>831</v>
      </c>
      <c r="B243" s="6">
        <v>45815</v>
      </c>
      <c r="C243" s="4">
        <v>45741</v>
      </c>
      <c r="D243" t="s">
        <v>832</v>
      </c>
      <c r="E243" t="s">
        <v>132</v>
      </c>
      <c r="F243" t="s">
        <v>90</v>
      </c>
      <c r="G243" t="s">
        <v>25</v>
      </c>
      <c r="H243" t="s">
        <v>236</v>
      </c>
      <c r="I243" t="s">
        <v>237</v>
      </c>
      <c r="J243" t="s">
        <v>28</v>
      </c>
      <c r="K243" t="s">
        <v>124</v>
      </c>
      <c r="L243" t="s">
        <v>833</v>
      </c>
      <c r="M243" t="s">
        <v>59</v>
      </c>
      <c r="N243">
        <v>1</v>
      </c>
      <c r="O243">
        <v>1617.2</v>
      </c>
      <c r="P243">
        <v>0.25</v>
      </c>
      <c r="Q243" s="7">
        <f>IF(P243="", 0, P243)</f>
        <v>0.25</v>
      </c>
      <c r="R243">
        <v>1212.9000000000001</v>
      </c>
      <c r="S243">
        <v>690.52</v>
      </c>
      <c r="T243" s="7">
        <f>N243*O243*(1-Q243)</f>
        <v>1212.9000000000001</v>
      </c>
      <c r="U243" s="7">
        <f t="shared" si="18"/>
        <v>522.38000000000011</v>
      </c>
      <c r="V243">
        <v>522.38</v>
      </c>
      <c r="W243" s="12">
        <f t="shared" si="19"/>
        <v>0.4306867837414462</v>
      </c>
      <c r="X243" t="s">
        <v>111</v>
      </c>
      <c r="Y243" t="str">
        <f t="shared" si="20"/>
        <v>Pending</v>
      </c>
      <c r="Z243" t="s">
        <v>103</v>
      </c>
      <c r="AA243">
        <f>C243-B243</f>
        <v>-74</v>
      </c>
      <c r="AB243" t="str">
        <f>IF(B243="","Missing Order Date",
IF(C243="","Missing Ship Date","OK"))</f>
        <v>OK</v>
      </c>
      <c r="AC243" s="7" t="str">
        <f>IF(C243&lt;B243, "Invalid", "Valid")</f>
        <v>Invalid</v>
      </c>
      <c r="AD243" s="7" t="str">
        <f>IF(COUNTIF($A:$A, A243)&gt;1, "Duplicate", "Unique")</f>
        <v>Unique</v>
      </c>
      <c r="AE243" s="7" t="str">
        <f>IF(G243="","Unknown",G243)</f>
        <v>North</v>
      </c>
      <c r="AF243" s="7" t="str">
        <f>IF(M243="","Unknown",M243)</f>
        <v>Standard Class</v>
      </c>
      <c r="AG243" s="7" t="str">
        <f>IF(P243&lt;0,"Invalid",
IF(P243&gt;1,"Invalid","Valid"))</f>
        <v>Valid</v>
      </c>
      <c r="AH243" s="7" t="str">
        <f>TEXT(B243,"mmmm")</f>
        <v>June</v>
      </c>
      <c r="AI243" s="7">
        <f t="shared" si="21"/>
        <v>2025</v>
      </c>
      <c r="AJ243" s="7" t="str">
        <f>IF(OR(R243&lt;0,C243&lt;B243),"Invalid",
IF(OR(G243="Unknown",M243="Unknown"),"Warning","Clean"))</f>
        <v>Invalid</v>
      </c>
      <c r="AK243" s="7" t="str">
        <f>IF(C243&lt;B243,"Ship Before Order","OK")</f>
        <v>Ship Before Order</v>
      </c>
      <c r="AL243" s="7" t="str">
        <f>IF(ISNUMBER(B243),"Valid","Invalid")</f>
        <v>Valid</v>
      </c>
      <c r="AM243" s="7" t="str">
        <f t="shared" si="22"/>
        <v>Ok</v>
      </c>
      <c r="AN243" s="7" t="str">
        <f t="shared" si="23"/>
        <v>Ok</v>
      </c>
    </row>
    <row r="244" spans="1:40">
      <c r="A244" t="s">
        <v>834</v>
      </c>
      <c r="B244" s="6">
        <v>45840</v>
      </c>
      <c r="C244" s="4">
        <v>45742</v>
      </c>
      <c r="D244" t="s">
        <v>835</v>
      </c>
      <c r="E244" t="s">
        <v>53</v>
      </c>
      <c r="F244" t="s">
        <v>24</v>
      </c>
      <c r="G244" t="s">
        <v>25</v>
      </c>
      <c r="H244" t="s">
        <v>136</v>
      </c>
      <c r="I244" t="s">
        <v>137</v>
      </c>
      <c r="J244" t="s">
        <v>28</v>
      </c>
      <c r="K244" t="s">
        <v>48</v>
      </c>
      <c r="L244" t="s">
        <v>836</v>
      </c>
      <c r="M244" t="s">
        <v>31</v>
      </c>
      <c r="N244">
        <v>3</v>
      </c>
      <c r="O244">
        <v>1999.24</v>
      </c>
      <c r="P244">
        <v>0.05</v>
      </c>
      <c r="Q244" s="7">
        <f>IF(P244="", 0, P244)</f>
        <v>0.05</v>
      </c>
      <c r="R244">
        <v>5697.83</v>
      </c>
      <c r="S244">
        <v>4251.5</v>
      </c>
      <c r="T244" s="7">
        <f>N244*O244*(1-Q244)</f>
        <v>5697.8339999999998</v>
      </c>
      <c r="U244" s="7">
        <f t="shared" si="18"/>
        <v>1446.3339999999998</v>
      </c>
      <c r="V244">
        <v>1446.33</v>
      </c>
      <c r="W244" s="12">
        <f t="shared" si="19"/>
        <v>0.25383926593860051</v>
      </c>
      <c r="X244" t="s">
        <v>32</v>
      </c>
      <c r="Y244" t="str">
        <f t="shared" si="20"/>
        <v>Paid</v>
      </c>
      <c r="Z244" t="s">
        <v>33</v>
      </c>
      <c r="AA244">
        <f>C244-B244</f>
        <v>-98</v>
      </c>
      <c r="AB244" t="str">
        <f>IF(B244="","Missing Order Date",
IF(C244="","Missing Ship Date","OK"))</f>
        <v>OK</v>
      </c>
      <c r="AC244" s="7" t="str">
        <f>IF(C244&lt;B244, "Invalid", "Valid")</f>
        <v>Invalid</v>
      </c>
      <c r="AD244" s="7" t="str">
        <f>IF(COUNTIF($A:$A, A244)&gt;1, "Duplicate", "Unique")</f>
        <v>Unique</v>
      </c>
      <c r="AE244" s="7" t="str">
        <f>IF(G244="","Unknown",G244)</f>
        <v>North</v>
      </c>
      <c r="AF244" s="7" t="str">
        <f>IF(M244="","Unknown",M244)</f>
        <v>Second Class</v>
      </c>
      <c r="AG244" s="7" t="str">
        <f>IF(P244&lt;0,"Invalid",
IF(P244&gt;1,"Invalid","Valid"))</f>
        <v>Valid</v>
      </c>
      <c r="AH244" s="7" t="str">
        <f>TEXT(B244,"mmmm")</f>
        <v>July</v>
      </c>
      <c r="AI244" s="7">
        <f t="shared" si="21"/>
        <v>2025</v>
      </c>
      <c r="AJ244" s="7" t="str">
        <f>IF(OR(R244&lt;0,C244&lt;B244),"Invalid",
IF(OR(G244="Unknown",M244="Unknown"),"Warning","Clean"))</f>
        <v>Invalid</v>
      </c>
      <c r="AK244" s="7" t="str">
        <f>IF(C244&lt;B244,"Ship Before Order","OK")</f>
        <v>Ship Before Order</v>
      </c>
      <c r="AL244" s="7" t="str">
        <f>IF(ISNUMBER(B244),"Valid","Invalid")</f>
        <v>Valid</v>
      </c>
      <c r="AM244" s="7" t="str">
        <f t="shared" si="22"/>
        <v>Missmatched</v>
      </c>
      <c r="AN244" s="7" t="str">
        <f t="shared" si="23"/>
        <v>Missmatched</v>
      </c>
    </row>
    <row r="245" spans="1:40">
      <c r="A245" t="s">
        <v>837</v>
      </c>
      <c r="B245" s="6">
        <v>45867</v>
      </c>
      <c r="C245" s="4">
        <v>45743</v>
      </c>
      <c r="D245" t="s">
        <v>838</v>
      </c>
      <c r="E245" t="s">
        <v>132</v>
      </c>
      <c r="F245" t="s">
        <v>37</v>
      </c>
      <c r="G245" t="s">
        <v>2785</v>
      </c>
      <c r="H245" t="s">
        <v>72</v>
      </c>
      <c r="I245" t="s">
        <v>73</v>
      </c>
      <c r="J245" t="s">
        <v>74</v>
      </c>
      <c r="K245" t="s">
        <v>75</v>
      </c>
      <c r="L245" t="s">
        <v>839</v>
      </c>
      <c r="M245" t="s">
        <v>50</v>
      </c>
      <c r="N245">
        <v>1</v>
      </c>
      <c r="O245">
        <v>4499.46</v>
      </c>
      <c r="P245">
        <v>0.1</v>
      </c>
      <c r="Q245" s="7">
        <f>IF(P245="", 0, P245)</f>
        <v>0.1</v>
      </c>
      <c r="R245">
        <v>4049.51</v>
      </c>
      <c r="S245">
        <v>2509.1999999999998</v>
      </c>
      <c r="T245" s="7">
        <f>N245*O245*(1-Q245)</f>
        <v>4049.5140000000001</v>
      </c>
      <c r="U245" s="7">
        <f t="shared" si="18"/>
        <v>1540.3140000000003</v>
      </c>
      <c r="V245">
        <v>1540.31</v>
      </c>
      <c r="W245" s="12">
        <f t="shared" si="19"/>
        <v>0.38037008885510715</v>
      </c>
      <c r="X245" t="s">
        <v>32</v>
      </c>
      <c r="Y245" t="str">
        <f t="shared" si="20"/>
        <v>Paid</v>
      </c>
      <c r="Z245" t="s">
        <v>33</v>
      </c>
      <c r="AA245">
        <f>C245-B245</f>
        <v>-124</v>
      </c>
      <c r="AB245" t="str">
        <f>IF(B245="","Missing Order Date",
IF(C245="","Missing Ship Date","OK"))</f>
        <v>OK</v>
      </c>
      <c r="AC245" s="7" t="str">
        <f>IF(C245&lt;B245, "Invalid", "Valid")</f>
        <v>Invalid</v>
      </c>
      <c r="AD245" s="7" t="str">
        <f>IF(COUNTIF($A:$A, A245)&gt;1, "Duplicate", "Unique")</f>
        <v>Unique</v>
      </c>
      <c r="AE245" s="7" t="str">
        <f>IF(G245="","Unknown",G245)</f>
        <v>Unknown</v>
      </c>
      <c r="AF245" s="7" t="str">
        <f>IF(M245="","Unknown",M245)</f>
        <v>First Class</v>
      </c>
      <c r="AG245" s="7" t="str">
        <f>IF(P245&lt;0,"Invalid",
IF(P245&gt;1,"Invalid","Valid"))</f>
        <v>Valid</v>
      </c>
      <c r="AH245" s="7" t="str">
        <f>TEXT(B245,"mmmm")</f>
        <v>July</v>
      </c>
      <c r="AI245" s="7">
        <f t="shared" si="21"/>
        <v>2025</v>
      </c>
      <c r="AJ245" s="7" t="str">
        <f>IF(OR(R245&lt;0,C245&lt;B245),"Invalid",
IF(OR(G245="Unknown",M245="Unknown"),"Warning","Clean"))</f>
        <v>Invalid</v>
      </c>
      <c r="AK245" s="7" t="str">
        <f>IF(C245&lt;B245,"Ship Before Order","OK")</f>
        <v>Ship Before Order</v>
      </c>
      <c r="AL245" s="7" t="str">
        <f>IF(ISNUMBER(B245),"Valid","Invalid")</f>
        <v>Valid</v>
      </c>
      <c r="AM245" s="7" t="str">
        <f t="shared" si="22"/>
        <v>Missmatched</v>
      </c>
      <c r="AN245" s="7" t="str">
        <f t="shared" si="23"/>
        <v>Missmatched</v>
      </c>
    </row>
    <row r="246" spans="1:40">
      <c r="A246" t="s">
        <v>840</v>
      </c>
      <c r="B246" s="6">
        <v>45527</v>
      </c>
      <c r="C246" s="4">
        <v>45744</v>
      </c>
      <c r="D246" t="s">
        <v>841</v>
      </c>
      <c r="E246" t="s">
        <v>79</v>
      </c>
      <c r="F246" t="s">
        <v>24</v>
      </c>
      <c r="G246" t="s">
        <v>54</v>
      </c>
      <c r="H246" t="s">
        <v>55</v>
      </c>
      <c r="I246" t="s">
        <v>56</v>
      </c>
      <c r="J246" t="s">
        <v>41</v>
      </c>
      <c r="K246" t="s">
        <v>158</v>
      </c>
      <c r="L246" t="s">
        <v>842</v>
      </c>
      <c r="M246" t="s">
        <v>44</v>
      </c>
      <c r="N246">
        <v>6</v>
      </c>
      <c r="O246">
        <v>1021.89</v>
      </c>
      <c r="P246">
        <v>0</v>
      </c>
      <c r="Q246" s="7">
        <f>IF(P246="", 0, P246)</f>
        <v>0</v>
      </c>
      <c r="R246">
        <v>6131.34</v>
      </c>
      <c r="S246">
        <v>4060.88</v>
      </c>
      <c r="T246" s="7">
        <f>N246*O246*(1-Q246)</f>
        <v>6131.34</v>
      </c>
      <c r="U246" s="7">
        <f t="shared" si="18"/>
        <v>2070.46</v>
      </c>
      <c r="V246">
        <v>2070.46</v>
      </c>
      <c r="W246" s="12">
        <f t="shared" si="19"/>
        <v>0.33768474754295147</v>
      </c>
      <c r="X246" t="s">
        <v>32</v>
      </c>
      <c r="Y246" t="str">
        <f t="shared" si="20"/>
        <v>Paid</v>
      </c>
      <c r="Z246" t="s">
        <v>33</v>
      </c>
      <c r="AA246">
        <f>C246-B246</f>
        <v>217</v>
      </c>
      <c r="AB246" t="str">
        <f>IF(B246="","Missing Order Date",
IF(C246="","Missing Ship Date","OK"))</f>
        <v>OK</v>
      </c>
      <c r="AC246" s="7" t="str">
        <f>IF(C246&lt;B246, "Invalid", "Valid")</f>
        <v>Valid</v>
      </c>
      <c r="AD246" s="7" t="str">
        <f>IF(COUNTIF($A:$A, A246)&gt;1, "Duplicate", "Unique")</f>
        <v>Unique</v>
      </c>
      <c r="AE246" s="7" t="str">
        <f>IF(G246="","Unknown",G246)</f>
        <v>South</v>
      </c>
      <c r="AF246" s="7" t="str">
        <f>IF(M246="","Unknown",M246)</f>
        <v>Same Day</v>
      </c>
      <c r="AG246" s="7" t="str">
        <f>IF(P246&lt;0,"Invalid",
IF(P246&gt;1,"Invalid","Valid"))</f>
        <v>Valid</v>
      </c>
      <c r="AH246" s="7" t="str">
        <f>TEXT(B246,"mmmm")</f>
        <v>August</v>
      </c>
      <c r="AI246" s="7">
        <f t="shared" si="21"/>
        <v>2024</v>
      </c>
      <c r="AJ246" s="7" t="str">
        <f>IF(OR(R246&lt;0,C246&lt;B246),"Invalid",
IF(OR(G246="Unknown",M246="Unknown"),"Warning","Clean"))</f>
        <v>Clean</v>
      </c>
      <c r="AK246" s="7" t="str">
        <f>IF(C246&lt;B246,"Ship Before Order","OK")</f>
        <v>OK</v>
      </c>
      <c r="AL246" s="7" t="str">
        <f>IF(ISNUMBER(B246),"Valid","Invalid")</f>
        <v>Valid</v>
      </c>
      <c r="AM246" s="7" t="str">
        <f t="shared" si="22"/>
        <v>Ok</v>
      </c>
      <c r="AN246" s="7" t="str">
        <f t="shared" si="23"/>
        <v>Ok</v>
      </c>
    </row>
    <row r="247" spans="1:40">
      <c r="A247" t="s">
        <v>843</v>
      </c>
      <c r="B247" s="6">
        <v>45583</v>
      </c>
      <c r="C247" s="4">
        <v>45745</v>
      </c>
      <c r="D247" t="s">
        <v>844</v>
      </c>
      <c r="E247" t="s">
        <v>79</v>
      </c>
      <c r="F247" t="s">
        <v>95</v>
      </c>
      <c r="G247" t="s">
        <v>54</v>
      </c>
      <c r="H247" t="s">
        <v>185</v>
      </c>
      <c r="I247" t="s">
        <v>186</v>
      </c>
      <c r="J247" t="s">
        <v>41</v>
      </c>
      <c r="K247" t="s">
        <v>66</v>
      </c>
      <c r="L247" t="s">
        <v>845</v>
      </c>
      <c r="M247" t="s">
        <v>31</v>
      </c>
      <c r="N247">
        <v>3</v>
      </c>
      <c r="O247">
        <v>3275.93</v>
      </c>
      <c r="P247">
        <v>0</v>
      </c>
      <c r="Q247" s="7">
        <f>IF(P247="", 0, P247)</f>
        <v>0</v>
      </c>
      <c r="R247">
        <v>9827.7900000000009</v>
      </c>
      <c r="S247">
        <v>5478.28</v>
      </c>
      <c r="T247" s="7">
        <f>N247*O247*(1-Q247)</f>
        <v>9827.7899999999991</v>
      </c>
      <c r="U247" s="7">
        <f t="shared" si="18"/>
        <v>4349.5099999999993</v>
      </c>
      <c r="V247">
        <v>4349.51</v>
      </c>
      <c r="W247" s="12">
        <f t="shared" si="19"/>
        <v>0.44257254174132737</v>
      </c>
      <c r="X247" t="s">
        <v>32</v>
      </c>
      <c r="Y247" t="str">
        <f t="shared" si="20"/>
        <v>Paid</v>
      </c>
      <c r="Z247" t="s">
        <v>33</v>
      </c>
      <c r="AA247">
        <f>C247-B247</f>
        <v>162</v>
      </c>
      <c r="AB247" t="str">
        <f>IF(B247="","Missing Order Date",
IF(C247="","Missing Ship Date","OK"))</f>
        <v>OK</v>
      </c>
      <c r="AC247" s="7" t="str">
        <f>IF(C247&lt;B247, "Invalid", "Valid")</f>
        <v>Valid</v>
      </c>
      <c r="AD247" s="7" t="str">
        <f>IF(COUNTIF($A:$A, A247)&gt;1, "Duplicate", "Unique")</f>
        <v>Unique</v>
      </c>
      <c r="AE247" s="7" t="str">
        <f>IF(G247="","Unknown",G247)</f>
        <v>South</v>
      </c>
      <c r="AF247" s="7" t="str">
        <f>IF(M247="","Unknown",M247)</f>
        <v>Second Class</v>
      </c>
      <c r="AG247" s="7" t="str">
        <f>IF(P247&lt;0,"Invalid",
IF(P247&gt;1,"Invalid","Valid"))</f>
        <v>Valid</v>
      </c>
      <c r="AH247" s="7" t="str">
        <f>TEXT(B247,"mmmm")</f>
        <v>October</v>
      </c>
      <c r="AI247" s="7">
        <f t="shared" si="21"/>
        <v>2024</v>
      </c>
      <c r="AJ247" s="7" t="str">
        <f>IF(OR(R247&lt;0,C247&lt;B247),"Invalid",
IF(OR(G247="Unknown",M247="Unknown"),"Warning","Clean"))</f>
        <v>Clean</v>
      </c>
      <c r="AK247" s="7" t="str">
        <f>IF(C247&lt;B247,"Ship Before Order","OK")</f>
        <v>OK</v>
      </c>
      <c r="AL247" s="7" t="str">
        <f>IF(ISNUMBER(B247),"Valid","Invalid")</f>
        <v>Valid</v>
      </c>
      <c r="AM247" s="7" t="str">
        <f t="shared" si="22"/>
        <v>Ok</v>
      </c>
      <c r="AN247" s="7" t="str">
        <f t="shared" si="23"/>
        <v>Ok</v>
      </c>
    </row>
    <row r="248" spans="1:40">
      <c r="A248" t="s">
        <v>846</v>
      </c>
      <c r="B248" s="6">
        <v>45387</v>
      </c>
      <c r="C248" s="4">
        <v>45746</v>
      </c>
      <c r="D248" t="s">
        <v>847</v>
      </c>
      <c r="E248" t="s">
        <v>62</v>
      </c>
      <c r="F248" t="s">
        <v>90</v>
      </c>
      <c r="G248" t="s">
        <v>25</v>
      </c>
      <c r="H248" t="s">
        <v>122</v>
      </c>
      <c r="I248" t="s">
        <v>123</v>
      </c>
      <c r="J248" t="s">
        <v>74</v>
      </c>
      <c r="K248" t="s">
        <v>274</v>
      </c>
      <c r="L248" t="s">
        <v>848</v>
      </c>
      <c r="M248" t="s">
        <v>44</v>
      </c>
      <c r="N248">
        <v>3</v>
      </c>
      <c r="O248">
        <v>231.95</v>
      </c>
      <c r="P248">
        <v>0.25</v>
      </c>
      <c r="Q248" s="7">
        <f>IF(P248="", 0, P248)</f>
        <v>0.25</v>
      </c>
      <c r="R248">
        <v>521.89</v>
      </c>
      <c r="S248">
        <v>444.52</v>
      </c>
      <c r="T248" s="7">
        <f>N248*O248*(1-Q248)</f>
        <v>521.88749999999993</v>
      </c>
      <c r="U248" s="7">
        <f t="shared" si="18"/>
        <v>77.36749999999995</v>
      </c>
      <c r="V248">
        <v>77.37</v>
      </c>
      <c r="W248" s="12">
        <f t="shared" si="19"/>
        <v>0.14824555100476627</v>
      </c>
      <c r="X248" t="s">
        <v>102</v>
      </c>
      <c r="Y248" t="str">
        <f t="shared" si="20"/>
        <v>Refunded</v>
      </c>
      <c r="Z248" t="s">
        <v>68</v>
      </c>
      <c r="AA248">
        <f>C248-B248</f>
        <v>359</v>
      </c>
      <c r="AB248" t="str">
        <f>IF(B248="","Missing Order Date",
IF(C248="","Missing Ship Date","OK"))</f>
        <v>OK</v>
      </c>
      <c r="AC248" s="7" t="str">
        <f>IF(C248&lt;B248, "Invalid", "Valid")</f>
        <v>Valid</v>
      </c>
      <c r="AD248" s="7" t="str">
        <f>IF(COUNTIF($A:$A, A248)&gt;1, "Duplicate", "Unique")</f>
        <v>Unique</v>
      </c>
      <c r="AE248" s="7" t="str">
        <f>IF(G248="","Unknown",G248)</f>
        <v>North</v>
      </c>
      <c r="AF248" s="7" t="str">
        <f>IF(M248="","Unknown",M248)</f>
        <v>Same Day</v>
      </c>
      <c r="AG248" s="7" t="str">
        <f>IF(P248&lt;0,"Invalid",
IF(P248&gt;1,"Invalid","Valid"))</f>
        <v>Valid</v>
      </c>
      <c r="AH248" s="7" t="str">
        <f>TEXT(B248,"mmmm")</f>
        <v>April</v>
      </c>
      <c r="AI248" s="7">
        <f t="shared" si="21"/>
        <v>2024</v>
      </c>
      <c r="AJ248" s="7" t="str">
        <f>IF(OR(R248&lt;0,C248&lt;B248),"Invalid",
IF(OR(G248="Unknown",M248="Unknown"),"Warning","Clean"))</f>
        <v>Clean</v>
      </c>
      <c r="AK248" s="7" t="str">
        <f>IF(C248&lt;B248,"Ship Before Order","OK")</f>
        <v>OK</v>
      </c>
      <c r="AL248" s="7" t="str">
        <f>IF(ISNUMBER(B248),"Valid","Invalid")</f>
        <v>Valid</v>
      </c>
      <c r="AM248" s="7" t="str">
        <f t="shared" si="22"/>
        <v>Missmatched</v>
      </c>
      <c r="AN248" s="7" t="str">
        <f t="shared" si="23"/>
        <v>Missmatched</v>
      </c>
    </row>
    <row r="249" spans="1:40">
      <c r="A249" t="s">
        <v>849</v>
      </c>
      <c r="B249" s="6">
        <v>45498</v>
      </c>
      <c r="C249" s="4">
        <v>45747</v>
      </c>
      <c r="D249" t="s">
        <v>850</v>
      </c>
      <c r="E249" t="s">
        <v>118</v>
      </c>
      <c r="F249" t="s">
        <v>90</v>
      </c>
      <c r="G249" t="s">
        <v>25</v>
      </c>
      <c r="H249" t="s">
        <v>26</v>
      </c>
      <c r="I249" t="s">
        <v>27</v>
      </c>
      <c r="J249" t="s">
        <v>74</v>
      </c>
      <c r="K249" t="s">
        <v>75</v>
      </c>
      <c r="L249" t="s">
        <v>851</v>
      </c>
      <c r="M249" t="s">
        <v>31</v>
      </c>
      <c r="N249">
        <v>8</v>
      </c>
      <c r="O249">
        <v>2493.4</v>
      </c>
      <c r="P249">
        <v>0.25</v>
      </c>
      <c r="Q249" s="7">
        <f>IF(P249="", 0, P249)</f>
        <v>0.25</v>
      </c>
      <c r="R249">
        <v>14960.4</v>
      </c>
      <c r="S249">
        <v>12500.84</v>
      </c>
      <c r="T249" s="7">
        <f>N249*O249*(1-Q249)</f>
        <v>14960.400000000001</v>
      </c>
      <c r="U249" s="7">
        <f t="shared" si="18"/>
        <v>2459.5600000000013</v>
      </c>
      <c r="V249">
        <v>2459.56</v>
      </c>
      <c r="W249" s="12">
        <f t="shared" si="19"/>
        <v>0.16440469506162944</v>
      </c>
      <c r="X249" t="s">
        <v>32</v>
      </c>
      <c r="Y249" t="str">
        <f t="shared" si="20"/>
        <v>Paid</v>
      </c>
      <c r="Z249" t="s">
        <v>33</v>
      </c>
      <c r="AA249">
        <f>C249-B249</f>
        <v>249</v>
      </c>
      <c r="AB249" t="str">
        <f>IF(B249="","Missing Order Date",
IF(C249="","Missing Ship Date","OK"))</f>
        <v>OK</v>
      </c>
      <c r="AC249" s="7" t="str">
        <f>IF(C249&lt;B249, "Invalid", "Valid")</f>
        <v>Valid</v>
      </c>
      <c r="AD249" s="7" t="str">
        <f>IF(COUNTIF($A:$A, A249)&gt;1, "Duplicate", "Unique")</f>
        <v>Unique</v>
      </c>
      <c r="AE249" s="7" t="str">
        <f>IF(G249="","Unknown",G249)</f>
        <v>North</v>
      </c>
      <c r="AF249" s="7" t="str">
        <f>IF(M249="","Unknown",M249)</f>
        <v>Second Class</v>
      </c>
      <c r="AG249" s="7" t="str">
        <f>IF(P249&lt;0,"Invalid",
IF(P249&gt;1,"Invalid","Valid"))</f>
        <v>Valid</v>
      </c>
      <c r="AH249" s="7" t="str">
        <f>TEXT(B249,"mmmm")</f>
        <v>July</v>
      </c>
      <c r="AI249" s="7">
        <f t="shared" si="21"/>
        <v>2024</v>
      </c>
      <c r="AJ249" s="7" t="str">
        <f>IF(OR(R249&lt;0,C249&lt;B249),"Invalid",
IF(OR(G249="Unknown",M249="Unknown"),"Warning","Clean"))</f>
        <v>Clean</v>
      </c>
      <c r="AK249" s="7" t="str">
        <f>IF(C249&lt;B249,"Ship Before Order","OK")</f>
        <v>OK</v>
      </c>
      <c r="AL249" s="7" t="str">
        <f>IF(ISNUMBER(B249),"Valid","Invalid")</f>
        <v>Valid</v>
      </c>
      <c r="AM249" s="7" t="str">
        <f t="shared" si="22"/>
        <v>Ok</v>
      </c>
      <c r="AN249" s="7" t="str">
        <f t="shared" si="23"/>
        <v>Ok</v>
      </c>
    </row>
    <row r="250" spans="1:40">
      <c r="A250" t="s">
        <v>852</v>
      </c>
      <c r="B250" s="6">
        <v>45328</v>
      </c>
      <c r="C250" s="4">
        <v>45748</v>
      </c>
      <c r="D250" t="s">
        <v>853</v>
      </c>
      <c r="E250" t="s">
        <v>141</v>
      </c>
      <c r="F250" t="s">
        <v>95</v>
      </c>
      <c r="G250" t="s">
        <v>38</v>
      </c>
      <c r="H250" t="s">
        <v>39</v>
      </c>
      <c r="I250" t="s">
        <v>40</v>
      </c>
      <c r="J250" t="s">
        <v>28</v>
      </c>
      <c r="K250" t="s">
        <v>91</v>
      </c>
      <c r="L250" t="s">
        <v>854</v>
      </c>
      <c r="M250" t="s">
        <v>31</v>
      </c>
      <c r="N250">
        <v>9</v>
      </c>
      <c r="O250">
        <v>787.91</v>
      </c>
      <c r="P250">
        <v>0.15</v>
      </c>
      <c r="Q250" s="7">
        <f>IF(P250="", 0, P250)</f>
        <v>0.15</v>
      </c>
      <c r="R250">
        <v>6027.51</v>
      </c>
      <c r="S250">
        <v>4883.82</v>
      </c>
      <c r="T250" s="7">
        <f>N250*O250*(1-Q250)</f>
        <v>6027.5114999999996</v>
      </c>
      <c r="U250" s="7">
        <f t="shared" si="18"/>
        <v>1143.6914999999999</v>
      </c>
      <c r="V250">
        <v>1143.69</v>
      </c>
      <c r="W250" s="12">
        <f t="shared" si="19"/>
        <v>0.18974522072666306</v>
      </c>
      <c r="X250" t="s">
        <v>32</v>
      </c>
      <c r="Y250" t="str">
        <f t="shared" si="20"/>
        <v>Paid</v>
      </c>
      <c r="Z250" t="s">
        <v>33</v>
      </c>
      <c r="AA250">
        <f>C250-B250</f>
        <v>420</v>
      </c>
      <c r="AB250" t="str">
        <f>IF(B250="","Missing Order Date",
IF(C250="","Missing Ship Date","OK"))</f>
        <v>OK</v>
      </c>
      <c r="AC250" s="7" t="str">
        <f>IF(C250&lt;B250, "Invalid", "Valid")</f>
        <v>Valid</v>
      </c>
      <c r="AD250" s="7" t="str">
        <f>IF(COUNTIF($A:$A, A250)&gt;1, "Duplicate", "Unique")</f>
        <v>Unique</v>
      </c>
      <c r="AE250" s="7" t="str">
        <f>IF(G250="","Unknown",G250)</f>
        <v>East</v>
      </c>
      <c r="AF250" s="7" t="str">
        <f>IF(M250="","Unknown",M250)</f>
        <v>Second Class</v>
      </c>
      <c r="AG250" s="7" t="str">
        <f>IF(P250&lt;0,"Invalid",
IF(P250&gt;1,"Invalid","Valid"))</f>
        <v>Valid</v>
      </c>
      <c r="AH250" s="7" t="str">
        <f>TEXT(B250,"mmmm")</f>
        <v>February</v>
      </c>
      <c r="AI250" s="7">
        <f t="shared" si="21"/>
        <v>2024</v>
      </c>
      <c r="AJ250" s="7" t="str">
        <f>IF(OR(R250&lt;0,C250&lt;B250),"Invalid",
IF(OR(G250="Unknown",M250="Unknown"),"Warning","Clean"))</f>
        <v>Clean</v>
      </c>
      <c r="AK250" s="7" t="str">
        <f>IF(C250&lt;B250,"Ship Before Order","OK")</f>
        <v>OK</v>
      </c>
      <c r="AL250" s="7" t="str">
        <f>IF(ISNUMBER(B250),"Valid","Invalid")</f>
        <v>Valid</v>
      </c>
      <c r="AM250" s="7" t="str">
        <f t="shared" si="22"/>
        <v>Missmatched</v>
      </c>
      <c r="AN250" s="7" t="str">
        <f t="shared" si="23"/>
        <v>Missmatched</v>
      </c>
    </row>
    <row r="251" spans="1:40">
      <c r="A251" t="s">
        <v>855</v>
      </c>
      <c r="B251" s="6">
        <v>45665</v>
      </c>
      <c r="C251" s="4">
        <v>45749</v>
      </c>
      <c r="D251" t="s">
        <v>856</v>
      </c>
      <c r="E251" t="s">
        <v>36</v>
      </c>
      <c r="F251" t="s">
        <v>90</v>
      </c>
      <c r="G251" t="s">
        <v>25</v>
      </c>
      <c r="H251" t="s">
        <v>26</v>
      </c>
      <c r="I251" t="s">
        <v>27</v>
      </c>
      <c r="J251" t="s">
        <v>41</v>
      </c>
      <c r="K251" t="s">
        <v>57</v>
      </c>
      <c r="L251" t="s">
        <v>857</v>
      </c>
      <c r="M251" t="s">
        <v>50</v>
      </c>
      <c r="N251">
        <v>4</v>
      </c>
      <c r="O251">
        <v>2790.29</v>
      </c>
      <c r="P251">
        <v>0.2</v>
      </c>
      <c r="Q251" s="7">
        <f>IF(P251="", 0, P251)</f>
        <v>0.2</v>
      </c>
      <c r="R251">
        <v>8928.93</v>
      </c>
      <c r="S251">
        <v>5634.38</v>
      </c>
      <c r="T251" s="7">
        <f>N251*O251*(1-Q251)</f>
        <v>8928.9279999999999</v>
      </c>
      <c r="U251" s="7">
        <f t="shared" si="18"/>
        <v>3294.5479999999998</v>
      </c>
      <c r="V251">
        <v>3294.55</v>
      </c>
      <c r="W251" s="12">
        <f t="shared" si="19"/>
        <v>0.36897464062875185</v>
      </c>
      <c r="X251" t="s">
        <v>32</v>
      </c>
      <c r="Y251" t="str">
        <f t="shared" si="20"/>
        <v>Paid</v>
      </c>
      <c r="Z251" t="s">
        <v>33</v>
      </c>
      <c r="AA251">
        <f>C251-B251</f>
        <v>84</v>
      </c>
      <c r="AB251" t="str">
        <f>IF(B251="","Missing Order Date",
IF(C251="","Missing Ship Date","OK"))</f>
        <v>OK</v>
      </c>
      <c r="AC251" s="7" t="str">
        <f>IF(C251&lt;B251, "Invalid", "Valid")</f>
        <v>Valid</v>
      </c>
      <c r="AD251" s="7" t="str">
        <f>IF(COUNTIF($A:$A, A251)&gt;1, "Duplicate", "Unique")</f>
        <v>Unique</v>
      </c>
      <c r="AE251" s="7" t="str">
        <f>IF(G251="","Unknown",G251)</f>
        <v>North</v>
      </c>
      <c r="AF251" s="7" t="str">
        <f>IF(M251="","Unknown",M251)</f>
        <v>First Class</v>
      </c>
      <c r="AG251" s="7" t="str">
        <f>IF(P251&lt;0,"Invalid",
IF(P251&gt;1,"Invalid","Valid"))</f>
        <v>Valid</v>
      </c>
      <c r="AH251" s="7" t="str">
        <f>TEXT(B251,"mmmm")</f>
        <v>January</v>
      </c>
      <c r="AI251" s="7">
        <f t="shared" si="21"/>
        <v>2025</v>
      </c>
      <c r="AJ251" s="7" t="str">
        <f>IF(OR(R251&lt;0,C251&lt;B251),"Invalid",
IF(OR(G251="Unknown",M251="Unknown"),"Warning","Clean"))</f>
        <v>Clean</v>
      </c>
      <c r="AK251" s="7" t="str">
        <f>IF(C251&lt;B251,"Ship Before Order","OK")</f>
        <v>OK</v>
      </c>
      <c r="AL251" s="7" t="str">
        <f>IF(ISNUMBER(B251),"Valid","Invalid")</f>
        <v>Valid</v>
      </c>
      <c r="AM251" s="7" t="str">
        <f t="shared" si="22"/>
        <v>Missmatched</v>
      </c>
      <c r="AN251" s="7" t="str">
        <f t="shared" si="23"/>
        <v>Missmatched</v>
      </c>
    </row>
    <row r="252" spans="1:40">
      <c r="A252" t="s">
        <v>858</v>
      </c>
      <c r="B252" s="6">
        <v>45343</v>
      </c>
      <c r="C252" s="4">
        <v>45750</v>
      </c>
      <c r="D252" t="s">
        <v>859</v>
      </c>
      <c r="E252" t="s">
        <v>53</v>
      </c>
      <c r="F252" t="s">
        <v>37</v>
      </c>
      <c r="G252" t="s">
        <v>38</v>
      </c>
      <c r="H252" t="s">
        <v>99</v>
      </c>
      <c r="I252" t="s">
        <v>100</v>
      </c>
      <c r="J252" t="s">
        <v>41</v>
      </c>
      <c r="K252" t="s">
        <v>57</v>
      </c>
      <c r="L252" t="s">
        <v>860</v>
      </c>
      <c r="M252" t="s">
        <v>59</v>
      </c>
      <c r="N252">
        <v>5</v>
      </c>
      <c r="O252">
        <v>3373.86</v>
      </c>
      <c r="P252">
        <v>0.15</v>
      </c>
      <c r="Q252" s="7">
        <f>IF(P252="", 0, P252)</f>
        <v>0.15</v>
      </c>
      <c r="R252">
        <v>14338.9</v>
      </c>
      <c r="S252">
        <v>11897.65</v>
      </c>
      <c r="T252" s="7">
        <f>N252*O252*(1-Q252)</f>
        <v>14338.904999999999</v>
      </c>
      <c r="U252" s="7">
        <f t="shared" si="18"/>
        <v>2441.2549999999992</v>
      </c>
      <c r="V252">
        <v>2441.25</v>
      </c>
      <c r="W252" s="12">
        <f t="shared" si="19"/>
        <v>0.17025393501107647</v>
      </c>
      <c r="X252" t="s">
        <v>111</v>
      </c>
      <c r="Y252" t="str">
        <f t="shared" si="20"/>
        <v>Pending</v>
      </c>
      <c r="Z252" t="s">
        <v>103</v>
      </c>
      <c r="AA252">
        <f>C252-B252</f>
        <v>407</v>
      </c>
      <c r="AB252" t="str">
        <f>IF(B252="","Missing Order Date",
IF(C252="","Missing Ship Date","OK"))</f>
        <v>OK</v>
      </c>
      <c r="AC252" s="7" t="str">
        <f>IF(C252&lt;B252, "Invalid", "Valid")</f>
        <v>Valid</v>
      </c>
      <c r="AD252" s="7" t="str">
        <f>IF(COUNTIF($A:$A, A252)&gt;1, "Duplicate", "Unique")</f>
        <v>Duplicate</v>
      </c>
      <c r="AE252" s="7" t="str">
        <f>IF(G252="","Unknown",G252)</f>
        <v>East</v>
      </c>
      <c r="AF252" s="7" t="str">
        <f>IF(M252="","Unknown",M252)</f>
        <v>Standard Class</v>
      </c>
      <c r="AG252" s="7" t="str">
        <f>IF(P252&lt;0,"Invalid",
IF(P252&gt;1,"Invalid","Valid"))</f>
        <v>Valid</v>
      </c>
      <c r="AH252" s="7" t="str">
        <f>TEXT(B252,"mmmm")</f>
        <v>February</v>
      </c>
      <c r="AI252" s="7">
        <f t="shared" si="21"/>
        <v>2024</v>
      </c>
      <c r="AJ252" s="7" t="str">
        <f>IF(OR(R252&lt;0,C252&lt;B252),"Invalid",
IF(OR(G252="Unknown",M252="Unknown"),"Warning","Clean"))</f>
        <v>Clean</v>
      </c>
      <c r="AK252" s="7" t="str">
        <f>IF(C252&lt;B252,"Ship Before Order","OK")</f>
        <v>OK</v>
      </c>
      <c r="AL252" s="7" t="str">
        <f>IF(ISNUMBER(B252),"Valid","Invalid")</f>
        <v>Valid</v>
      </c>
      <c r="AM252" s="7" t="str">
        <f t="shared" si="22"/>
        <v>Missmatched</v>
      </c>
      <c r="AN252" s="7" t="str">
        <f t="shared" si="23"/>
        <v>Missmatched</v>
      </c>
    </row>
    <row r="253" spans="1:40">
      <c r="A253" t="s">
        <v>861</v>
      </c>
      <c r="B253" s="6">
        <v>45812</v>
      </c>
      <c r="C253" s="4">
        <v>45751</v>
      </c>
      <c r="D253" t="s">
        <v>862</v>
      </c>
      <c r="E253" t="s">
        <v>62</v>
      </c>
      <c r="F253" t="s">
        <v>90</v>
      </c>
      <c r="G253" t="s">
        <v>63</v>
      </c>
      <c r="H253" t="s">
        <v>180</v>
      </c>
      <c r="I253" t="s">
        <v>181</v>
      </c>
      <c r="J253" t="s">
        <v>41</v>
      </c>
      <c r="K253" t="s">
        <v>42</v>
      </c>
      <c r="L253" t="s">
        <v>863</v>
      </c>
      <c r="M253" t="s">
        <v>31</v>
      </c>
      <c r="N253">
        <v>6</v>
      </c>
      <c r="O253">
        <v>1022.16</v>
      </c>
      <c r="P253">
        <v>0</v>
      </c>
      <c r="Q253" s="7">
        <f>IF(P253="", 0, P253)</f>
        <v>0</v>
      </c>
      <c r="R253">
        <v>6132.96</v>
      </c>
      <c r="S253">
        <v>4881.1000000000004</v>
      </c>
      <c r="T253" s="7">
        <f>N253*O253*(1-Q253)</f>
        <v>6132.96</v>
      </c>
      <c r="U253" s="7">
        <f t="shared" si="18"/>
        <v>1251.8599999999997</v>
      </c>
      <c r="V253">
        <v>1251.8599999999999</v>
      </c>
      <c r="W253" s="12">
        <f t="shared" si="19"/>
        <v>0.20412003339333692</v>
      </c>
      <c r="X253" t="s">
        <v>32</v>
      </c>
      <c r="Y253" t="str">
        <f t="shared" si="20"/>
        <v>Paid</v>
      </c>
      <c r="Z253" t="s">
        <v>33</v>
      </c>
      <c r="AA253">
        <f>C253-B253</f>
        <v>-61</v>
      </c>
      <c r="AB253" t="str">
        <f>IF(B253="","Missing Order Date",
IF(C253="","Missing Ship Date","OK"))</f>
        <v>OK</v>
      </c>
      <c r="AC253" s="7" t="str">
        <f>IF(C253&lt;B253, "Invalid", "Valid")</f>
        <v>Invalid</v>
      </c>
      <c r="AD253" s="7" t="str">
        <f>IF(COUNTIF($A:$A, A253)&gt;1, "Duplicate", "Unique")</f>
        <v>Unique</v>
      </c>
      <c r="AE253" s="7" t="str">
        <f>IF(G253="","Unknown",G253)</f>
        <v>West</v>
      </c>
      <c r="AF253" s="7" t="str">
        <f>IF(M253="","Unknown",M253)</f>
        <v>Second Class</v>
      </c>
      <c r="AG253" s="7" t="str">
        <f>IF(P253&lt;0,"Invalid",
IF(P253&gt;1,"Invalid","Valid"))</f>
        <v>Valid</v>
      </c>
      <c r="AH253" s="7" t="str">
        <f>TEXT(B253,"mmmm")</f>
        <v>June</v>
      </c>
      <c r="AI253" s="7">
        <f t="shared" si="21"/>
        <v>2025</v>
      </c>
      <c r="AJ253" s="7" t="str">
        <f>IF(OR(R253&lt;0,C253&lt;B253),"Invalid",
IF(OR(G253="Unknown",M253="Unknown"),"Warning","Clean"))</f>
        <v>Invalid</v>
      </c>
      <c r="AK253" s="7" t="str">
        <f>IF(C253&lt;B253,"Ship Before Order","OK")</f>
        <v>Ship Before Order</v>
      </c>
      <c r="AL253" s="7" t="str">
        <f>IF(ISNUMBER(B253),"Valid","Invalid")</f>
        <v>Valid</v>
      </c>
      <c r="AM253" s="7" t="str">
        <f t="shared" si="22"/>
        <v>Ok</v>
      </c>
      <c r="AN253" s="7" t="str">
        <f t="shared" si="23"/>
        <v>Ok</v>
      </c>
    </row>
    <row r="254" spans="1:40">
      <c r="A254" t="s">
        <v>864</v>
      </c>
      <c r="B254" s="6">
        <v>45833</v>
      </c>
      <c r="C254" s="4">
        <v>45752</v>
      </c>
      <c r="D254" t="s">
        <v>865</v>
      </c>
      <c r="E254" t="s">
        <v>53</v>
      </c>
      <c r="F254" t="s">
        <v>90</v>
      </c>
      <c r="G254" t="s">
        <v>25</v>
      </c>
      <c r="H254" t="s">
        <v>236</v>
      </c>
      <c r="I254" t="s">
        <v>237</v>
      </c>
      <c r="J254" t="s">
        <v>28</v>
      </c>
      <c r="K254" t="s">
        <v>124</v>
      </c>
      <c r="L254" t="s">
        <v>866</v>
      </c>
      <c r="M254" t="s">
        <v>50</v>
      </c>
      <c r="N254">
        <v>2</v>
      </c>
      <c r="O254">
        <v>1455.92</v>
      </c>
      <c r="P254">
        <v>0.2</v>
      </c>
      <c r="Q254" s="7">
        <f>IF(P254="", 0, P254)</f>
        <v>0.2</v>
      </c>
      <c r="R254">
        <v>2329.4699999999998</v>
      </c>
      <c r="S254">
        <v>1603.62</v>
      </c>
      <c r="T254" s="7">
        <f>N254*O254*(1-Q254)</f>
        <v>2329.4720000000002</v>
      </c>
      <c r="U254" s="7">
        <f t="shared" si="18"/>
        <v>725.85200000000032</v>
      </c>
      <c r="V254">
        <v>725.85</v>
      </c>
      <c r="W254" s="12">
        <f t="shared" si="19"/>
        <v>0.31159507390515973</v>
      </c>
      <c r="X254" t="s">
        <v>111</v>
      </c>
      <c r="Y254" t="str">
        <f t="shared" si="20"/>
        <v>Pending</v>
      </c>
      <c r="Z254" t="s">
        <v>103</v>
      </c>
      <c r="AA254">
        <f>C254-B254</f>
        <v>-81</v>
      </c>
      <c r="AB254" t="str">
        <f>IF(B254="","Missing Order Date",
IF(C254="","Missing Ship Date","OK"))</f>
        <v>OK</v>
      </c>
      <c r="AC254" s="7" t="str">
        <f>IF(C254&lt;B254, "Invalid", "Valid")</f>
        <v>Invalid</v>
      </c>
      <c r="AD254" s="7" t="str">
        <f>IF(COUNTIF($A:$A, A254)&gt;1, "Duplicate", "Unique")</f>
        <v>Unique</v>
      </c>
      <c r="AE254" s="7" t="str">
        <f>IF(G254="","Unknown",G254)</f>
        <v>North</v>
      </c>
      <c r="AF254" s="7" t="str">
        <f>IF(M254="","Unknown",M254)</f>
        <v>First Class</v>
      </c>
      <c r="AG254" s="7" t="str">
        <f>IF(P254&lt;0,"Invalid",
IF(P254&gt;1,"Invalid","Valid"))</f>
        <v>Valid</v>
      </c>
      <c r="AH254" s="7" t="str">
        <f>TEXT(B254,"mmmm")</f>
        <v>June</v>
      </c>
      <c r="AI254" s="7">
        <f t="shared" si="21"/>
        <v>2025</v>
      </c>
      <c r="AJ254" s="7" t="str">
        <f>IF(OR(R254&lt;0,C254&lt;B254),"Invalid",
IF(OR(G254="Unknown",M254="Unknown"),"Warning","Clean"))</f>
        <v>Invalid</v>
      </c>
      <c r="AK254" s="7" t="str">
        <f>IF(C254&lt;B254,"Ship Before Order","OK")</f>
        <v>Ship Before Order</v>
      </c>
      <c r="AL254" s="7" t="str">
        <f>IF(ISNUMBER(B254),"Valid","Invalid")</f>
        <v>Valid</v>
      </c>
      <c r="AM254" s="7" t="str">
        <f t="shared" si="22"/>
        <v>Missmatched</v>
      </c>
      <c r="AN254" s="7" t="str">
        <f t="shared" si="23"/>
        <v>Missmatched</v>
      </c>
    </row>
    <row r="255" spans="1:40">
      <c r="A255" t="s">
        <v>867</v>
      </c>
      <c r="B255" s="6">
        <v>45635</v>
      </c>
      <c r="C255" s="4">
        <v>45753</v>
      </c>
      <c r="D255" t="s">
        <v>868</v>
      </c>
      <c r="E255" t="s">
        <v>114</v>
      </c>
      <c r="F255" t="s">
        <v>37</v>
      </c>
      <c r="G255" t="s">
        <v>25</v>
      </c>
      <c r="H255" t="s">
        <v>26</v>
      </c>
      <c r="I255" t="s">
        <v>27</v>
      </c>
      <c r="J255" t="s">
        <v>74</v>
      </c>
      <c r="K255" t="s">
        <v>171</v>
      </c>
      <c r="L255" t="s">
        <v>869</v>
      </c>
      <c r="M255" t="s">
        <v>44</v>
      </c>
      <c r="N255">
        <v>6</v>
      </c>
      <c r="O255">
        <v>832.79</v>
      </c>
      <c r="P255">
        <v>0.05</v>
      </c>
      <c r="Q255" s="7">
        <f>IF(P255="", 0, P255)</f>
        <v>0.05</v>
      </c>
      <c r="R255">
        <v>4746.8999999999996</v>
      </c>
      <c r="S255">
        <v>2825.38</v>
      </c>
      <c r="T255" s="7">
        <f>N255*O255*(1-Q255)</f>
        <v>4746.9029999999993</v>
      </c>
      <c r="U255" s="7">
        <f t="shared" si="18"/>
        <v>1921.5229999999992</v>
      </c>
      <c r="V255">
        <v>1472.89</v>
      </c>
      <c r="W255" s="12">
        <f t="shared" si="19"/>
        <v>0.40479508428969363</v>
      </c>
      <c r="X255" t="s">
        <v>102</v>
      </c>
      <c r="Y255" t="str">
        <f t="shared" si="20"/>
        <v>Refunded</v>
      </c>
      <c r="Z255" t="s">
        <v>68</v>
      </c>
      <c r="AA255">
        <f>C255-B255</f>
        <v>118</v>
      </c>
      <c r="AB255" t="str">
        <f>IF(B255="","Missing Order Date",
IF(C255="","Missing Ship Date","OK"))</f>
        <v>OK</v>
      </c>
      <c r="AC255" s="7" t="str">
        <f>IF(C255&lt;B255, "Invalid", "Valid")</f>
        <v>Valid</v>
      </c>
      <c r="AD255" s="7" t="str">
        <f>IF(COUNTIF($A:$A, A255)&gt;1, "Duplicate", "Unique")</f>
        <v>Unique</v>
      </c>
      <c r="AE255" s="7" t="str">
        <f>IF(G255="","Unknown",G255)</f>
        <v>North</v>
      </c>
      <c r="AF255" s="7" t="str">
        <f>IF(M255="","Unknown",M255)</f>
        <v>Same Day</v>
      </c>
      <c r="AG255" s="7" t="str">
        <f>IF(P255&lt;0,"Invalid",
IF(P255&gt;1,"Invalid","Valid"))</f>
        <v>Valid</v>
      </c>
      <c r="AH255" s="7" t="str">
        <f>TEXT(B255,"mmmm")</f>
        <v>December</v>
      </c>
      <c r="AI255" s="7">
        <f t="shared" si="21"/>
        <v>2024</v>
      </c>
      <c r="AJ255" s="7" t="str">
        <f>IF(OR(R255&lt;0,C255&lt;B255),"Invalid",
IF(OR(G255="Unknown",M255="Unknown"),"Warning","Clean"))</f>
        <v>Clean</v>
      </c>
      <c r="AK255" s="7" t="str">
        <f>IF(C255&lt;B255,"Ship Before Order","OK")</f>
        <v>OK</v>
      </c>
      <c r="AL255" s="7" t="str">
        <f>IF(ISNUMBER(B255),"Valid","Invalid")</f>
        <v>Valid</v>
      </c>
      <c r="AM255" s="7" t="str">
        <f t="shared" si="22"/>
        <v>Missmatched</v>
      </c>
      <c r="AN255" s="7" t="str">
        <f t="shared" si="23"/>
        <v>Missmatched</v>
      </c>
    </row>
    <row r="256" spans="1:40">
      <c r="A256" t="s">
        <v>870</v>
      </c>
      <c r="B256" s="6">
        <v>45658</v>
      </c>
      <c r="C256" s="4">
        <v>45754</v>
      </c>
      <c r="D256" t="s">
        <v>871</v>
      </c>
      <c r="E256" t="s">
        <v>62</v>
      </c>
      <c r="F256" t="s">
        <v>24</v>
      </c>
      <c r="G256" t="s">
        <v>63</v>
      </c>
      <c r="H256" t="s">
        <v>72</v>
      </c>
      <c r="I256" t="s">
        <v>73</v>
      </c>
      <c r="J256" t="s">
        <v>74</v>
      </c>
      <c r="K256" t="s">
        <v>75</v>
      </c>
      <c r="L256" t="s">
        <v>872</v>
      </c>
      <c r="M256" t="s">
        <v>44</v>
      </c>
      <c r="N256">
        <v>7</v>
      </c>
      <c r="O256">
        <v>1000.55</v>
      </c>
      <c r="P256">
        <v>0.2</v>
      </c>
      <c r="Q256" s="7">
        <f>IF(P256="", 0, P256)</f>
        <v>0.2</v>
      </c>
      <c r="R256">
        <v>5603.08</v>
      </c>
      <c r="S256">
        <v>3132.52</v>
      </c>
      <c r="T256" s="7">
        <f>N256*O256*(1-Q256)</f>
        <v>5603.08</v>
      </c>
      <c r="U256" s="7">
        <f t="shared" si="18"/>
        <v>2470.56</v>
      </c>
      <c r="V256">
        <v>2470.56</v>
      </c>
      <c r="W256" s="12">
        <f t="shared" si="19"/>
        <v>0.44092891766671188</v>
      </c>
      <c r="X256" t="s">
        <v>32</v>
      </c>
      <c r="Y256" t="str">
        <f t="shared" si="20"/>
        <v>Paid</v>
      </c>
      <c r="Z256" t="s">
        <v>103</v>
      </c>
      <c r="AA256">
        <f>C256-B256</f>
        <v>96</v>
      </c>
      <c r="AB256" t="str">
        <f>IF(B256="","Missing Order Date",
IF(C256="","Missing Ship Date","OK"))</f>
        <v>OK</v>
      </c>
      <c r="AC256" s="7" t="str">
        <f>IF(C256&lt;B256, "Invalid", "Valid")</f>
        <v>Valid</v>
      </c>
      <c r="AD256" s="7" t="str">
        <f>IF(COUNTIF($A:$A, A256)&gt;1, "Duplicate", "Unique")</f>
        <v>Unique</v>
      </c>
      <c r="AE256" s="7" t="str">
        <f>IF(G256="","Unknown",G256)</f>
        <v>West</v>
      </c>
      <c r="AF256" s="7" t="str">
        <f>IF(M256="","Unknown",M256)</f>
        <v>Same Day</v>
      </c>
      <c r="AG256" s="7" t="str">
        <f>IF(P256&lt;0,"Invalid",
IF(P256&gt;1,"Invalid","Valid"))</f>
        <v>Valid</v>
      </c>
      <c r="AH256" s="7" t="str">
        <f>TEXT(B256,"mmmm")</f>
        <v>January</v>
      </c>
      <c r="AI256" s="7">
        <f t="shared" si="21"/>
        <v>2025</v>
      </c>
      <c r="AJ256" s="7" t="str">
        <f>IF(OR(R256&lt;0,C256&lt;B256),"Invalid",
IF(OR(G256="Unknown",M256="Unknown"),"Warning","Clean"))</f>
        <v>Clean</v>
      </c>
      <c r="AK256" s="7" t="str">
        <f>IF(C256&lt;B256,"Ship Before Order","OK")</f>
        <v>OK</v>
      </c>
      <c r="AL256" s="7" t="str">
        <f>IF(ISNUMBER(B256),"Valid","Invalid")</f>
        <v>Valid</v>
      </c>
      <c r="AM256" s="7" t="str">
        <f t="shared" si="22"/>
        <v>Ok</v>
      </c>
      <c r="AN256" s="7" t="str">
        <f t="shared" si="23"/>
        <v>Ok</v>
      </c>
    </row>
    <row r="257" spans="1:40">
      <c r="A257" t="s">
        <v>873</v>
      </c>
      <c r="B257" s="6">
        <v>45749</v>
      </c>
      <c r="C257" s="4">
        <v>45755</v>
      </c>
      <c r="D257" t="s">
        <v>874</v>
      </c>
      <c r="E257" t="s">
        <v>47</v>
      </c>
      <c r="F257" t="s">
        <v>90</v>
      </c>
      <c r="G257" t="s">
        <v>63</v>
      </c>
      <c r="H257" t="s">
        <v>64</v>
      </c>
      <c r="I257" t="s">
        <v>65</v>
      </c>
      <c r="J257" t="s">
        <v>74</v>
      </c>
      <c r="K257" t="s">
        <v>171</v>
      </c>
      <c r="L257" t="s">
        <v>875</v>
      </c>
      <c r="M257" t="s">
        <v>50</v>
      </c>
      <c r="N257">
        <v>7</v>
      </c>
      <c r="O257">
        <v>1830</v>
      </c>
      <c r="P257">
        <v>0</v>
      </c>
      <c r="Q257" s="7">
        <f>IF(P257="", 0, P257)</f>
        <v>0</v>
      </c>
      <c r="R257">
        <v>12810</v>
      </c>
      <c r="S257">
        <v>9334.1200000000008</v>
      </c>
      <c r="T257" s="7">
        <f>N257*O257*(1-Q257)</f>
        <v>12810</v>
      </c>
      <c r="U257" s="7">
        <f t="shared" si="18"/>
        <v>3475.8799999999992</v>
      </c>
      <c r="V257">
        <v>3475.88</v>
      </c>
      <c r="W257" s="12">
        <f t="shared" si="19"/>
        <v>0.27134113973458229</v>
      </c>
      <c r="X257" t="s">
        <v>32</v>
      </c>
      <c r="Y257" t="str">
        <f t="shared" si="20"/>
        <v>Paid</v>
      </c>
      <c r="Z257" t="s">
        <v>33</v>
      </c>
      <c r="AA257">
        <f>C257-B257</f>
        <v>6</v>
      </c>
      <c r="AB257" t="str">
        <f>IF(B257="","Missing Order Date",
IF(C257="","Missing Ship Date","OK"))</f>
        <v>OK</v>
      </c>
      <c r="AC257" s="7" t="str">
        <f>IF(C257&lt;B257, "Invalid", "Valid")</f>
        <v>Valid</v>
      </c>
      <c r="AD257" s="7" t="str">
        <f>IF(COUNTIF($A:$A, A257)&gt;1, "Duplicate", "Unique")</f>
        <v>Unique</v>
      </c>
      <c r="AE257" s="7" t="str">
        <f>IF(G257="","Unknown",G257)</f>
        <v>West</v>
      </c>
      <c r="AF257" s="7" t="str">
        <f>IF(M257="","Unknown",M257)</f>
        <v>First Class</v>
      </c>
      <c r="AG257" s="7" t="str">
        <f>IF(P257&lt;0,"Invalid",
IF(P257&gt;1,"Invalid","Valid"))</f>
        <v>Valid</v>
      </c>
      <c r="AH257" s="7" t="str">
        <f>TEXT(B257,"mmmm")</f>
        <v>April</v>
      </c>
      <c r="AI257" s="7">
        <f t="shared" si="21"/>
        <v>2025</v>
      </c>
      <c r="AJ257" s="7" t="str">
        <f>IF(OR(R257&lt;0,C257&lt;B257),"Invalid",
IF(OR(G257="Unknown",M257="Unknown"),"Warning","Clean"))</f>
        <v>Clean</v>
      </c>
      <c r="AK257" s="7" t="str">
        <f>IF(C257&lt;B257,"Ship Before Order","OK")</f>
        <v>OK</v>
      </c>
      <c r="AL257" s="7" t="str">
        <f>IF(ISNUMBER(B257),"Valid","Invalid")</f>
        <v>Valid</v>
      </c>
      <c r="AM257" s="7" t="str">
        <f t="shared" si="22"/>
        <v>Ok</v>
      </c>
      <c r="AN257" s="7" t="str">
        <f t="shared" si="23"/>
        <v>Ok</v>
      </c>
    </row>
    <row r="258" spans="1:40">
      <c r="A258" t="s">
        <v>876</v>
      </c>
      <c r="B258" s="6">
        <v>45423</v>
      </c>
      <c r="C258" s="4">
        <v>45756</v>
      </c>
      <c r="D258" t="s">
        <v>877</v>
      </c>
      <c r="E258" t="s">
        <v>62</v>
      </c>
      <c r="F258" t="s">
        <v>24</v>
      </c>
      <c r="G258" t="s">
        <v>38</v>
      </c>
      <c r="H258" t="s">
        <v>99</v>
      </c>
      <c r="I258" t="s">
        <v>100</v>
      </c>
      <c r="J258" t="s">
        <v>41</v>
      </c>
      <c r="K258" t="s">
        <v>42</v>
      </c>
      <c r="L258" t="s">
        <v>878</v>
      </c>
      <c r="M258" t="s">
        <v>50</v>
      </c>
      <c r="N258">
        <v>9</v>
      </c>
      <c r="O258">
        <v>2260.61</v>
      </c>
      <c r="P258">
        <v>0.05</v>
      </c>
      <c r="Q258" s="7">
        <f>IF(P258="", 0, P258)</f>
        <v>0.05</v>
      </c>
      <c r="R258">
        <v>19328.22</v>
      </c>
      <c r="S258">
        <v>12039.5</v>
      </c>
      <c r="T258" s="7">
        <f>N258*O258*(1-Q258)</f>
        <v>19328.215500000002</v>
      </c>
      <c r="U258" s="7">
        <f t="shared" ref="U258:U321" si="24">T258-S258</f>
        <v>7288.7155000000021</v>
      </c>
      <c r="V258">
        <v>7288.72</v>
      </c>
      <c r="W258" s="12">
        <f t="shared" ref="W258:W321" si="25">IF(T258=0,0,U258/T258)</f>
        <v>0.3771023507058891</v>
      </c>
      <c r="X258" t="s">
        <v>32</v>
      </c>
      <c r="Y258" t="str">
        <f t="shared" ref="Y258:Y321" si="26">PROPER(TRIM(X258))</f>
        <v>Paid</v>
      </c>
      <c r="Z258" t="s">
        <v>33</v>
      </c>
      <c r="AA258">
        <f>C258-B258</f>
        <v>333</v>
      </c>
      <c r="AB258" t="str">
        <f>IF(B258="","Missing Order Date",
IF(C258="","Missing Ship Date","OK"))</f>
        <v>OK</v>
      </c>
      <c r="AC258" s="7" t="str">
        <f>IF(C258&lt;B258, "Invalid", "Valid")</f>
        <v>Valid</v>
      </c>
      <c r="AD258" s="7" t="str">
        <f>IF(COUNTIF($A:$A, A258)&gt;1, "Duplicate", "Unique")</f>
        <v>Unique</v>
      </c>
      <c r="AE258" s="7" t="str">
        <f>IF(G258="","Unknown",G258)</f>
        <v>East</v>
      </c>
      <c r="AF258" s="7" t="str">
        <f>IF(M258="","Unknown",M258)</f>
        <v>First Class</v>
      </c>
      <c r="AG258" s="7" t="str">
        <f>IF(P258&lt;0,"Invalid",
IF(P258&gt;1,"Invalid","Valid"))</f>
        <v>Valid</v>
      </c>
      <c r="AH258" s="7" t="str">
        <f>TEXT(B258,"mmmm")</f>
        <v>May</v>
      </c>
      <c r="AI258" s="7">
        <f t="shared" ref="AI258:AI321" si="27">YEAR(B258)</f>
        <v>2024</v>
      </c>
      <c r="AJ258" s="7" t="str">
        <f>IF(OR(R258&lt;0,C258&lt;B258),"Invalid",
IF(OR(G258="Unknown",M258="Unknown"),"Warning","Clean"))</f>
        <v>Clean</v>
      </c>
      <c r="AK258" s="7" t="str">
        <f>IF(C258&lt;B258,"Ship Before Order","OK")</f>
        <v>OK</v>
      </c>
      <c r="AL258" s="7" t="str">
        <f>IF(ISNUMBER(B258),"Valid","Invalid")</f>
        <v>Valid</v>
      </c>
      <c r="AM258" s="7" t="str">
        <f t="shared" ref="AM258:AM321" si="28">IF(R258&lt;&gt;T258, "Missmatched", "Ok")</f>
        <v>Missmatched</v>
      </c>
      <c r="AN258" s="7" t="str">
        <f t="shared" ref="AN258:AN321" si="29">IF(V258&lt;&gt;U258, "Missmatched", "Ok")</f>
        <v>Missmatched</v>
      </c>
    </row>
    <row r="259" spans="1:40">
      <c r="A259" t="s">
        <v>879</v>
      </c>
      <c r="B259" s="6">
        <v>45908</v>
      </c>
      <c r="C259" s="4">
        <v>45757</v>
      </c>
      <c r="D259" t="s">
        <v>880</v>
      </c>
      <c r="E259" t="s">
        <v>162</v>
      </c>
      <c r="F259" t="s">
        <v>90</v>
      </c>
      <c r="G259" t="s">
        <v>54</v>
      </c>
      <c r="H259" t="s">
        <v>175</v>
      </c>
      <c r="I259" t="s">
        <v>176</v>
      </c>
      <c r="J259" t="s">
        <v>74</v>
      </c>
      <c r="K259" t="s">
        <v>75</v>
      </c>
      <c r="L259" t="s">
        <v>881</v>
      </c>
      <c r="M259" t="s">
        <v>31</v>
      </c>
      <c r="N259">
        <v>2</v>
      </c>
      <c r="O259">
        <v>3237.27</v>
      </c>
      <c r="P259">
        <v>0</v>
      </c>
      <c r="Q259" s="7">
        <f>IF(P259="", 0, P259)</f>
        <v>0</v>
      </c>
      <c r="R259">
        <v>6474.54</v>
      </c>
      <c r="S259">
        <v>5095.91</v>
      </c>
      <c r="T259" s="7">
        <f>N259*O259*(1-Q259)</f>
        <v>6474.54</v>
      </c>
      <c r="U259" s="7">
        <f t="shared" si="24"/>
        <v>1378.63</v>
      </c>
      <c r="V259">
        <v>1378.63</v>
      </c>
      <c r="W259" s="12">
        <f t="shared" si="25"/>
        <v>0.21293095725719513</v>
      </c>
      <c r="X259" t="s">
        <v>32</v>
      </c>
      <c r="Y259" t="str">
        <f t="shared" si="26"/>
        <v>Paid</v>
      </c>
      <c r="Z259" t="s">
        <v>68</v>
      </c>
      <c r="AA259">
        <f>C259-B259</f>
        <v>-151</v>
      </c>
      <c r="AB259" t="str">
        <f>IF(B259="","Missing Order Date",
IF(C259="","Missing Ship Date","OK"))</f>
        <v>OK</v>
      </c>
      <c r="AC259" s="7" t="str">
        <f>IF(C259&lt;B259, "Invalid", "Valid")</f>
        <v>Invalid</v>
      </c>
      <c r="AD259" s="7" t="str">
        <f>IF(COUNTIF($A:$A, A259)&gt;1, "Duplicate", "Unique")</f>
        <v>Unique</v>
      </c>
      <c r="AE259" s="7" t="str">
        <f>IF(G259="","Unknown",G259)</f>
        <v>South</v>
      </c>
      <c r="AF259" s="7" t="str">
        <f>IF(M259="","Unknown",M259)</f>
        <v>Second Class</v>
      </c>
      <c r="AG259" s="7" t="str">
        <f>IF(P259&lt;0,"Invalid",
IF(P259&gt;1,"Invalid","Valid"))</f>
        <v>Valid</v>
      </c>
      <c r="AH259" s="7" t="str">
        <f>TEXT(B259,"mmmm")</f>
        <v>September</v>
      </c>
      <c r="AI259" s="7">
        <f t="shared" si="27"/>
        <v>2025</v>
      </c>
      <c r="AJ259" s="7" t="str">
        <f>IF(OR(R259&lt;0,C259&lt;B259),"Invalid",
IF(OR(G259="Unknown",M259="Unknown"),"Warning","Clean"))</f>
        <v>Invalid</v>
      </c>
      <c r="AK259" s="7" t="str">
        <f>IF(C259&lt;B259,"Ship Before Order","OK")</f>
        <v>Ship Before Order</v>
      </c>
      <c r="AL259" s="7" t="str">
        <f>IF(ISNUMBER(B259),"Valid","Invalid")</f>
        <v>Valid</v>
      </c>
      <c r="AM259" s="7" t="str">
        <f t="shared" si="28"/>
        <v>Ok</v>
      </c>
      <c r="AN259" s="7" t="str">
        <f t="shared" si="29"/>
        <v>Ok</v>
      </c>
    </row>
    <row r="260" spans="1:40">
      <c r="A260" t="s">
        <v>882</v>
      </c>
      <c r="B260" s="6">
        <v>45656</v>
      </c>
      <c r="C260" s="4">
        <v>45758</v>
      </c>
      <c r="D260" t="s">
        <v>883</v>
      </c>
      <c r="E260" t="s">
        <v>132</v>
      </c>
      <c r="F260" t="s">
        <v>90</v>
      </c>
      <c r="G260" t="s">
        <v>54</v>
      </c>
      <c r="H260" t="s">
        <v>247</v>
      </c>
      <c r="I260" t="s">
        <v>248</v>
      </c>
      <c r="J260" t="s">
        <v>41</v>
      </c>
      <c r="K260" t="s">
        <v>42</v>
      </c>
      <c r="L260" t="s">
        <v>884</v>
      </c>
      <c r="M260" t="s">
        <v>44</v>
      </c>
      <c r="N260">
        <v>2</v>
      </c>
      <c r="O260">
        <v>3720.07</v>
      </c>
      <c r="P260">
        <v>0.25</v>
      </c>
      <c r="Q260" s="7">
        <f>IF(P260="", 0, P260)</f>
        <v>0.25</v>
      </c>
      <c r="R260">
        <v>5580.11</v>
      </c>
      <c r="S260">
        <v>4307.01</v>
      </c>
      <c r="T260" s="7">
        <f>N260*O260*(1-Q260)</f>
        <v>5580.1050000000005</v>
      </c>
      <c r="U260" s="7">
        <f t="shared" si="24"/>
        <v>1273.0950000000003</v>
      </c>
      <c r="V260">
        <v>1273.0999999999999</v>
      </c>
      <c r="W260" s="12">
        <f t="shared" si="25"/>
        <v>0.22814893268137429</v>
      </c>
      <c r="X260" t="s">
        <v>32</v>
      </c>
      <c r="Y260" t="str">
        <f t="shared" si="26"/>
        <v>Paid</v>
      </c>
      <c r="Z260" t="s">
        <v>33</v>
      </c>
      <c r="AA260">
        <f>C260-B260</f>
        <v>102</v>
      </c>
      <c r="AB260" t="str">
        <f>IF(B260="","Missing Order Date",
IF(C260="","Missing Ship Date","OK"))</f>
        <v>OK</v>
      </c>
      <c r="AC260" s="7" t="str">
        <f>IF(C260&lt;B260, "Invalid", "Valid")</f>
        <v>Valid</v>
      </c>
      <c r="AD260" s="7" t="str">
        <f>IF(COUNTIF($A:$A, A260)&gt;1, "Duplicate", "Unique")</f>
        <v>Unique</v>
      </c>
      <c r="AE260" s="7" t="str">
        <f>IF(G260="","Unknown",G260)</f>
        <v>South</v>
      </c>
      <c r="AF260" s="7" t="str">
        <f>IF(M260="","Unknown",M260)</f>
        <v>Same Day</v>
      </c>
      <c r="AG260" s="7" t="str">
        <f>IF(P260&lt;0,"Invalid",
IF(P260&gt;1,"Invalid","Valid"))</f>
        <v>Valid</v>
      </c>
      <c r="AH260" s="7" t="str">
        <f>TEXT(B260,"mmmm")</f>
        <v>December</v>
      </c>
      <c r="AI260" s="7">
        <f t="shared" si="27"/>
        <v>2024</v>
      </c>
      <c r="AJ260" s="7" t="str">
        <f>IF(OR(R260&lt;0,C260&lt;B260),"Invalid",
IF(OR(G260="Unknown",M260="Unknown"),"Warning","Clean"))</f>
        <v>Clean</v>
      </c>
      <c r="AK260" s="7" t="str">
        <f>IF(C260&lt;B260,"Ship Before Order","OK")</f>
        <v>OK</v>
      </c>
      <c r="AL260" s="7" t="str">
        <f>IF(ISNUMBER(B260),"Valid","Invalid")</f>
        <v>Valid</v>
      </c>
      <c r="AM260" s="7" t="str">
        <f t="shared" si="28"/>
        <v>Missmatched</v>
      </c>
      <c r="AN260" s="7" t="str">
        <f t="shared" si="29"/>
        <v>Missmatched</v>
      </c>
    </row>
    <row r="261" spans="1:40">
      <c r="A261" t="s">
        <v>885</v>
      </c>
      <c r="B261" s="6">
        <v>45464</v>
      </c>
      <c r="C261" s="4">
        <v>45759</v>
      </c>
      <c r="D261" t="s">
        <v>886</v>
      </c>
      <c r="E261" t="s">
        <v>79</v>
      </c>
      <c r="F261" t="s">
        <v>24</v>
      </c>
      <c r="G261" t="s">
        <v>54</v>
      </c>
      <c r="H261" t="s">
        <v>247</v>
      </c>
      <c r="I261" t="s">
        <v>248</v>
      </c>
      <c r="J261" t="s">
        <v>74</v>
      </c>
      <c r="K261" t="s">
        <v>274</v>
      </c>
      <c r="L261" t="s">
        <v>887</v>
      </c>
      <c r="M261" t="s">
        <v>59</v>
      </c>
      <c r="N261">
        <v>8</v>
      </c>
      <c r="O261">
        <v>2853.92</v>
      </c>
      <c r="P261">
        <v>0.2</v>
      </c>
      <c r="Q261" s="7">
        <f>IF(P261="", 0, P261)</f>
        <v>0.2</v>
      </c>
      <c r="R261">
        <v>18265.09</v>
      </c>
      <c r="S261">
        <v>10437.14</v>
      </c>
      <c r="T261" s="7">
        <f>N261*O261*(1-Q261)</f>
        <v>18265.088</v>
      </c>
      <c r="U261" s="7">
        <f t="shared" si="24"/>
        <v>7827.9480000000003</v>
      </c>
      <c r="V261">
        <v>7827.95</v>
      </c>
      <c r="W261" s="12">
        <f t="shared" si="25"/>
        <v>0.42857433810338064</v>
      </c>
      <c r="X261" t="s">
        <v>32</v>
      </c>
      <c r="Y261" t="str">
        <f t="shared" si="26"/>
        <v>Paid</v>
      </c>
      <c r="Z261" t="s">
        <v>33</v>
      </c>
      <c r="AA261">
        <f>C261-B261</f>
        <v>295</v>
      </c>
      <c r="AB261" t="str">
        <f>IF(B261="","Missing Order Date",
IF(C261="","Missing Ship Date","OK"))</f>
        <v>OK</v>
      </c>
      <c r="AC261" s="7" t="str">
        <f>IF(C261&lt;B261, "Invalid", "Valid")</f>
        <v>Valid</v>
      </c>
      <c r="AD261" s="7" t="str">
        <f>IF(COUNTIF($A:$A, A261)&gt;1, "Duplicate", "Unique")</f>
        <v>Unique</v>
      </c>
      <c r="AE261" s="7" t="str">
        <f>IF(G261="","Unknown",G261)</f>
        <v>South</v>
      </c>
      <c r="AF261" s="7" t="str">
        <f>IF(M261="","Unknown",M261)</f>
        <v>Standard Class</v>
      </c>
      <c r="AG261" s="7" t="str">
        <f>IF(P261&lt;0,"Invalid",
IF(P261&gt;1,"Invalid","Valid"))</f>
        <v>Valid</v>
      </c>
      <c r="AH261" s="7" t="str">
        <f>TEXT(B261,"mmmm")</f>
        <v>June</v>
      </c>
      <c r="AI261" s="7">
        <f t="shared" si="27"/>
        <v>2024</v>
      </c>
      <c r="AJ261" s="7" t="str">
        <f>IF(OR(R261&lt;0,C261&lt;B261),"Invalid",
IF(OR(G261="Unknown",M261="Unknown"),"Warning","Clean"))</f>
        <v>Clean</v>
      </c>
      <c r="AK261" s="7" t="str">
        <f>IF(C261&lt;B261,"Ship Before Order","OK")</f>
        <v>OK</v>
      </c>
      <c r="AL261" s="7" t="str">
        <f>IF(ISNUMBER(B261),"Valid","Invalid")</f>
        <v>Valid</v>
      </c>
      <c r="AM261" s="7" t="str">
        <f t="shared" si="28"/>
        <v>Missmatched</v>
      </c>
      <c r="AN261" s="7" t="str">
        <f t="shared" si="29"/>
        <v>Missmatched</v>
      </c>
    </row>
    <row r="262" spans="1:40">
      <c r="A262" t="s">
        <v>888</v>
      </c>
      <c r="B262" s="6">
        <v>45923</v>
      </c>
      <c r="C262" s="4">
        <v>45760</v>
      </c>
      <c r="D262" t="s">
        <v>889</v>
      </c>
      <c r="E262" t="s">
        <v>89</v>
      </c>
      <c r="F262" t="s">
        <v>90</v>
      </c>
      <c r="G262" t="s">
        <v>38</v>
      </c>
      <c r="H262" t="s">
        <v>99</v>
      </c>
      <c r="I262" t="s">
        <v>100</v>
      </c>
      <c r="J262" t="s">
        <v>28</v>
      </c>
      <c r="K262" t="s">
        <v>153</v>
      </c>
      <c r="L262" t="s">
        <v>890</v>
      </c>
      <c r="M262" t="s">
        <v>44</v>
      </c>
      <c r="N262">
        <v>7</v>
      </c>
      <c r="O262">
        <v>2897.12</v>
      </c>
      <c r="P262">
        <v>0.25</v>
      </c>
      <c r="Q262" s="7">
        <f>IF(P262="", 0, P262)</f>
        <v>0.25</v>
      </c>
      <c r="R262">
        <v>15209.88</v>
      </c>
      <c r="S262">
        <v>10891.15</v>
      </c>
      <c r="T262" s="7">
        <f>N262*O262*(1-Q262)</f>
        <v>15209.880000000001</v>
      </c>
      <c r="U262" s="7">
        <f t="shared" si="24"/>
        <v>4318.7300000000014</v>
      </c>
      <c r="V262">
        <v>4318.7299999999996</v>
      </c>
      <c r="W262" s="12">
        <f t="shared" si="25"/>
        <v>0.28394241111698454</v>
      </c>
      <c r="X262" t="s">
        <v>155</v>
      </c>
      <c r="Y262" t="str">
        <f t="shared" si="26"/>
        <v>Failed</v>
      </c>
      <c r="Z262" t="s">
        <v>103</v>
      </c>
      <c r="AA262">
        <f>C262-B262</f>
        <v>-163</v>
      </c>
      <c r="AB262" t="str">
        <f>IF(B262="","Missing Order Date",
IF(C262="","Missing Ship Date","OK"))</f>
        <v>OK</v>
      </c>
      <c r="AC262" s="7" t="str">
        <f>IF(C262&lt;B262, "Invalid", "Valid")</f>
        <v>Invalid</v>
      </c>
      <c r="AD262" s="7" t="str">
        <f>IF(COUNTIF($A:$A, A262)&gt;1, "Duplicate", "Unique")</f>
        <v>Unique</v>
      </c>
      <c r="AE262" s="7" t="str">
        <f>IF(G262="","Unknown",G262)</f>
        <v>East</v>
      </c>
      <c r="AF262" s="7" t="str">
        <f>IF(M262="","Unknown",M262)</f>
        <v>Same Day</v>
      </c>
      <c r="AG262" s="7" t="str">
        <f>IF(P262&lt;0,"Invalid",
IF(P262&gt;1,"Invalid","Valid"))</f>
        <v>Valid</v>
      </c>
      <c r="AH262" s="7" t="str">
        <f>TEXT(B262,"mmmm")</f>
        <v>September</v>
      </c>
      <c r="AI262" s="7">
        <f t="shared" si="27"/>
        <v>2025</v>
      </c>
      <c r="AJ262" s="7" t="str">
        <f>IF(OR(R262&lt;0,C262&lt;B262),"Invalid",
IF(OR(G262="Unknown",M262="Unknown"),"Warning","Clean"))</f>
        <v>Invalid</v>
      </c>
      <c r="AK262" s="7" t="str">
        <f>IF(C262&lt;B262,"Ship Before Order","OK")</f>
        <v>Ship Before Order</v>
      </c>
      <c r="AL262" s="7" t="str">
        <f>IF(ISNUMBER(B262),"Valid","Invalid")</f>
        <v>Valid</v>
      </c>
      <c r="AM262" s="7" t="str">
        <f t="shared" si="28"/>
        <v>Ok</v>
      </c>
      <c r="AN262" s="7" t="str">
        <f t="shared" si="29"/>
        <v>Ok</v>
      </c>
    </row>
    <row r="263" spans="1:40">
      <c r="A263" t="s">
        <v>891</v>
      </c>
      <c r="B263" s="6">
        <v>45826</v>
      </c>
      <c r="C263" s="4">
        <v>45761</v>
      </c>
      <c r="D263" t="s">
        <v>892</v>
      </c>
      <c r="E263" t="s">
        <v>132</v>
      </c>
      <c r="F263" t="s">
        <v>90</v>
      </c>
      <c r="G263" t="s">
        <v>25</v>
      </c>
      <c r="H263" t="s">
        <v>26</v>
      </c>
      <c r="I263" t="s">
        <v>27</v>
      </c>
      <c r="J263" t="s">
        <v>28</v>
      </c>
      <c r="K263" t="s">
        <v>91</v>
      </c>
      <c r="L263" t="s">
        <v>893</v>
      </c>
      <c r="M263" t="s">
        <v>59</v>
      </c>
      <c r="N263">
        <v>3</v>
      </c>
      <c r="O263">
        <v>686.74</v>
      </c>
      <c r="P263">
        <v>0.2</v>
      </c>
      <c r="Q263" s="7">
        <f>IF(P263="", 0, P263)</f>
        <v>0.2</v>
      </c>
      <c r="R263">
        <v>1648.18</v>
      </c>
      <c r="S263">
        <v>987.91</v>
      </c>
      <c r="T263" s="7">
        <f>N263*O263*(1-Q263)</f>
        <v>1648.1760000000004</v>
      </c>
      <c r="U263" s="7">
        <f t="shared" si="24"/>
        <v>660.26600000000042</v>
      </c>
      <c r="V263">
        <v>660.27</v>
      </c>
      <c r="W263" s="12">
        <f t="shared" si="25"/>
        <v>0.40060406170214846</v>
      </c>
      <c r="X263" t="s">
        <v>155</v>
      </c>
      <c r="Y263" t="str">
        <f t="shared" si="26"/>
        <v>Failed</v>
      </c>
      <c r="Z263" t="s">
        <v>68</v>
      </c>
      <c r="AA263">
        <f>C263-B263</f>
        <v>-65</v>
      </c>
      <c r="AB263" t="str">
        <f>IF(B263="","Missing Order Date",
IF(C263="","Missing Ship Date","OK"))</f>
        <v>OK</v>
      </c>
      <c r="AC263" s="7" t="str">
        <f>IF(C263&lt;B263, "Invalid", "Valid")</f>
        <v>Invalid</v>
      </c>
      <c r="AD263" s="7" t="str">
        <f>IF(COUNTIF($A:$A, A263)&gt;1, "Duplicate", "Unique")</f>
        <v>Unique</v>
      </c>
      <c r="AE263" s="7" t="str">
        <f>IF(G263="","Unknown",G263)</f>
        <v>North</v>
      </c>
      <c r="AF263" s="7" t="str">
        <f>IF(M263="","Unknown",M263)</f>
        <v>Standard Class</v>
      </c>
      <c r="AG263" s="7" t="str">
        <f>IF(P263&lt;0,"Invalid",
IF(P263&gt;1,"Invalid","Valid"))</f>
        <v>Valid</v>
      </c>
      <c r="AH263" s="7" t="str">
        <f>TEXT(B263,"mmmm")</f>
        <v>June</v>
      </c>
      <c r="AI263" s="7">
        <f t="shared" si="27"/>
        <v>2025</v>
      </c>
      <c r="AJ263" s="7" t="str">
        <f>IF(OR(R263&lt;0,C263&lt;B263),"Invalid",
IF(OR(G263="Unknown",M263="Unknown"),"Warning","Clean"))</f>
        <v>Invalid</v>
      </c>
      <c r="AK263" s="7" t="str">
        <f>IF(C263&lt;B263,"Ship Before Order","OK")</f>
        <v>Ship Before Order</v>
      </c>
      <c r="AL263" s="7" t="str">
        <f>IF(ISNUMBER(B263),"Valid","Invalid")</f>
        <v>Valid</v>
      </c>
      <c r="AM263" s="7" t="str">
        <f t="shared" si="28"/>
        <v>Missmatched</v>
      </c>
      <c r="AN263" s="7" t="str">
        <f t="shared" si="29"/>
        <v>Missmatched</v>
      </c>
    </row>
    <row r="264" spans="1:40">
      <c r="A264" t="s">
        <v>894</v>
      </c>
      <c r="B264" s="6">
        <v>45803</v>
      </c>
      <c r="C264" s="4">
        <v>45762</v>
      </c>
      <c r="D264" t="s">
        <v>629</v>
      </c>
      <c r="E264" t="s">
        <v>53</v>
      </c>
      <c r="F264" t="s">
        <v>37</v>
      </c>
      <c r="G264" t="s">
        <v>25</v>
      </c>
      <c r="H264" t="s">
        <v>350</v>
      </c>
      <c r="I264" t="s">
        <v>351</v>
      </c>
      <c r="J264" t="s">
        <v>74</v>
      </c>
      <c r="K264" t="s">
        <v>171</v>
      </c>
      <c r="L264" t="s">
        <v>895</v>
      </c>
      <c r="M264" t="s">
        <v>44</v>
      </c>
      <c r="N264">
        <v>4</v>
      </c>
      <c r="O264">
        <v>3349.86</v>
      </c>
      <c r="P264">
        <v>0</v>
      </c>
      <c r="Q264" s="7">
        <f>IF(P264="", 0, P264)</f>
        <v>0</v>
      </c>
      <c r="R264">
        <v>13399.44</v>
      </c>
      <c r="S264">
        <v>8581.35</v>
      </c>
      <c r="T264" s="7">
        <f>N264*O264*(1-Q264)</f>
        <v>13399.44</v>
      </c>
      <c r="U264" s="7">
        <f t="shared" si="24"/>
        <v>4818.09</v>
      </c>
      <c r="V264">
        <v>4818.09</v>
      </c>
      <c r="W264" s="12">
        <f t="shared" si="25"/>
        <v>0.3595739821962709</v>
      </c>
      <c r="X264" t="s">
        <v>111</v>
      </c>
      <c r="Y264" t="str">
        <f t="shared" si="26"/>
        <v>Pending</v>
      </c>
      <c r="Z264" t="s">
        <v>103</v>
      </c>
      <c r="AA264">
        <f>C264-B264</f>
        <v>-41</v>
      </c>
      <c r="AB264" t="str">
        <f>IF(B264="","Missing Order Date",
IF(C264="","Missing Ship Date","OK"))</f>
        <v>OK</v>
      </c>
      <c r="AC264" s="7" t="str">
        <f>IF(C264&lt;B264, "Invalid", "Valid")</f>
        <v>Invalid</v>
      </c>
      <c r="AD264" s="7" t="str">
        <f>IF(COUNTIF($A:$A, A264)&gt;1, "Duplicate", "Unique")</f>
        <v>Unique</v>
      </c>
      <c r="AE264" s="7" t="str">
        <f>IF(G264="","Unknown",G264)</f>
        <v>North</v>
      </c>
      <c r="AF264" s="7" t="str">
        <f>IF(M264="","Unknown",M264)</f>
        <v>Same Day</v>
      </c>
      <c r="AG264" s="7" t="str">
        <f>IF(P264&lt;0,"Invalid",
IF(P264&gt;1,"Invalid","Valid"))</f>
        <v>Valid</v>
      </c>
      <c r="AH264" s="7" t="str">
        <f>TEXT(B264,"mmmm")</f>
        <v>May</v>
      </c>
      <c r="AI264" s="7">
        <f t="shared" si="27"/>
        <v>2025</v>
      </c>
      <c r="AJ264" s="7" t="str">
        <f>IF(OR(R264&lt;0,C264&lt;B264),"Invalid",
IF(OR(G264="Unknown",M264="Unknown"),"Warning","Clean"))</f>
        <v>Invalid</v>
      </c>
      <c r="AK264" s="7" t="str">
        <f>IF(C264&lt;B264,"Ship Before Order","OK")</f>
        <v>Ship Before Order</v>
      </c>
      <c r="AL264" s="7" t="str">
        <f>IF(ISNUMBER(B264),"Valid","Invalid")</f>
        <v>Valid</v>
      </c>
      <c r="AM264" s="7" t="str">
        <f t="shared" si="28"/>
        <v>Ok</v>
      </c>
      <c r="AN264" s="7" t="str">
        <f t="shared" si="29"/>
        <v>Ok</v>
      </c>
    </row>
    <row r="265" spans="1:40">
      <c r="A265" t="s">
        <v>896</v>
      </c>
      <c r="B265" s="6">
        <v>45816</v>
      </c>
      <c r="C265" s="4">
        <v>45763</v>
      </c>
      <c r="D265" t="s">
        <v>897</v>
      </c>
      <c r="E265" t="s">
        <v>141</v>
      </c>
      <c r="F265" t="s">
        <v>37</v>
      </c>
      <c r="G265" t="s">
        <v>25</v>
      </c>
      <c r="H265" t="s">
        <v>350</v>
      </c>
      <c r="I265" t="s">
        <v>351</v>
      </c>
      <c r="J265" t="s">
        <v>28</v>
      </c>
      <c r="K265" t="s">
        <v>153</v>
      </c>
      <c r="L265" t="s">
        <v>898</v>
      </c>
      <c r="M265" t="s">
        <v>31</v>
      </c>
      <c r="N265">
        <v>9</v>
      </c>
      <c r="O265">
        <v>4042.45</v>
      </c>
      <c r="P265">
        <v>0.1</v>
      </c>
      <c r="Q265" s="7">
        <f>IF(P265="", 0, P265)</f>
        <v>0.1</v>
      </c>
      <c r="R265">
        <v>32743.84</v>
      </c>
      <c r="S265">
        <v>22452.05</v>
      </c>
      <c r="T265" s="7">
        <f>N265*O265*(1-Q265)</f>
        <v>32743.844999999998</v>
      </c>
      <c r="U265" s="7">
        <f t="shared" si="24"/>
        <v>10291.794999999998</v>
      </c>
      <c r="V265">
        <v>10291.790000000001</v>
      </c>
      <c r="W265" s="12">
        <f t="shared" si="25"/>
        <v>0.314312353970647</v>
      </c>
      <c r="X265" t="s">
        <v>111</v>
      </c>
      <c r="Y265" t="str">
        <f t="shared" si="26"/>
        <v>Pending</v>
      </c>
      <c r="Z265" t="s">
        <v>103</v>
      </c>
      <c r="AA265">
        <f>C265-B265</f>
        <v>-53</v>
      </c>
      <c r="AB265" t="str">
        <f>IF(B265="","Missing Order Date",
IF(C265="","Missing Ship Date","OK"))</f>
        <v>OK</v>
      </c>
      <c r="AC265" s="7" t="str">
        <f>IF(C265&lt;B265, "Invalid", "Valid")</f>
        <v>Invalid</v>
      </c>
      <c r="AD265" s="7" t="str">
        <f>IF(COUNTIF($A:$A, A265)&gt;1, "Duplicate", "Unique")</f>
        <v>Unique</v>
      </c>
      <c r="AE265" s="7" t="str">
        <f>IF(G265="","Unknown",G265)</f>
        <v>North</v>
      </c>
      <c r="AF265" s="7" t="str">
        <f>IF(M265="","Unknown",M265)</f>
        <v>Second Class</v>
      </c>
      <c r="AG265" s="7" t="str">
        <f>IF(P265&lt;0,"Invalid",
IF(P265&gt;1,"Invalid","Valid"))</f>
        <v>Valid</v>
      </c>
      <c r="AH265" s="7" t="str">
        <f>TEXT(B265,"mmmm")</f>
        <v>June</v>
      </c>
      <c r="AI265" s="7">
        <f t="shared" si="27"/>
        <v>2025</v>
      </c>
      <c r="AJ265" s="7" t="str">
        <f>IF(OR(R265&lt;0,C265&lt;B265),"Invalid",
IF(OR(G265="Unknown",M265="Unknown"),"Warning","Clean"))</f>
        <v>Invalid</v>
      </c>
      <c r="AK265" s="7" t="str">
        <f>IF(C265&lt;B265,"Ship Before Order","OK")</f>
        <v>Ship Before Order</v>
      </c>
      <c r="AL265" s="7" t="str">
        <f>IF(ISNUMBER(B265),"Valid","Invalid")</f>
        <v>Valid</v>
      </c>
      <c r="AM265" s="7" t="str">
        <f t="shared" si="28"/>
        <v>Missmatched</v>
      </c>
      <c r="AN265" s="7" t="str">
        <f t="shared" si="29"/>
        <v>Missmatched</v>
      </c>
    </row>
    <row r="266" spans="1:40">
      <c r="A266" t="s">
        <v>899</v>
      </c>
      <c r="B266" s="6">
        <v>45428</v>
      </c>
      <c r="C266" s="4">
        <v>45764</v>
      </c>
      <c r="D266" t="s">
        <v>900</v>
      </c>
      <c r="E266" t="s">
        <v>162</v>
      </c>
      <c r="F266" t="s">
        <v>37</v>
      </c>
      <c r="G266" t="s">
        <v>38</v>
      </c>
      <c r="H266" t="s">
        <v>145</v>
      </c>
      <c r="I266" t="s">
        <v>146</v>
      </c>
      <c r="J266" t="s">
        <v>74</v>
      </c>
      <c r="K266" t="s">
        <v>80</v>
      </c>
      <c r="L266" t="s">
        <v>901</v>
      </c>
      <c r="M266" t="s">
        <v>59</v>
      </c>
      <c r="N266">
        <v>4</v>
      </c>
      <c r="O266">
        <v>1503.07</v>
      </c>
      <c r="P266">
        <v>0</v>
      </c>
      <c r="Q266" s="7">
        <f>IF(P266="", 0, P266)</f>
        <v>0</v>
      </c>
      <c r="R266">
        <v>6012.28</v>
      </c>
      <c r="S266">
        <v>3927.64</v>
      </c>
      <c r="T266" s="7">
        <f>N266*O266*(1-Q266)</f>
        <v>6012.28</v>
      </c>
      <c r="U266" s="7">
        <f t="shared" si="24"/>
        <v>2084.64</v>
      </c>
      <c r="V266">
        <v>2084.64</v>
      </c>
      <c r="W266" s="12">
        <f t="shared" si="25"/>
        <v>0.34673035853286938</v>
      </c>
      <c r="X266" t="s">
        <v>32</v>
      </c>
      <c r="Y266" t="str">
        <f t="shared" si="26"/>
        <v>Paid</v>
      </c>
      <c r="Z266" t="s">
        <v>33</v>
      </c>
      <c r="AA266">
        <f>C266-B266</f>
        <v>336</v>
      </c>
      <c r="AB266" t="str">
        <f>IF(B266="","Missing Order Date",
IF(C266="","Missing Ship Date","OK"))</f>
        <v>OK</v>
      </c>
      <c r="AC266" s="7" t="str">
        <f>IF(C266&lt;B266, "Invalid", "Valid")</f>
        <v>Valid</v>
      </c>
      <c r="AD266" s="7" t="str">
        <f>IF(COUNTIF($A:$A, A266)&gt;1, "Duplicate", "Unique")</f>
        <v>Unique</v>
      </c>
      <c r="AE266" s="7" t="str">
        <f>IF(G266="","Unknown",G266)</f>
        <v>East</v>
      </c>
      <c r="AF266" s="7" t="str">
        <f>IF(M266="","Unknown",M266)</f>
        <v>Standard Class</v>
      </c>
      <c r="AG266" s="7" t="str">
        <f>IF(P266&lt;0,"Invalid",
IF(P266&gt;1,"Invalid","Valid"))</f>
        <v>Valid</v>
      </c>
      <c r="AH266" s="7" t="str">
        <f>TEXT(B266,"mmmm")</f>
        <v>May</v>
      </c>
      <c r="AI266" s="7">
        <f t="shared" si="27"/>
        <v>2024</v>
      </c>
      <c r="AJ266" s="7" t="str">
        <f>IF(OR(R266&lt;0,C266&lt;B266),"Invalid",
IF(OR(G266="Unknown",M266="Unknown"),"Warning","Clean"))</f>
        <v>Clean</v>
      </c>
      <c r="AK266" s="7" t="str">
        <f>IF(C266&lt;B266,"Ship Before Order","OK")</f>
        <v>OK</v>
      </c>
      <c r="AL266" s="7" t="str">
        <f>IF(ISNUMBER(B266),"Valid","Invalid")</f>
        <v>Valid</v>
      </c>
      <c r="AM266" s="7" t="str">
        <f t="shared" si="28"/>
        <v>Ok</v>
      </c>
      <c r="AN266" s="7" t="str">
        <f t="shared" si="29"/>
        <v>Ok</v>
      </c>
    </row>
    <row r="267" spans="1:40">
      <c r="A267" t="s">
        <v>902</v>
      </c>
      <c r="B267" s="6">
        <v>45610</v>
      </c>
      <c r="C267" s="4">
        <v>45765</v>
      </c>
      <c r="D267" t="s">
        <v>903</v>
      </c>
      <c r="E267" t="s">
        <v>114</v>
      </c>
      <c r="F267" t="s">
        <v>90</v>
      </c>
      <c r="G267" t="s">
        <v>38</v>
      </c>
      <c r="H267" t="s">
        <v>145</v>
      </c>
      <c r="I267" t="s">
        <v>146</v>
      </c>
      <c r="J267" t="s">
        <v>41</v>
      </c>
      <c r="K267" t="s">
        <v>158</v>
      </c>
      <c r="L267" t="s">
        <v>904</v>
      </c>
      <c r="M267" t="s">
        <v>44</v>
      </c>
      <c r="N267">
        <v>1</v>
      </c>
      <c r="O267">
        <v>582.37</v>
      </c>
      <c r="P267">
        <v>0.15</v>
      </c>
      <c r="Q267" s="7">
        <f>IF(P267="", 0, P267)</f>
        <v>0.15</v>
      </c>
      <c r="R267">
        <v>495.01</v>
      </c>
      <c r="S267">
        <v>285.13</v>
      </c>
      <c r="T267" s="7">
        <f>N267*O267*(1-Q267)</f>
        <v>495.0145</v>
      </c>
      <c r="U267" s="7">
        <f t="shared" si="24"/>
        <v>209.8845</v>
      </c>
      <c r="V267">
        <v>209.88</v>
      </c>
      <c r="W267" s="12">
        <f t="shared" si="25"/>
        <v>0.42399667080459258</v>
      </c>
      <c r="X267" t="s">
        <v>102</v>
      </c>
      <c r="Y267" t="str">
        <f t="shared" si="26"/>
        <v>Refunded</v>
      </c>
      <c r="Z267" t="s">
        <v>68</v>
      </c>
      <c r="AA267">
        <f>C267-B267</f>
        <v>155</v>
      </c>
      <c r="AB267" t="str">
        <f>IF(B267="","Missing Order Date",
IF(C267="","Missing Ship Date","OK"))</f>
        <v>OK</v>
      </c>
      <c r="AC267" s="7" t="str">
        <f>IF(C267&lt;B267, "Invalid", "Valid")</f>
        <v>Valid</v>
      </c>
      <c r="AD267" s="7" t="str">
        <f>IF(COUNTIF($A:$A, A267)&gt;1, "Duplicate", "Unique")</f>
        <v>Unique</v>
      </c>
      <c r="AE267" s="7" t="str">
        <f>IF(G267="","Unknown",G267)</f>
        <v>East</v>
      </c>
      <c r="AF267" s="7" t="str">
        <f>IF(M267="","Unknown",M267)</f>
        <v>Same Day</v>
      </c>
      <c r="AG267" s="7" t="str">
        <f>IF(P267&lt;0,"Invalid",
IF(P267&gt;1,"Invalid","Valid"))</f>
        <v>Valid</v>
      </c>
      <c r="AH267" s="7" t="str">
        <f>TEXT(B267,"mmmm")</f>
        <v>November</v>
      </c>
      <c r="AI267" s="7">
        <f t="shared" si="27"/>
        <v>2024</v>
      </c>
      <c r="AJ267" s="7" t="str">
        <f>IF(OR(R267&lt;0,C267&lt;B267),"Invalid",
IF(OR(G267="Unknown",M267="Unknown"),"Warning","Clean"))</f>
        <v>Clean</v>
      </c>
      <c r="AK267" s="7" t="str">
        <f>IF(C267&lt;B267,"Ship Before Order","OK")</f>
        <v>OK</v>
      </c>
      <c r="AL267" s="7" t="str">
        <f>IF(ISNUMBER(B267),"Valid","Invalid")</f>
        <v>Valid</v>
      </c>
      <c r="AM267" s="7" t="str">
        <f t="shared" si="28"/>
        <v>Missmatched</v>
      </c>
      <c r="AN267" s="7" t="str">
        <f t="shared" si="29"/>
        <v>Missmatched</v>
      </c>
    </row>
    <row r="268" spans="1:40">
      <c r="A268" t="s">
        <v>905</v>
      </c>
      <c r="B268" s="6">
        <v>45721</v>
      </c>
      <c r="C268" s="4">
        <v>45766</v>
      </c>
      <c r="D268" t="s">
        <v>906</v>
      </c>
      <c r="E268" t="s">
        <v>79</v>
      </c>
      <c r="F268" t="s">
        <v>95</v>
      </c>
      <c r="G268" t="s">
        <v>63</v>
      </c>
      <c r="H268" t="s">
        <v>64</v>
      </c>
      <c r="I268" t="s">
        <v>65</v>
      </c>
      <c r="J268" t="s">
        <v>28</v>
      </c>
      <c r="K268" t="s">
        <v>124</v>
      </c>
      <c r="L268" t="s">
        <v>907</v>
      </c>
      <c r="M268" t="s">
        <v>31</v>
      </c>
      <c r="N268">
        <v>3</v>
      </c>
      <c r="O268">
        <v>4339.24</v>
      </c>
      <c r="P268">
        <v>0</v>
      </c>
      <c r="Q268" s="7">
        <f>IF(P268="", 0, P268)</f>
        <v>0</v>
      </c>
      <c r="R268">
        <v>13017.72</v>
      </c>
      <c r="S268">
        <v>10170.57</v>
      </c>
      <c r="T268" s="7">
        <f>N268*O268*(1-Q268)</f>
        <v>13017.72</v>
      </c>
      <c r="U268" s="7">
        <f t="shared" si="24"/>
        <v>2847.1499999999996</v>
      </c>
      <c r="V268">
        <v>2847.15</v>
      </c>
      <c r="W268" s="12">
        <f t="shared" si="25"/>
        <v>0.21871341525244051</v>
      </c>
      <c r="X268" t="s">
        <v>32</v>
      </c>
      <c r="Y268" t="str">
        <f t="shared" si="26"/>
        <v>Paid</v>
      </c>
      <c r="Z268" t="s">
        <v>33</v>
      </c>
      <c r="AA268">
        <f>C268-B268</f>
        <v>45</v>
      </c>
      <c r="AB268" t="str">
        <f>IF(B268="","Missing Order Date",
IF(C268="","Missing Ship Date","OK"))</f>
        <v>OK</v>
      </c>
      <c r="AC268" s="7" t="str">
        <f>IF(C268&lt;B268, "Invalid", "Valid")</f>
        <v>Valid</v>
      </c>
      <c r="AD268" s="7" t="str">
        <f>IF(COUNTIF($A:$A, A268)&gt;1, "Duplicate", "Unique")</f>
        <v>Unique</v>
      </c>
      <c r="AE268" s="7" t="str">
        <f>IF(G268="","Unknown",G268)</f>
        <v>West</v>
      </c>
      <c r="AF268" s="7" t="str">
        <f>IF(M268="","Unknown",M268)</f>
        <v>Second Class</v>
      </c>
      <c r="AG268" s="7" t="str">
        <f>IF(P268&lt;0,"Invalid",
IF(P268&gt;1,"Invalid","Valid"))</f>
        <v>Valid</v>
      </c>
      <c r="AH268" s="7" t="str">
        <f>TEXT(B268,"mmmm")</f>
        <v>March</v>
      </c>
      <c r="AI268" s="7">
        <f t="shared" si="27"/>
        <v>2025</v>
      </c>
      <c r="AJ268" s="7" t="str">
        <f>IF(OR(R268&lt;0,C268&lt;B268),"Invalid",
IF(OR(G268="Unknown",M268="Unknown"),"Warning","Clean"))</f>
        <v>Clean</v>
      </c>
      <c r="AK268" s="7" t="str">
        <f>IF(C268&lt;B268,"Ship Before Order","OK")</f>
        <v>OK</v>
      </c>
      <c r="AL268" s="7" t="str">
        <f>IF(ISNUMBER(B268),"Valid","Invalid")</f>
        <v>Valid</v>
      </c>
      <c r="AM268" s="7" t="str">
        <f t="shared" si="28"/>
        <v>Ok</v>
      </c>
      <c r="AN268" s="7" t="str">
        <f t="shared" si="29"/>
        <v>Ok</v>
      </c>
    </row>
    <row r="269" spans="1:40">
      <c r="A269" t="s">
        <v>908</v>
      </c>
      <c r="B269" s="6">
        <v>45805</v>
      </c>
      <c r="C269" s="4">
        <v>45767</v>
      </c>
      <c r="D269" t="s">
        <v>909</v>
      </c>
      <c r="E269" t="s">
        <v>162</v>
      </c>
      <c r="F269" t="s">
        <v>90</v>
      </c>
      <c r="G269" t="s">
        <v>38</v>
      </c>
      <c r="H269" t="s">
        <v>228</v>
      </c>
      <c r="I269" t="s">
        <v>229</v>
      </c>
      <c r="J269" t="s">
        <v>41</v>
      </c>
      <c r="K269" t="s">
        <v>57</v>
      </c>
      <c r="L269" t="s">
        <v>910</v>
      </c>
      <c r="M269" t="s">
        <v>50</v>
      </c>
      <c r="N269">
        <v>4</v>
      </c>
      <c r="O269">
        <v>261.8</v>
      </c>
      <c r="P269">
        <v>0.25</v>
      </c>
      <c r="Q269" s="7">
        <f>IF(P269="", 0, P269)</f>
        <v>0.25</v>
      </c>
      <c r="R269">
        <v>785.4</v>
      </c>
      <c r="S269">
        <v>557.22</v>
      </c>
      <c r="T269" s="7">
        <f>N269*O269*(1-Q269)</f>
        <v>785.40000000000009</v>
      </c>
      <c r="U269" s="7">
        <f t="shared" si="24"/>
        <v>228.18000000000006</v>
      </c>
      <c r="V269">
        <v>228.18</v>
      </c>
      <c r="W269" s="12">
        <f t="shared" si="25"/>
        <v>0.29052711993888469</v>
      </c>
      <c r="X269" t="s">
        <v>32</v>
      </c>
      <c r="Y269" t="str">
        <f t="shared" si="26"/>
        <v>Paid</v>
      </c>
      <c r="Z269" t="s">
        <v>33</v>
      </c>
      <c r="AA269">
        <f>C269-B269</f>
        <v>-38</v>
      </c>
      <c r="AB269" t="str">
        <f>IF(B269="","Missing Order Date",
IF(C269="","Missing Ship Date","OK"))</f>
        <v>OK</v>
      </c>
      <c r="AC269" s="7" t="str">
        <f>IF(C269&lt;B269, "Invalid", "Valid")</f>
        <v>Invalid</v>
      </c>
      <c r="AD269" s="7" t="str">
        <f>IF(COUNTIF($A:$A, A269)&gt;1, "Duplicate", "Unique")</f>
        <v>Unique</v>
      </c>
      <c r="AE269" s="7" t="str">
        <f>IF(G269="","Unknown",G269)</f>
        <v>East</v>
      </c>
      <c r="AF269" s="7" t="str">
        <f>IF(M269="","Unknown",M269)</f>
        <v>First Class</v>
      </c>
      <c r="AG269" s="7" t="str">
        <f>IF(P269&lt;0,"Invalid",
IF(P269&gt;1,"Invalid","Valid"))</f>
        <v>Valid</v>
      </c>
      <c r="AH269" s="7" t="str">
        <f>TEXT(B269,"mmmm")</f>
        <v>May</v>
      </c>
      <c r="AI269" s="7">
        <f t="shared" si="27"/>
        <v>2025</v>
      </c>
      <c r="AJ269" s="7" t="str">
        <f>IF(OR(R269&lt;0,C269&lt;B269),"Invalid",
IF(OR(G269="Unknown",M269="Unknown"),"Warning","Clean"))</f>
        <v>Invalid</v>
      </c>
      <c r="AK269" s="7" t="str">
        <f>IF(C269&lt;B269,"Ship Before Order","OK")</f>
        <v>Ship Before Order</v>
      </c>
      <c r="AL269" s="7" t="str">
        <f>IF(ISNUMBER(B269),"Valid","Invalid")</f>
        <v>Valid</v>
      </c>
      <c r="AM269" s="7" t="str">
        <f t="shared" si="28"/>
        <v>Ok</v>
      </c>
      <c r="AN269" s="7" t="str">
        <f t="shared" si="29"/>
        <v>Ok</v>
      </c>
    </row>
    <row r="270" spans="1:40">
      <c r="A270" t="s">
        <v>911</v>
      </c>
      <c r="B270" s="6">
        <v>45886</v>
      </c>
      <c r="C270" s="4">
        <v>45768</v>
      </c>
      <c r="D270" t="s">
        <v>912</v>
      </c>
      <c r="E270" t="s">
        <v>128</v>
      </c>
      <c r="F270" t="s">
        <v>95</v>
      </c>
      <c r="G270" t="s">
        <v>25</v>
      </c>
      <c r="H270" t="s">
        <v>122</v>
      </c>
      <c r="I270" t="s">
        <v>123</v>
      </c>
      <c r="J270" t="s">
        <v>74</v>
      </c>
      <c r="K270" t="s">
        <v>75</v>
      </c>
      <c r="L270" t="s">
        <v>913</v>
      </c>
      <c r="M270" t="s">
        <v>50</v>
      </c>
      <c r="N270">
        <v>7</v>
      </c>
      <c r="O270">
        <v>632.20000000000005</v>
      </c>
      <c r="P270">
        <v>0.25</v>
      </c>
      <c r="Q270" s="7">
        <f>IF(P270="", 0, P270)</f>
        <v>0.25</v>
      </c>
      <c r="R270">
        <v>3319.05</v>
      </c>
      <c r="S270">
        <v>2124.6</v>
      </c>
      <c r="T270" s="7">
        <f>N270*O270*(1-Q270)</f>
        <v>3319.05</v>
      </c>
      <c r="U270" s="7">
        <f t="shared" si="24"/>
        <v>1194.4500000000003</v>
      </c>
      <c r="V270">
        <v>1194.45</v>
      </c>
      <c r="W270" s="12">
        <f t="shared" si="25"/>
        <v>0.35987707325891449</v>
      </c>
      <c r="X270" t="s">
        <v>32</v>
      </c>
      <c r="Y270" t="str">
        <f t="shared" si="26"/>
        <v>Paid</v>
      </c>
      <c r="Z270" t="s">
        <v>33</v>
      </c>
      <c r="AA270">
        <f>C270-B270</f>
        <v>-118</v>
      </c>
      <c r="AB270" t="str">
        <f>IF(B270="","Missing Order Date",
IF(C270="","Missing Ship Date","OK"))</f>
        <v>OK</v>
      </c>
      <c r="AC270" s="7" t="str">
        <f>IF(C270&lt;B270, "Invalid", "Valid")</f>
        <v>Invalid</v>
      </c>
      <c r="AD270" s="7" t="str">
        <f>IF(COUNTIF($A:$A, A270)&gt;1, "Duplicate", "Unique")</f>
        <v>Unique</v>
      </c>
      <c r="AE270" s="7" t="str">
        <f>IF(G270="","Unknown",G270)</f>
        <v>North</v>
      </c>
      <c r="AF270" s="7" t="str">
        <f>IF(M270="","Unknown",M270)</f>
        <v>First Class</v>
      </c>
      <c r="AG270" s="7" t="str">
        <f>IF(P270&lt;0,"Invalid",
IF(P270&gt;1,"Invalid","Valid"))</f>
        <v>Valid</v>
      </c>
      <c r="AH270" s="7" t="str">
        <f>TEXT(B270,"mmmm")</f>
        <v>August</v>
      </c>
      <c r="AI270" s="7">
        <f t="shared" si="27"/>
        <v>2025</v>
      </c>
      <c r="AJ270" s="7" t="str">
        <f>IF(OR(R270&lt;0,C270&lt;B270),"Invalid",
IF(OR(G270="Unknown",M270="Unknown"),"Warning","Clean"))</f>
        <v>Invalid</v>
      </c>
      <c r="AK270" s="7" t="str">
        <f>IF(C270&lt;B270,"Ship Before Order","OK")</f>
        <v>Ship Before Order</v>
      </c>
      <c r="AL270" s="7" t="str">
        <f>IF(ISNUMBER(B270),"Valid","Invalid")</f>
        <v>Valid</v>
      </c>
      <c r="AM270" s="7" t="str">
        <f t="shared" si="28"/>
        <v>Ok</v>
      </c>
      <c r="AN270" s="7" t="str">
        <f t="shared" si="29"/>
        <v>Ok</v>
      </c>
    </row>
    <row r="271" spans="1:40">
      <c r="A271" t="s">
        <v>914</v>
      </c>
      <c r="B271" s="6">
        <v>45932</v>
      </c>
      <c r="C271" s="4">
        <v>45769</v>
      </c>
      <c r="D271" t="s">
        <v>915</v>
      </c>
      <c r="E271" t="s">
        <v>118</v>
      </c>
      <c r="F271" t="s">
        <v>37</v>
      </c>
      <c r="G271" t="s">
        <v>63</v>
      </c>
      <c r="H271" t="s">
        <v>26</v>
      </c>
      <c r="I271" t="s">
        <v>109</v>
      </c>
      <c r="J271" t="s">
        <v>41</v>
      </c>
      <c r="K271" t="s">
        <v>42</v>
      </c>
      <c r="L271" t="s">
        <v>916</v>
      </c>
      <c r="M271" t="s">
        <v>44</v>
      </c>
      <c r="N271">
        <v>1</v>
      </c>
      <c r="O271">
        <v>1925.86</v>
      </c>
      <c r="P271">
        <v>0</v>
      </c>
      <c r="Q271" s="7">
        <f>IF(P271="", 0, P271)</f>
        <v>0</v>
      </c>
      <c r="R271">
        <v>1925.86</v>
      </c>
      <c r="S271">
        <v>1321.89</v>
      </c>
      <c r="T271" s="7">
        <f>N271*O271*(1-Q271)</f>
        <v>1925.86</v>
      </c>
      <c r="U271" s="7">
        <f t="shared" si="24"/>
        <v>603.9699999999998</v>
      </c>
      <c r="V271">
        <v>603.97</v>
      </c>
      <c r="W271" s="12">
        <f t="shared" si="25"/>
        <v>0.31361054282242729</v>
      </c>
      <c r="X271" t="s">
        <v>32</v>
      </c>
      <c r="Y271" t="str">
        <f t="shared" si="26"/>
        <v>Paid</v>
      </c>
      <c r="Z271" t="s">
        <v>33</v>
      </c>
      <c r="AA271">
        <f>C271-B271</f>
        <v>-163</v>
      </c>
      <c r="AB271" t="str">
        <f>IF(B271="","Missing Order Date",
IF(C271="","Missing Ship Date","OK"))</f>
        <v>OK</v>
      </c>
      <c r="AC271" s="7" t="str">
        <f>IF(C271&lt;B271, "Invalid", "Valid")</f>
        <v>Invalid</v>
      </c>
      <c r="AD271" s="7" t="str">
        <f>IF(COUNTIF($A:$A, A271)&gt;1, "Duplicate", "Unique")</f>
        <v>Unique</v>
      </c>
      <c r="AE271" s="7" t="str">
        <f>IF(G271="","Unknown",G271)</f>
        <v>West</v>
      </c>
      <c r="AF271" s="7" t="str">
        <f>IF(M271="","Unknown",M271)</f>
        <v>Same Day</v>
      </c>
      <c r="AG271" s="7" t="str">
        <f>IF(P271&lt;0,"Invalid",
IF(P271&gt;1,"Invalid","Valid"))</f>
        <v>Valid</v>
      </c>
      <c r="AH271" s="7" t="str">
        <f>TEXT(B271,"mmmm")</f>
        <v>October</v>
      </c>
      <c r="AI271" s="7">
        <f t="shared" si="27"/>
        <v>2025</v>
      </c>
      <c r="AJ271" s="7" t="str">
        <f>IF(OR(R271&lt;0,C271&lt;B271),"Invalid",
IF(OR(G271="Unknown",M271="Unknown"),"Warning","Clean"))</f>
        <v>Invalid</v>
      </c>
      <c r="AK271" s="7" t="str">
        <f>IF(C271&lt;B271,"Ship Before Order","OK")</f>
        <v>Ship Before Order</v>
      </c>
      <c r="AL271" s="7" t="str">
        <f>IF(ISNUMBER(B271),"Valid","Invalid")</f>
        <v>Valid</v>
      </c>
      <c r="AM271" s="7" t="str">
        <f t="shared" si="28"/>
        <v>Ok</v>
      </c>
      <c r="AN271" s="7" t="str">
        <f t="shared" si="29"/>
        <v>Ok</v>
      </c>
    </row>
    <row r="272" spans="1:40">
      <c r="A272" t="s">
        <v>917</v>
      </c>
      <c r="B272" s="6">
        <v>45627</v>
      </c>
      <c r="C272" s="4">
        <v>45770</v>
      </c>
      <c r="D272" t="s">
        <v>918</v>
      </c>
      <c r="E272" t="s">
        <v>89</v>
      </c>
      <c r="F272" t="s">
        <v>90</v>
      </c>
      <c r="G272" t="s">
        <v>25</v>
      </c>
      <c r="H272" t="s">
        <v>136</v>
      </c>
      <c r="I272" t="s">
        <v>137</v>
      </c>
      <c r="J272" t="s">
        <v>74</v>
      </c>
      <c r="K272" t="s">
        <v>274</v>
      </c>
      <c r="L272" t="s">
        <v>919</v>
      </c>
      <c r="M272" t="s">
        <v>44</v>
      </c>
      <c r="N272">
        <v>3</v>
      </c>
      <c r="O272">
        <v>827.44</v>
      </c>
      <c r="P272">
        <v>0</v>
      </c>
      <c r="Q272" s="7">
        <f>IF(P272="", 0, P272)</f>
        <v>0</v>
      </c>
      <c r="R272">
        <v>2482.3200000000002</v>
      </c>
      <c r="S272">
        <v>1520.21</v>
      </c>
      <c r="T272" s="7">
        <f>N272*O272*(1-Q272)</f>
        <v>2482.3200000000002</v>
      </c>
      <c r="U272" s="7">
        <f t="shared" si="24"/>
        <v>962.11000000000013</v>
      </c>
      <c r="V272">
        <v>962.11</v>
      </c>
      <c r="W272" s="12">
        <f t="shared" si="25"/>
        <v>0.38758500112797706</v>
      </c>
      <c r="X272" t="s">
        <v>32</v>
      </c>
      <c r="Y272" t="str">
        <f t="shared" si="26"/>
        <v>Paid</v>
      </c>
      <c r="Z272" t="s">
        <v>33</v>
      </c>
      <c r="AA272">
        <f>C272-B272</f>
        <v>143</v>
      </c>
      <c r="AB272" t="str">
        <f>IF(B272="","Missing Order Date",
IF(C272="","Missing Ship Date","OK"))</f>
        <v>OK</v>
      </c>
      <c r="AC272" s="7" t="str">
        <f>IF(C272&lt;B272, "Invalid", "Valid")</f>
        <v>Valid</v>
      </c>
      <c r="AD272" s="7" t="str">
        <f>IF(COUNTIF($A:$A, A272)&gt;1, "Duplicate", "Unique")</f>
        <v>Unique</v>
      </c>
      <c r="AE272" s="7" t="str">
        <f>IF(G272="","Unknown",G272)</f>
        <v>North</v>
      </c>
      <c r="AF272" s="7" t="str">
        <f>IF(M272="","Unknown",M272)</f>
        <v>Same Day</v>
      </c>
      <c r="AG272" s="7" t="str">
        <f>IF(P272&lt;0,"Invalid",
IF(P272&gt;1,"Invalid","Valid"))</f>
        <v>Valid</v>
      </c>
      <c r="AH272" s="7" t="str">
        <f>TEXT(B272,"mmmm")</f>
        <v>December</v>
      </c>
      <c r="AI272" s="7">
        <f t="shared" si="27"/>
        <v>2024</v>
      </c>
      <c r="AJ272" s="7" t="str">
        <f>IF(OR(R272&lt;0,C272&lt;B272),"Invalid",
IF(OR(G272="Unknown",M272="Unknown"),"Warning","Clean"))</f>
        <v>Clean</v>
      </c>
      <c r="AK272" s="7" t="str">
        <f>IF(C272&lt;B272,"Ship Before Order","OK")</f>
        <v>OK</v>
      </c>
      <c r="AL272" s="7" t="str">
        <f>IF(ISNUMBER(B272),"Valid","Invalid")</f>
        <v>Valid</v>
      </c>
      <c r="AM272" s="7" t="str">
        <f t="shared" si="28"/>
        <v>Ok</v>
      </c>
      <c r="AN272" s="7" t="str">
        <f t="shared" si="29"/>
        <v>Ok</v>
      </c>
    </row>
    <row r="273" spans="1:40">
      <c r="A273" t="s">
        <v>920</v>
      </c>
      <c r="B273" s="6">
        <v>45647</v>
      </c>
      <c r="C273" s="4">
        <v>45771</v>
      </c>
      <c r="D273" t="s">
        <v>921</v>
      </c>
      <c r="E273" t="s">
        <v>89</v>
      </c>
      <c r="F273" t="s">
        <v>24</v>
      </c>
      <c r="G273" t="s">
        <v>54</v>
      </c>
      <c r="H273" t="s">
        <v>55</v>
      </c>
      <c r="I273" t="s">
        <v>56</v>
      </c>
      <c r="J273" t="s">
        <v>28</v>
      </c>
      <c r="K273" t="s">
        <v>153</v>
      </c>
      <c r="L273" t="s">
        <v>922</v>
      </c>
      <c r="M273" t="s">
        <v>59</v>
      </c>
      <c r="N273">
        <v>7</v>
      </c>
      <c r="O273">
        <v>1667.75</v>
      </c>
      <c r="P273">
        <v>0</v>
      </c>
      <c r="Q273" s="7">
        <f>IF(P273="", 0, P273)</f>
        <v>0</v>
      </c>
      <c r="R273">
        <v>11674.25</v>
      </c>
      <c r="S273">
        <v>9621.19</v>
      </c>
      <c r="T273" s="7">
        <f>N273*O273*(1-Q273)</f>
        <v>11674.25</v>
      </c>
      <c r="U273" s="7">
        <f t="shared" si="24"/>
        <v>2053.0599999999995</v>
      </c>
      <c r="V273">
        <v>2053.06</v>
      </c>
      <c r="W273" s="12">
        <f t="shared" si="25"/>
        <v>0.17586226095894808</v>
      </c>
      <c r="X273" t="s">
        <v>155</v>
      </c>
      <c r="Y273" t="str">
        <f t="shared" si="26"/>
        <v>Failed</v>
      </c>
      <c r="Z273" t="s">
        <v>68</v>
      </c>
      <c r="AA273">
        <f>C273-B273</f>
        <v>124</v>
      </c>
      <c r="AB273" t="str">
        <f>IF(B273="","Missing Order Date",
IF(C273="","Missing Ship Date","OK"))</f>
        <v>OK</v>
      </c>
      <c r="AC273" s="7" t="str">
        <f>IF(C273&lt;B273, "Invalid", "Valid")</f>
        <v>Valid</v>
      </c>
      <c r="AD273" s="7" t="str">
        <f>IF(COUNTIF($A:$A, A273)&gt;1, "Duplicate", "Unique")</f>
        <v>Unique</v>
      </c>
      <c r="AE273" s="7" t="str">
        <f>IF(G273="","Unknown",G273)</f>
        <v>South</v>
      </c>
      <c r="AF273" s="7" t="str">
        <f>IF(M273="","Unknown",M273)</f>
        <v>Standard Class</v>
      </c>
      <c r="AG273" s="7" t="str">
        <f>IF(P273&lt;0,"Invalid",
IF(P273&gt;1,"Invalid","Valid"))</f>
        <v>Valid</v>
      </c>
      <c r="AH273" s="7" t="str">
        <f>TEXT(B273,"mmmm")</f>
        <v>December</v>
      </c>
      <c r="AI273" s="7">
        <f t="shared" si="27"/>
        <v>2024</v>
      </c>
      <c r="AJ273" s="7" t="str">
        <f>IF(OR(R273&lt;0,C273&lt;B273),"Invalid",
IF(OR(G273="Unknown",M273="Unknown"),"Warning","Clean"))</f>
        <v>Clean</v>
      </c>
      <c r="AK273" s="7" t="str">
        <f>IF(C273&lt;B273,"Ship Before Order","OK")</f>
        <v>OK</v>
      </c>
      <c r="AL273" s="7" t="str">
        <f>IF(ISNUMBER(B273),"Valid","Invalid")</f>
        <v>Valid</v>
      </c>
      <c r="AM273" s="7" t="str">
        <f t="shared" si="28"/>
        <v>Ok</v>
      </c>
      <c r="AN273" s="7" t="str">
        <f t="shared" si="29"/>
        <v>Ok</v>
      </c>
    </row>
    <row r="274" spans="1:40">
      <c r="A274" t="s">
        <v>923</v>
      </c>
      <c r="B274" s="6">
        <v>45522</v>
      </c>
      <c r="C274" s="4">
        <v>45772</v>
      </c>
      <c r="D274" t="s">
        <v>924</v>
      </c>
      <c r="E274" t="s">
        <v>53</v>
      </c>
      <c r="F274" t="s">
        <v>24</v>
      </c>
      <c r="G274" t="s">
        <v>54</v>
      </c>
      <c r="H274" t="s">
        <v>84</v>
      </c>
      <c r="I274" t="s">
        <v>85</v>
      </c>
      <c r="J274" t="s">
        <v>41</v>
      </c>
      <c r="K274" t="s">
        <v>66</v>
      </c>
      <c r="L274" t="s">
        <v>925</v>
      </c>
      <c r="M274" t="s">
        <v>50</v>
      </c>
      <c r="N274">
        <v>7</v>
      </c>
      <c r="O274">
        <v>557.21</v>
      </c>
      <c r="P274">
        <v>0.1</v>
      </c>
      <c r="Q274" s="7">
        <f>IF(P274="", 0, P274)</f>
        <v>0.1</v>
      </c>
      <c r="R274">
        <v>3510.42</v>
      </c>
      <c r="S274">
        <v>2191.5</v>
      </c>
      <c r="T274" s="7">
        <f>N274*O274*(1-Q274)</f>
        <v>3510.4230000000002</v>
      </c>
      <c r="U274" s="7">
        <f t="shared" si="24"/>
        <v>1318.9230000000002</v>
      </c>
      <c r="V274">
        <v>1213.48</v>
      </c>
      <c r="W274" s="12">
        <f t="shared" si="25"/>
        <v>0.37571625983535323</v>
      </c>
      <c r="X274" t="s">
        <v>32</v>
      </c>
      <c r="Y274" t="str">
        <f t="shared" si="26"/>
        <v>Paid</v>
      </c>
      <c r="Z274" t="s">
        <v>33</v>
      </c>
      <c r="AA274">
        <f>C274-B274</f>
        <v>250</v>
      </c>
      <c r="AB274" t="str">
        <f>IF(B274="","Missing Order Date",
IF(C274="","Missing Ship Date","OK"))</f>
        <v>OK</v>
      </c>
      <c r="AC274" s="7" t="str">
        <f>IF(C274&lt;B274, "Invalid", "Valid")</f>
        <v>Valid</v>
      </c>
      <c r="AD274" s="7" t="str">
        <f>IF(COUNTIF($A:$A, A274)&gt;1, "Duplicate", "Unique")</f>
        <v>Duplicate</v>
      </c>
      <c r="AE274" s="7" t="str">
        <f>IF(G274="","Unknown",G274)</f>
        <v>South</v>
      </c>
      <c r="AF274" s="7" t="str">
        <f>IF(M274="","Unknown",M274)</f>
        <v>First Class</v>
      </c>
      <c r="AG274" s="7" t="str">
        <f>IF(P274&lt;0,"Invalid",
IF(P274&gt;1,"Invalid","Valid"))</f>
        <v>Valid</v>
      </c>
      <c r="AH274" s="7" t="str">
        <f>TEXT(B274,"mmmm")</f>
        <v>August</v>
      </c>
      <c r="AI274" s="7">
        <f t="shared" si="27"/>
        <v>2024</v>
      </c>
      <c r="AJ274" s="7" t="str">
        <f>IF(OR(R274&lt;0,C274&lt;B274),"Invalid",
IF(OR(G274="Unknown",M274="Unknown"),"Warning","Clean"))</f>
        <v>Clean</v>
      </c>
      <c r="AK274" s="7" t="str">
        <f>IF(C274&lt;B274,"Ship Before Order","OK")</f>
        <v>OK</v>
      </c>
      <c r="AL274" s="7" t="str">
        <f>IF(ISNUMBER(B274),"Valid","Invalid")</f>
        <v>Valid</v>
      </c>
      <c r="AM274" s="7" t="str">
        <f t="shared" si="28"/>
        <v>Missmatched</v>
      </c>
      <c r="AN274" s="7" t="str">
        <f t="shared" si="29"/>
        <v>Missmatched</v>
      </c>
    </row>
    <row r="275" spans="1:40">
      <c r="A275" t="s">
        <v>926</v>
      </c>
      <c r="B275" s="6">
        <v>45701</v>
      </c>
      <c r="C275" s="4">
        <v>45773</v>
      </c>
      <c r="D275" t="s">
        <v>927</v>
      </c>
      <c r="E275" t="s">
        <v>47</v>
      </c>
      <c r="F275" t="s">
        <v>24</v>
      </c>
      <c r="G275" t="s">
        <v>38</v>
      </c>
      <c r="H275" t="s">
        <v>145</v>
      </c>
      <c r="I275" t="s">
        <v>146</v>
      </c>
      <c r="J275" t="s">
        <v>28</v>
      </c>
      <c r="K275" t="s">
        <v>29</v>
      </c>
      <c r="L275" t="s">
        <v>928</v>
      </c>
      <c r="M275" t="s">
        <v>31</v>
      </c>
      <c r="N275">
        <v>9</v>
      </c>
      <c r="O275">
        <v>2521.63</v>
      </c>
      <c r="P275">
        <v>0</v>
      </c>
      <c r="Q275" s="7">
        <f>IF(P275="", 0, P275)</f>
        <v>0</v>
      </c>
      <c r="R275">
        <v>22694.67</v>
      </c>
      <c r="S275">
        <v>15405.36</v>
      </c>
      <c r="T275" s="7">
        <f>N275*O275*(1-Q275)</f>
        <v>22694.670000000002</v>
      </c>
      <c r="U275" s="7">
        <f t="shared" si="24"/>
        <v>7289.3100000000013</v>
      </c>
      <c r="V275">
        <v>7289.31</v>
      </c>
      <c r="W275" s="12">
        <f t="shared" si="25"/>
        <v>0.32119039404406413</v>
      </c>
      <c r="X275" t="s">
        <v>32</v>
      </c>
      <c r="Y275" t="str">
        <f t="shared" si="26"/>
        <v>Paid</v>
      </c>
      <c r="Z275" t="s">
        <v>103</v>
      </c>
      <c r="AA275">
        <f>C275-B275</f>
        <v>72</v>
      </c>
      <c r="AB275" t="str">
        <f>IF(B275="","Missing Order Date",
IF(C275="","Missing Ship Date","OK"))</f>
        <v>OK</v>
      </c>
      <c r="AC275" s="7" t="str">
        <f>IF(C275&lt;B275, "Invalid", "Valid")</f>
        <v>Valid</v>
      </c>
      <c r="AD275" s="7" t="str">
        <f>IF(COUNTIF($A:$A, A275)&gt;1, "Duplicate", "Unique")</f>
        <v>Unique</v>
      </c>
      <c r="AE275" s="7" t="str">
        <f>IF(G275="","Unknown",G275)</f>
        <v>East</v>
      </c>
      <c r="AF275" s="7" t="str">
        <f>IF(M275="","Unknown",M275)</f>
        <v>Second Class</v>
      </c>
      <c r="AG275" s="7" t="str">
        <f>IF(P275&lt;0,"Invalid",
IF(P275&gt;1,"Invalid","Valid"))</f>
        <v>Valid</v>
      </c>
      <c r="AH275" s="7" t="str">
        <f>TEXT(B275,"mmmm")</f>
        <v>February</v>
      </c>
      <c r="AI275" s="7">
        <f t="shared" si="27"/>
        <v>2025</v>
      </c>
      <c r="AJ275" s="7" t="str">
        <f>IF(OR(R275&lt;0,C275&lt;B275),"Invalid",
IF(OR(G275="Unknown",M275="Unknown"),"Warning","Clean"))</f>
        <v>Clean</v>
      </c>
      <c r="AK275" s="7" t="str">
        <f>IF(C275&lt;B275,"Ship Before Order","OK")</f>
        <v>OK</v>
      </c>
      <c r="AL275" s="7" t="str">
        <f>IF(ISNUMBER(B275),"Valid","Invalid")</f>
        <v>Valid</v>
      </c>
      <c r="AM275" s="7" t="str">
        <f t="shared" si="28"/>
        <v>Ok</v>
      </c>
      <c r="AN275" s="7" t="str">
        <f t="shared" si="29"/>
        <v>Ok</v>
      </c>
    </row>
    <row r="276" spans="1:40">
      <c r="A276" t="s">
        <v>929</v>
      </c>
      <c r="B276" s="6">
        <v>45389</v>
      </c>
      <c r="C276" s="4">
        <v>45774</v>
      </c>
      <c r="D276" t="s">
        <v>930</v>
      </c>
      <c r="E276" t="s">
        <v>141</v>
      </c>
      <c r="F276" t="s">
        <v>24</v>
      </c>
      <c r="G276" t="s">
        <v>54</v>
      </c>
      <c r="H276" t="s">
        <v>185</v>
      </c>
      <c r="I276" t="s">
        <v>186</v>
      </c>
      <c r="J276" t="s">
        <v>74</v>
      </c>
      <c r="K276" t="s">
        <v>80</v>
      </c>
      <c r="L276" t="s">
        <v>931</v>
      </c>
      <c r="M276" t="s">
        <v>59</v>
      </c>
      <c r="N276">
        <v>6</v>
      </c>
      <c r="O276">
        <v>4246.71</v>
      </c>
      <c r="P276">
        <v>0.15</v>
      </c>
      <c r="Q276" s="7">
        <f>IF(P276="", 0, P276)</f>
        <v>0.15</v>
      </c>
      <c r="R276">
        <v>21658.22</v>
      </c>
      <c r="S276">
        <v>15490.69</v>
      </c>
      <c r="T276" s="7">
        <f>N276*O276*(1-Q276)</f>
        <v>21658.221000000001</v>
      </c>
      <c r="U276" s="7">
        <f t="shared" si="24"/>
        <v>6167.5310000000009</v>
      </c>
      <c r="V276">
        <v>6167.53</v>
      </c>
      <c r="W276" s="12">
        <f t="shared" si="25"/>
        <v>0.28476627881856043</v>
      </c>
      <c r="X276" t="s">
        <v>155</v>
      </c>
      <c r="Y276" t="str">
        <f t="shared" si="26"/>
        <v>Failed</v>
      </c>
      <c r="Z276" t="s">
        <v>103</v>
      </c>
      <c r="AA276">
        <f>C276-B276</f>
        <v>385</v>
      </c>
      <c r="AB276" t="str">
        <f>IF(B276="","Missing Order Date",
IF(C276="","Missing Ship Date","OK"))</f>
        <v>OK</v>
      </c>
      <c r="AC276" s="7" t="str">
        <f>IF(C276&lt;B276, "Invalid", "Valid")</f>
        <v>Valid</v>
      </c>
      <c r="AD276" s="7" t="str">
        <f>IF(COUNTIF($A:$A, A276)&gt;1, "Duplicate", "Unique")</f>
        <v>Unique</v>
      </c>
      <c r="AE276" s="7" t="str">
        <f>IF(G276="","Unknown",G276)</f>
        <v>South</v>
      </c>
      <c r="AF276" s="7" t="str">
        <f>IF(M276="","Unknown",M276)</f>
        <v>Standard Class</v>
      </c>
      <c r="AG276" s="7" t="str">
        <f>IF(P276&lt;0,"Invalid",
IF(P276&gt;1,"Invalid","Valid"))</f>
        <v>Valid</v>
      </c>
      <c r="AH276" s="7" t="str">
        <f>TEXT(B276,"mmmm")</f>
        <v>April</v>
      </c>
      <c r="AI276" s="7">
        <f t="shared" si="27"/>
        <v>2024</v>
      </c>
      <c r="AJ276" s="7" t="str">
        <f>IF(OR(R276&lt;0,C276&lt;B276),"Invalid",
IF(OR(G276="Unknown",M276="Unknown"),"Warning","Clean"))</f>
        <v>Clean</v>
      </c>
      <c r="AK276" s="7" t="str">
        <f>IF(C276&lt;B276,"Ship Before Order","OK")</f>
        <v>OK</v>
      </c>
      <c r="AL276" s="7" t="str">
        <f>IF(ISNUMBER(B276),"Valid","Invalid")</f>
        <v>Valid</v>
      </c>
      <c r="AM276" s="7" t="str">
        <f t="shared" si="28"/>
        <v>Missmatched</v>
      </c>
      <c r="AN276" s="7" t="str">
        <f t="shared" si="29"/>
        <v>Missmatched</v>
      </c>
    </row>
    <row r="277" spans="1:40">
      <c r="A277" t="s">
        <v>932</v>
      </c>
      <c r="B277" s="6">
        <v>45337</v>
      </c>
      <c r="C277" s="4">
        <v>45775</v>
      </c>
      <c r="D277" t="s">
        <v>933</v>
      </c>
      <c r="E277" t="s">
        <v>114</v>
      </c>
      <c r="F277" t="s">
        <v>37</v>
      </c>
      <c r="G277" t="s">
        <v>38</v>
      </c>
      <c r="H277" t="s">
        <v>99</v>
      </c>
      <c r="I277" t="s">
        <v>100</v>
      </c>
      <c r="J277" t="s">
        <v>41</v>
      </c>
      <c r="K277" t="s">
        <v>57</v>
      </c>
      <c r="L277" t="s">
        <v>934</v>
      </c>
      <c r="M277" t="s">
        <v>44</v>
      </c>
      <c r="N277">
        <v>1</v>
      </c>
      <c r="O277">
        <v>980.51</v>
      </c>
      <c r="P277">
        <v>0</v>
      </c>
      <c r="Q277" s="7">
        <f>IF(P277="", 0, P277)</f>
        <v>0</v>
      </c>
      <c r="R277">
        <v>980.51</v>
      </c>
      <c r="S277">
        <v>660.92</v>
      </c>
      <c r="T277" s="7">
        <f>N277*O277*(1-Q277)</f>
        <v>980.51</v>
      </c>
      <c r="U277" s="7">
        <f t="shared" si="24"/>
        <v>319.59000000000003</v>
      </c>
      <c r="V277">
        <v>319.58999999999997</v>
      </c>
      <c r="W277" s="12">
        <f t="shared" si="25"/>
        <v>0.32594262169687205</v>
      </c>
      <c r="X277" t="s">
        <v>32</v>
      </c>
      <c r="Y277" t="str">
        <f t="shared" si="26"/>
        <v>Paid</v>
      </c>
      <c r="Z277" t="s">
        <v>33</v>
      </c>
      <c r="AA277">
        <f>C277-B277</f>
        <v>438</v>
      </c>
      <c r="AB277" t="str">
        <f>IF(B277="","Missing Order Date",
IF(C277="","Missing Ship Date","OK"))</f>
        <v>OK</v>
      </c>
      <c r="AC277" s="7" t="str">
        <f>IF(C277&lt;B277, "Invalid", "Valid")</f>
        <v>Valid</v>
      </c>
      <c r="AD277" s="7" t="str">
        <f>IF(COUNTIF($A:$A, A277)&gt;1, "Duplicate", "Unique")</f>
        <v>Unique</v>
      </c>
      <c r="AE277" s="7" t="str">
        <f>IF(G277="","Unknown",G277)</f>
        <v>East</v>
      </c>
      <c r="AF277" s="7" t="str">
        <f>IF(M277="","Unknown",M277)</f>
        <v>Same Day</v>
      </c>
      <c r="AG277" s="7" t="str">
        <f>IF(P277&lt;0,"Invalid",
IF(P277&gt;1,"Invalid","Valid"))</f>
        <v>Valid</v>
      </c>
      <c r="AH277" s="7" t="str">
        <f>TEXT(B277,"mmmm")</f>
        <v>February</v>
      </c>
      <c r="AI277" s="7">
        <f t="shared" si="27"/>
        <v>2024</v>
      </c>
      <c r="AJ277" s="7" t="str">
        <f>IF(OR(R277&lt;0,C277&lt;B277),"Invalid",
IF(OR(G277="Unknown",M277="Unknown"),"Warning","Clean"))</f>
        <v>Clean</v>
      </c>
      <c r="AK277" s="7" t="str">
        <f>IF(C277&lt;B277,"Ship Before Order","OK")</f>
        <v>OK</v>
      </c>
      <c r="AL277" s="7" t="str">
        <f>IF(ISNUMBER(B277),"Valid","Invalid")</f>
        <v>Valid</v>
      </c>
      <c r="AM277" s="7" t="str">
        <f t="shared" si="28"/>
        <v>Ok</v>
      </c>
      <c r="AN277" s="7" t="str">
        <f t="shared" si="29"/>
        <v>Ok</v>
      </c>
    </row>
    <row r="278" spans="1:40">
      <c r="A278" t="s">
        <v>935</v>
      </c>
      <c r="B278" s="6">
        <v>45313</v>
      </c>
      <c r="C278" s="4">
        <v>45776</v>
      </c>
      <c r="D278" t="s">
        <v>936</v>
      </c>
      <c r="E278" t="s">
        <v>128</v>
      </c>
      <c r="F278" t="s">
        <v>37</v>
      </c>
      <c r="G278" t="s">
        <v>2785</v>
      </c>
      <c r="H278" t="s">
        <v>166</v>
      </c>
      <c r="I278" t="s">
        <v>167</v>
      </c>
      <c r="J278" t="s">
        <v>41</v>
      </c>
      <c r="K278" t="s">
        <v>66</v>
      </c>
      <c r="L278" t="s">
        <v>937</v>
      </c>
      <c r="M278" t="s">
        <v>31</v>
      </c>
      <c r="N278">
        <v>6</v>
      </c>
      <c r="O278">
        <v>3391.53</v>
      </c>
      <c r="P278">
        <v>-0.14000000000000001</v>
      </c>
      <c r="Q278" s="7">
        <f>IF(P278="", 0, P278)</f>
        <v>-0.14000000000000001</v>
      </c>
      <c r="R278">
        <v>15261.89</v>
      </c>
      <c r="S278">
        <v>8413.5300000000007</v>
      </c>
      <c r="T278" s="7">
        <f>N278*O278*(1-Q278)</f>
        <v>23198.065200000005</v>
      </c>
      <c r="U278" s="7">
        <f t="shared" si="24"/>
        <v>14784.535200000004</v>
      </c>
      <c r="V278">
        <v>6848.36</v>
      </c>
      <c r="W278" s="12">
        <f t="shared" si="25"/>
        <v>0.63731759836591895</v>
      </c>
      <c r="X278" t="s">
        <v>32</v>
      </c>
      <c r="Y278" t="str">
        <f t="shared" si="26"/>
        <v>Paid</v>
      </c>
      <c r="Z278" t="s">
        <v>33</v>
      </c>
      <c r="AA278">
        <f>C278-B278</f>
        <v>463</v>
      </c>
      <c r="AB278" t="str">
        <f>IF(B278="","Missing Order Date",
IF(C278="","Missing Ship Date","OK"))</f>
        <v>OK</v>
      </c>
      <c r="AC278" s="7" t="str">
        <f>IF(C278&lt;B278, "Invalid", "Valid")</f>
        <v>Valid</v>
      </c>
      <c r="AD278" s="7" t="str">
        <f>IF(COUNTIF($A:$A, A278)&gt;1, "Duplicate", "Unique")</f>
        <v>Duplicate</v>
      </c>
      <c r="AE278" s="7" t="str">
        <f>IF(G278="","Unknown",G278)</f>
        <v>Unknown</v>
      </c>
      <c r="AF278" s="7" t="str">
        <f>IF(M278="","Unknown",M278)</f>
        <v>Second Class</v>
      </c>
      <c r="AG278" s="7" t="str">
        <f>IF(P278&lt;0,"Invalid",
IF(P278&gt;1,"Invalid","Valid"))</f>
        <v>Invalid</v>
      </c>
      <c r="AH278" s="7" t="str">
        <f>TEXT(B278,"mmmm")</f>
        <v>January</v>
      </c>
      <c r="AI278" s="7">
        <f t="shared" si="27"/>
        <v>2024</v>
      </c>
      <c r="AJ278" s="7" t="str">
        <f>IF(OR(R278&lt;0,C278&lt;B278),"Invalid",
IF(OR(G278="Unknown",M278="Unknown"),"Warning","Clean"))</f>
        <v>Clean</v>
      </c>
      <c r="AK278" s="7" t="str">
        <f>IF(C278&lt;B278,"Ship Before Order","OK")</f>
        <v>OK</v>
      </c>
      <c r="AL278" s="7" t="str">
        <f>IF(ISNUMBER(B278),"Valid","Invalid")</f>
        <v>Valid</v>
      </c>
      <c r="AM278" s="7" t="str">
        <f t="shared" si="28"/>
        <v>Missmatched</v>
      </c>
      <c r="AN278" s="7" t="str">
        <f t="shared" si="29"/>
        <v>Missmatched</v>
      </c>
    </row>
    <row r="279" spans="1:40">
      <c r="A279" t="s">
        <v>938</v>
      </c>
      <c r="B279" s="6">
        <v>45753</v>
      </c>
      <c r="C279" s="4">
        <v>45777</v>
      </c>
      <c r="D279" t="s">
        <v>790</v>
      </c>
      <c r="E279" t="s">
        <v>47</v>
      </c>
      <c r="F279" t="s">
        <v>90</v>
      </c>
      <c r="G279" t="s">
        <v>25</v>
      </c>
      <c r="H279" t="s">
        <v>236</v>
      </c>
      <c r="I279" t="s">
        <v>237</v>
      </c>
      <c r="J279" t="s">
        <v>74</v>
      </c>
      <c r="K279" t="s">
        <v>75</v>
      </c>
      <c r="L279" t="s">
        <v>939</v>
      </c>
      <c r="M279" t="s">
        <v>31</v>
      </c>
      <c r="N279">
        <v>1</v>
      </c>
      <c r="O279">
        <v>2133.73</v>
      </c>
      <c r="P279">
        <v>0.15</v>
      </c>
      <c r="Q279" s="7">
        <f>IF(P279="", 0, P279)</f>
        <v>0.15</v>
      </c>
      <c r="R279">
        <v>2008.39</v>
      </c>
      <c r="S279">
        <v>1002.57</v>
      </c>
      <c r="T279" s="7">
        <f>N279*O279*(1-Q279)</f>
        <v>1813.6704999999999</v>
      </c>
      <c r="U279" s="7">
        <f t="shared" si="24"/>
        <v>811.1004999999999</v>
      </c>
      <c r="V279">
        <v>811.1</v>
      </c>
      <c r="W279" s="12">
        <f t="shared" si="25"/>
        <v>0.4472149158295291</v>
      </c>
      <c r="X279" t="s">
        <v>111</v>
      </c>
      <c r="Y279" t="str">
        <f t="shared" si="26"/>
        <v>Pending</v>
      </c>
      <c r="Z279" t="s">
        <v>68</v>
      </c>
      <c r="AA279">
        <f>C279-B279</f>
        <v>24</v>
      </c>
      <c r="AB279" t="str">
        <f>IF(B279="","Missing Order Date",
IF(C279="","Missing Ship Date","OK"))</f>
        <v>OK</v>
      </c>
      <c r="AC279" s="7" t="str">
        <f>IF(C279&lt;B279, "Invalid", "Valid")</f>
        <v>Valid</v>
      </c>
      <c r="AD279" s="7" t="str">
        <f>IF(COUNTIF($A:$A, A279)&gt;1, "Duplicate", "Unique")</f>
        <v>Unique</v>
      </c>
      <c r="AE279" s="7" t="str">
        <f>IF(G279="","Unknown",G279)</f>
        <v>North</v>
      </c>
      <c r="AF279" s="7" t="str">
        <f>IF(M279="","Unknown",M279)</f>
        <v>Second Class</v>
      </c>
      <c r="AG279" s="7" t="str">
        <f>IF(P279&lt;0,"Invalid",
IF(P279&gt;1,"Invalid","Valid"))</f>
        <v>Valid</v>
      </c>
      <c r="AH279" s="7" t="str">
        <f>TEXT(B279,"mmmm")</f>
        <v>April</v>
      </c>
      <c r="AI279" s="7">
        <f t="shared" si="27"/>
        <v>2025</v>
      </c>
      <c r="AJ279" s="7" t="str">
        <f>IF(OR(R279&lt;0,C279&lt;B279),"Invalid",
IF(OR(G279="Unknown",M279="Unknown"),"Warning","Clean"))</f>
        <v>Clean</v>
      </c>
      <c r="AK279" s="7" t="str">
        <f>IF(C279&lt;B279,"Ship Before Order","OK")</f>
        <v>OK</v>
      </c>
      <c r="AL279" s="7" t="str">
        <f>IF(ISNUMBER(B279),"Valid","Invalid")</f>
        <v>Valid</v>
      </c>
      <c r="AM279" s="7" t="str">
        <f t="shared" si="28"/>
        <v>Missmatched</v>
      </c>
      <c r="AN279" s="7" t="str">
        <f t="shared" si="29"/>
        <v>Missmatched</v>
      </c>
    </row>
    <row r="280" spans="1:40">
      <c r="A280" t="s">
        <v>940</v>
      </c>
      <c r="B280" s="6">
        <v>45723</v>
      </c>
      <c r="C280" s="4">
        <v>45778</v>
      </c>
      <c r="D280" t="s">
        <v>941</v>
      </c>
      <c r="E280" t="s">
        <v>114</v>
      </c>
      <c r="F280" t="s">
        <v>37</v>
      </c>
      <c r="G280" t="s">
        <v>25</v>
      </c>
      <c r="H280" t="s">
        <v>350</v>
      </c>
      <c r="I280" t="s">
        <v>351</v>
      </c>
      <c r="J280" t="s">
        <v>74</v>
      </c>
      <c r="K280" t="s">
        <v>75</v>
      </c>
      <c r="L280" t="s">
        <v>942</v>
      </c>
      <c r="M280" t="s">
        <v>44</v>
      </c>
      <c r="N280">
        <v>1</v>
      </c>
      <c r="O280">
        <v>3979.64</v>
      </c>
      <c r="P280">
        <v>0.05</v>
      </c>
      <c r="Q280" s="7">
        <f>IF(P280="", 0, P280)</f>
        <v>0.05</v>
      </c>
      <c r="R280">
        <v>3780.66</v>
      </c>
      <c r="S280">
        <v>2148.31</v>
      </c>
      <c r="T280" s="7">
        <f>N280*O280*(1-Q280)</f>
        <v>3780.6579999999999</v>
      </c>
      <c r="U280" s="7">
        <f t="shared" si="24"/>
        <v>1632.348</v>
      </c>
      <c r="V280">
        <v>1632.35</v>
      </c>
      <c r="W280" s="12">
        <f t="shared" si="25"/>
        <v>0.43176293650470365</v>
      </c>
      <c r="X280" t="s">
        <v>32</v>
      </c>
      <c r="Y280" t="str">
        <f t="shared" si="26"/>
        <v>Paid</v>
      </c>
      <c r="Z280" t="s">
        <v>103</v>
      </c>
      <c r="AA280">
        <f>C280-B280</f>
        <v>55</v>
      </c>
      <c r="AB280" t="str">
        <f>IF(B280="","Missing Order Date",
IF(C280="","Missing Ship Date","OK"))</f>
        <v>OK</v>
      </c>
      <c r="AC280" s="7" t="str">
        <f>IF(C280&lt;B280, "Invalid", "Valid")</f>
        <v>Valid</v>
      </c>
      <c r="AD280" s="7" t="str">
        <f>IF(COUNTIF($A:$A, A280)&gt;1, "Duplicate", "Unique")</f>
        <v>Unique</v>
      </c>
      <c r="AE280" s="7" t="str">
        <f>IF(G280="","Unknown",G280)</f>
        <v>North</v>
      </c>
      <c r="AF280" s="7" t="str">
        <f>IF(M280="","Unknown",M280)</f>
        <v>Same Day</v>
      </c>
      <c r="AG280" s="7" t="str">
        <f>IF(P280&lt;0,"Invalid",
IF(P280&gt;1,"Invalid","Valid"))</f>
        <v>Valid</v>
      </c>
      <c r="AH280" s="7" t="str">
        <f>TEXT(B280,"mmmm")</f>
        <v>March</v>
      </c>
      <c r="AI280" s="7">
        <f t="shared" si="27"/>
        <v>2025</v>
      </c>
      <c r="AJ280" s="7" t="str">
        <f>IF(OR(R280&lt;0,C280&lt;B280),"Invalid",
IF(OR(G280="Unknown",M280="Unknown"),"Warning","Clean"))</f>
        <v>Clean</v>
      </c>
      <c r="AK280" s="7" t="str">
        <f>IF(C280&lt;B280,"Ship Before Order","OK")</f>
        <v>OK</v>
      </c>
      <c r="AL280" s="7" t="str">
        <f>IF(ISNUMBER(B280),"Valid","Invalid")</f>
        <v>Valid</v>
      </c>
      <c r="AM280" s="7" t="str">
        <f t="shared" si="28"/>
        <v>Missmatched</v>
      </c>
      <c r="AN280" s="7" t="str">
        <f t="shared" si="29"/>
        <v>Missmatched</v>
      </c>
    </row>
    <row r="281" spans="1:40">
      <c r="A281" t="s">
        <v>943</v>
      </c>
      <c r="B281" s="6">
        <v>45539</v>
      </c>
      <c r="C281" s="4">
        <v>45779</v>
      </c>
      <c r="D281" t="s">
        <v>944</v>
      </c>
      <c r="E281" t="s">
        <v>141</v>
      </c>
      <c r="F281" t="s">
        <v>37</v>
      </c>
      <c r="G281" t="s">
        <v>63</v>
      </c>
      <c r="H281" t="s">
        <v>64</v>
      </c>
      <c r="I281" t="s">
        <v>65</v>
      </c>
      <c r="J281" t="s">
        <v>28</v>
      </c>
      <c r="K281" t="s">
        <v>124</v>
      </c>
      <c r="L281" t="s">
        <v>945</v>
      </c>
      <c r="M281" t="s">
        <v>50</v>
      </c>
      <c r="N281">
        <v>1</v>
      </c>
      <c r="O281">
        <v>4359.12</v>
      </c>
      <c r="P281">
        <v>0.05</v>
      </c>
      <c r="Q281" s="7">
        <f>IF(P281="", 0, P281)</f>
        <v>0.05</v>
      </c>
      <c r="R281">
        <v>4141.16</v>
      </c>
      <c r="S281">
        <v>2754.17</v>
      </c>
      <c r="T281" s="7">
        <f>N281*O281*(1-Q281)</f>
        <v>4141.1639999999998</v>
      </c>
      <c r="U281" s="7">
        <f t="shared" si="24"/>
        <v>1386.9939999999997</v>
      </c>
      <c r="V281">
        <v>1386.99</v>
      </c>
      <c r="W281" s="12">
        <f t="shared" si="25"/>
        <v>0.33492853700070796</v>
      </c>
      <c r="X281" t="s">
        <v>32</v>
      </c>
      <c r="Y281" t="str">
        <f t="shared" si="26"/>
        <v>Paid</v>
      </c>
      <c r="Z281" t="s">
        <v>33</v>
      </c>
      <c r="AA281">
        <f>C281-B281</f>
        <v>240</v>
      </c>
      <c r="AB281" t="str">
        <f>IF(B281="","Missing Order Date",
IF(C281="","Missing Ship Date","OK"))</f>
        <v>OK</v>
      </c>
      <c r="AC281" s="7" t="str">
        <f>IF(C281&lt;B281, "Invalid", "Valid")</f>
        <v>Valid</v>
      </c>
      <c r="AD281" s="7" t="str">
        <f>IF(COUNTIF($A:$A, A281)&gt;1, "Duplicate", "Unique")</f>
        <v>Unique</v>
      </c>
      <c r="AE281" s="7" t="str">
        <f>IF(G281="","Unknown",G281)</f>
        <v>West</v>
      </c>
      <c r="AF281" s="7" t="str">
        <f>IF(M281="","Unknown",M281)</f>
        <v>First Class</v>
      </c>
      <c r="AG281" s="7" t="str">
        <f>IF(P281&lt;0,"Invalid",
IF(P281&gt;1,"Invalid","Valid"))</f>
        <v>Valid</v>
      </c>
      <c r="AH281" s="7" t="str">
        <f>TEXT(B281,"mmmm")</f>
        <v>September</v>
      </c>
      <c r="AI281" s="7">
        <f t="shared" si="27"/>
        <v>2024</v>
      </c>
      <c r="AJ281" s="7" t="str">
        <f>IF(OR(R281&lt;0,C281&lt;B281),"Invalid",
IF(OR(G281="Unknown",M281="Unknown"),"Warning","Clean"))</f>
        <v>Clean</v>
      </c>
      <c r="AK281" s="7" t="str">
        <f>IF(C281&lt;B281,"Ship Before Order","OK")</f>
        <v>OK</v>
      </c>
      <c r="AL281" s="7" t="str">
        <f>IF(ISNUMBER(B281),"Valid","Invalid")</f>
        <v>Valid</v>
      </c>
      <c r="AM281" s="7" t="str">
        <f t="shared" si="28"/>
        <v>Missmatched</v>
      </c>
      <c r="AN281" s="7" t="str">
        <f t="shared" si="29"/>
        <v>Missmatched</v>
      </c>
    </row>
    <row r="282" spans="1:40">
      <c r="A282" t="s">
        <v>946</v>
      </c>
      <c r="B282" s="6">
        <v>45649</v>
      </c>
      <c r="C282" s="4">
        <v>45780</v>
      </c>
      <c r="D282" t="s">
        <v>947</v>
      </c>
      <c r="E282" t="s">
        <v>89</v>
      </c>
      <c r="F282" t="s">
        <v>24</v>
      </c>
      <c r="G282" t="s">
        <v>54</v>
      </c>
      <c r="H282" t="s">
        <v>175</v>
      </c>
      <c r="I282" t="s">
        <v>176</v>
      </c>
      <c r="J282" t="s">
        <v>74</v>
      </c>
      <c r="K282" t="s">
        <v>80</v>
      </c>
      <c r="L282" t="s">
        <v>948</v>
      </c>
      <c r="M282" t="s">
        <v>59</v>
      </c>
      <c r="N282">
        <v>9</v>
      </c>
      <c r="O282">
        <v>993.67</v>
      </c>
      <c r="P282">
        <v>0</v>
      </c>
      <c r="Q282" s="7">
        <f>IF(P282="", 0, P282)</f>
        <v>0</v>
      </c>
      <c r="R282">
        <v>8943.0300000000007</v>
      </c>
      <c r="S282">
        <v>5165.38</v>
      </c>
      <c r="T282" s="7">
        <f>N282*O282*(1-Q282)</f>
        <v>8943.0299999999988</v>
      </c>
      <c r="U282" s="7">
        <f t="shared" si="24"/>
        <v>3777.6499999999987</v>
      </c>
      <c r="V282">
        <v>3777.65</v>
      </c>
      <c r="W282" s="12">
        <f t="shared" si="25"/>
        <v>0.42241276167026154</v>
      </c>
      <c r="X282" t="s">
        <v>32</v>
      </c>
      <c r="Y282" t="str">
        <f t="shared" si="26"/>
        <v>Paid</v>
      </c>
      <c r="Z282" t="s">
        <v>33</v>
      </c>
      <c r="AA282">
        <f>C282-B282</f>
        <v>131</v>
      </c>
      <c r="AB282" t="str">
        <f>IF(B282="","Missing Order Date",
IF(C282="","Missing Ship Date","OK"))</f>
        <v>OK</v>
      </c>
      <c r="AC282" s="7" t="str">
        <f>IF(C282&lt;B282, "Invalid", "Valid")</f>
        <v>Valid</v>
      </c>
      <c r="AD282" s="7" t="str">
        <f>IF(COUNTIF($A:$A, A282)&gt;1, "Duplicate", "Unique")</f>
        <v>Duplicate</v>
      </c>
      <c r="AE282" s="7" t="str">
        <f>IF(G282="","Unknown",G282)</f>
        <v>South</v>
      </c>
      <c r="AF282" s="7" t="str">
        <f>IF(M282="","Unknown",M282)</f>
        <v>Standard Class</v>
      </c>
      <c r="AG282" s="7" t="str">
        <f>IF(P282&lt;0,"Invalid",
IF(P282&gt;1,"Invalid","Valid"))</f>
        <v>Valid</v>
      </c>
      <c r="AH282" s="7" t="str">
        <f>TEXT(B282,"mmmm")</f>
        <v>December</v>
      </c>
      <c r="AI282" s="7">
        <f t="shared" si="27"/>
        <v>2024</v>
      </c>
      <c r="AJ282" s="7" t="str">
        <f>IF(OR(R282&lt;0,C282&lt;B282),"Invalid",
IF(OR(G282="Unknown",M282="Unknown"),"Warning","Clean"))</f>
        <v>Clean</v>
      </c>
      <c r="AK282" s="7" t="str">
        <f>IF(C282&lt;B282,"Ship Before Order","OK")</f>
        <v>OK</v>
      </c>
      <c r="AL282" s="7" t="str">
        <f>IF(ISNUMBER(B282),"Valid","Invalid")</f>
        <v>Valid</v>
      </c>
      <c r="AM282" s="7" t="str">
        <f t="shared" si="28"/>
        <v>Ok</v>
      </c>
      <c r="AN282" s="7" t="str">
        <f t="shared" si="29"/>
        <v>Ok</v>
      </c>
    </row>
    <row r="283" spans="1:40">
      <c r="A283" t="s">
        <v>949</v>
      </c>
      <c r="B283" s="6">
        <v>45863</v>
      </c>
      <c r="C283" s="4">
        <v>45781</v>
      </c>
      <c r="D283" t="s">
        <v>950</v>
      </c>
      <c r="E283" t="s">
        <v>264</v>
      </c>
      <c r="F283" t="s">
        <v>24</v>
      </c>
      <c r="G283" t="s">
        <v>38</v>
      </c>
      <c r="H283" t="s">
        <v>228</v>
      </c>
      <c r="I283" t="s">
        <v>229</v>
      </c>
      <c r="J283" t="s">
        <v>28</v>
      </c>
      <c r="K283" t="s">
        <v>153</v>
      </c>
      <c r="L283" t="s">
        <v>951</v>
      </c>
      <c r="M283" t="s">
        <v>31</v>
      </c>
      <c r="N283">
        <v>6</v>
      </c>
      <c r="O283">
        <v>3438.38</v>
      </c>
      <c r="P283">
        <v>0.2</v>
      </c>
      <c r="Q283" s="7">
        <f>IF(P283="", 0, P283)</f>
        <v>0.2</v>
      </c>
      <c r="R283">
        <v>16504.22</v>
      </c>
      <c r="S283">
        <v>11262.71</v>
      </c>
      <c r="T283" s="7">
        <f>N283*O283*(1-Q283)</f>
        <v>16504.223999999998</v>
      </c>
      <c r="U283" s="7">
        <f t="shared" si="24"/>
        <v>5241.5139999999992</v>
      </c>
      <c r="V283">
        <v>5241.51</v>
      </c>
      <c r="W283" s="12">
        <f t="shared" si="25"/>
        <v>0.31758621308096641</v>
      </c>
      <c r="X283" t="s">
        <v>32</v>
      </c>
      <c r="Y283" t="str">
        <f t="shared" si="26"/>
        <v>Paid</v>
      </c>
      <c r="Z283" t="s">
        <v>33</v>
      </c>
      <c r="AA283">
        <f>C283-B283</f>
        <v>-82</v>
      </c>
      <c r="AB283" t="str">
        <f>IF(B283="","Missing Order Date",
IF(C283="","Missing Ship Date","OK"))</f>
        <v>OK</v>
      </c>
      <c r="AC283" s="7" t="str">
        <f>IF(C283&lt;B283, "Invalid", "Valid")</f>
        <v>Invalid</v>
      </c>
      <c r="AD283" s="7" t="str">
        <f>IF(COUNTIF($A:$A, A283)&gt;1, "Duplicate", "Unique")</f>
        <v>Unique</v>
      </c>
      <c r="AE283" s="7" t="str">
        <f>IF(G283="","Unknown",G283)</f>
        <v>East</v>
      </c>
      <c r="AF283" s="7" t="str">
        <f>IF(M283="","Unknown",M283)</f>
        <v>Second Class</v>
      </c>
      <c r="AG283" s="7" t="str">
        <f>IF(P283&lt;0,"Invalid",
IF(P283&gt;1,"Invalid","Valid"))</f>
        <v>Valid</v>
      </c>
      <c r="AH283" s="7" t="str">
        <f>TEXT(B283,"mmmm")</f>
        <v>July</v>
      </c>
      <c r="AI283" s="7">
        <f t="shared" si="27"/>
        <v>2025</v>
      </c>
      <c r="AJ283" s="7" t="str">
        <f>IF(OR(R283&lt;0,C283&lt;B283),"Invalid",
IF(OR(G283="Unknown",M283="Unknown"),"Warning","Clean"))</f>
        <v>Invalid</v>
      </c>
      <c r="AK283" s="7" t="str">
        <f>IF(C283&lt;B283,"Ship Before Order","OK")</f>
        <v>Ship Before Order</v>
      </c>
      <c r="AL283" s="7" t="str">
        <f>IF(ISNUMBER(B283),"Valid","Invalid")</f>
        <v>Valid</v>
      </c>
      <c r="AM283" s="7" t="str">
        <f t="shared" si="28"/>
        <v>Missmatched</v>
      </c>
      <c r="AN283" s="7" t="str">
        <f t="shared" si="29"/>
        <v>Missmatched</v>
      </c>
    </row>
    <row r="284" spans="1:40">
      <c r="A284" t="s">
        <v>952</v>
      </c>
      <c r="B284" s="6">
        <v>45301</v>
      </c>
      <c r="C284" s="4">
        <v>45782</v>
      </c>
      <c r="D284" t="s">
        <v>953</v>
      </c>
      <c r="E284" t="s">
        <v>23</v>
      </c>
      <c r="F284" t="s">
        <v>95</v>
      </c>
      <c r="G284" t="s">
        <v>38</v>
      </c>
      <c r="H284" t="s">
        <v>166</v>
      </c>
      <c r="I284" t="s">
        <v>167</v>
      </c>
      <c r="J284" t="s">
        <v>41</v>
      </c>
      <c r="K284" t="s">
        <v>42</v>
      </c>
      <c r="L284" t="s">
        <v>954</v>
      </c>
      <c r="M284" t="s">
        <v>31</v>
      </c>
      <c r="N284">
        <v>2</v>
      </c>
      <c r="O284">
        <v>2298</v>
      </c>
      <c r="P284">
        <v>0</v>
      </c>
      <c r="Q284" s="7">
        <f>IF(P284="", 0, P284)</f>
        <v>0</v>
      </c>
      <c r="R284">
        <v>4596</v>
      </c>
      <c r="S284">
        <v>3220.33</v>
      </c>
      <c r="T284" s="7">
        <f>N284*O284*(1-Q284)</f>
        <v>4596</v>
      </c>
      <c r="U284" s="7">
        <f t="shared" si="24"/>
        <v>1375.67</v>
      </c>
      <c r="V284">
        <v>1375.67</v>
      </c>
      <c r="W284" s="12">
        <f t="shared" si="25"/>
        <v>0.29931897302001742</v>
      </c>
      <c r="X284" t="s">
        <v>32</v>
      </c>
      <c r="Y284" t="str">
        <f t="shared" si="26"/>
        <v>Paid</v>
      </c>
      <c r="Z284" t="s">
        <v>33</v>
      </c>
      <c r="AA284">
        <f>C284-B284</f>
        <v>481</v>
      </c>
      <c r="AB284" t="str">
        <f>IF(B284="","Missing Order Date",
IF(C284="","Missing Ship Date","OK"))</f>
        <v>OK</v>
      </c>
      <c r="AC284" s="7" t="str">
        <f>IF(C284&lt;B284, "Invalid", "Valid")</f>
        <v>Valid</v>
      </c>
      <c r="AD284" s="7" t="str">
        <f>IF(COUNTIF($A:$A, A284)&gt;1, "Duplicate", "Unique")</f>
        <v>Unique</v>
      </c>
      <c r="AE284" s="7" t="str">
        <f>IF(G284="","Unknown",G284)</f>
        <v>East</v>
      </c>
      <c r="AF284" s="7" t="str">
        <f>IF(M284="","Unknown",M284)</f>
        <v>Second Class</v>
      </c>
      <c r="AG284" s="7" t="str">
        <f>IF(P284&lt;0,"Invalid",
IF(P284&gt;1,"Invalid","Valid"))</f>
        <v>Valid</v>
      </c>
      <c r="AH284" s="7" t="str">
        <f>TEXT(B284,"mmmm")</f>
        <v>January</v>
      </c>
      <c r="AI284" s="7">
        <f t="shared" si="27"/>
        <v>2024</v>
      </c>
      <c r="AJ284" s="7" t="str">
        <f>IF(OR(R284&lt;0,C284&lt;B284),"Invalid",
IF(OR(G284="Unknown",M284="Unknown"),"Warning","Clean"))</f>
        <v>Clean</v>
      </c>
      <c r="AK284" s="7" t="str">
        <f>IF(C284&lt;B284,"Ship Before Order","OK")</f>
        <v>OK</v>
      </c>
      <c r="AL284" s="7" t="str">
        <f>IF(ISNUMBER(B284),"Valid","Invalid")</f>
        <v>Valid</v>
      </c>
      <c r="AM284" s="7" t="str">
        <f t="shared" si="28"/>
        <v>Ok</v>
      </c>
      <c r="AN284" s="7" t="str">
        <f t="shared" si="29"/>
        <v>Ok</v>
      </c>
    </row>
    <row r="285" spans="1:40">
      <c r="A285" t="s">
        <v>955</v>
      </c>
      <c r="B285" s="6">
        <v>45729</v>
      </c>
      <c r="C285" s="4">
        <v>45783</v>
      </c>
      <c r="D285" t="s">
        <v>956</v>
      </c>
      <c r="E285" t="s">
        <v>71</v>
      </c>
      <c r="F285" t="s">
        <v>24</v>
      </c>
      <c r="G285" t="s">
        <v>63</v>
      </c>
      <c r="H285" t="s">
        <v>64</v>
      </c>
      <c r="I285" t="s">
        <v>65</v>
      </c>
      <c r="J285" t="s">
        <v>41</v>
      </c>
      <c r="K285" t="s">
        <v>57</v>
      </c>
      <c r="L285" t="s">
        <v>957</v>
      </c>
      <c r="M285" t="s">
        <v>50</v>
      </c>
      <c r="N285">
        <v>1</v>
      </c>
      <c r="O285">
        <v>1814.01</v>
      </c>
      <c r="P285">
        <v>0</v>
      </c>
      <c r="Q285" s="7">
        <f>IF(P285="", 0, P285)</f>
        <v>0</v>
      </c>
      <c r="R285">
        <v>1814.01</v>
      </c>
      <c r="S285">
        <v>1033.47</v>
      </c>
      <c r="T285" s="7">
        <f>N285*O285*(1-Q285)</f>
        <v>1814.01</v>
      </c>
      <c r="U285" s="7">
        <f t="shared" si="24"/>
        <v>780.54</v>
      </c>
      <c r="V285">
        <v>780.54</v>
      </c>
      <c r="W285" s="12">
        <f t="shared" si="25"/>
        <v>0.43028428729720342</v>
      </c>
      <c r="X285" t="s">
        <v>32</v>
      </c>
      <c r="Y285" t="str">
        <f t="shared" si="26"/>
        <v>Paid</v>
      </c>
      <c r="Z285" t="s">
        <v>33</v>
      </c>
      <c r="AA285">
        <f>C285-B285</f>
        <v>54</v>
      </c>
      <c r="AB285" t="str">
        <f>IF(B285="","Missing Order Date",
IF(C285="","Missing Ship Date","OK"))</f>
        <v>OK</v>
      </c>
      <c r="AC285" s="7" t="str">
        <f>IF(C285&lt;B285, "Invalid", "Valid")</f>
        <v>Valid</v>
      </c>
      <c r="AD285" s="7" t="str">
        <f>IF(COUNTIF($A:$A, A285)&gt;1, "Duplicate", "Unique")</f>
        <v>Unique</v>
      </c>
      <c r="AE285" s="7" t="str">
        <f>IF(G285="","Unknown",G285)</f>
        <v>West</v>
      </c>
      <c r="AF285" s="7" t="str">
        <f>IF(M285="","Unknown",M285)</f>
        <v>First Class</v>
      </c>
      <c r="AG285" s="7" t="str">
        <f>IF(P285&lt;0,"Invalid",
IF(P285&gt;1,"Invalid","Valid"))</f>
        <v>Valid</v>
      </c>
      <c r="AH285" s="7" t="str">
        <f>TEXT(B285,"mmmm")</f>
        <v>March</v>
      </c>
      <c r="AI285" s="7">
        <f t="shared" si="27"/>
        <v>2025</v>
      </c>
      <c r="AJ285" s="7" t="str">
        <f>IF(OR(R285&lt;0,C285&lt;B285),"Invalid",
IF(OR(G285="Unknown",M285="Unknown"),"Warning","Clean"))</f>
        <v>Clean</v>
      </c>
      <c r="AK285" s="7" t="str">
        <f>IF(C285&lt;B285,"Ship Before Order","OK")</f>
        <v>OK</v>
      </c>
      <c r="AL285" s="7" t="str">
        <f>IF(ISNUMBER(B285),"Valid","Invalid")</f>
        <v>Valid</v>
      </c>
      <c r="AM285" s="7" t="str">
        <f t="shared" si="28"/>
        <v>Ok</v>
      </c>
      <c r="AN285" s="7" t="str">
        <f t="shared" si="29"/>
        <v>Ok</v>
      </c>
    </row>
    <row r="286" spans="1:40">
      <c r="A286" t="s">
        <v>958</v>
      </c>
      <c r="B286" s="6">
        <v>45516</v>
      </c>
      <c r="C286" s="4">
        <v>45784</v>
      </c>
      <c r="D286" t="s">
        <v>959</v>
      </c>
      <c r="E286" t="s">
        <v>23</v>
      </c>
      <c r="F286" t="s">
        <v>24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960</v>
      </c>
      <c r="M286" t="s">
        <v>44</v>
      </c>
      <c r="N286">
        <v>3</v>
      </c>
      <c r="O286">
        <v>1576.92</v>
      </c>
      <c r="P286">
        <v>0</v>
      </c>
      <c r="Q286" s="7">
        <f>IF(P286="", 0, P286)</f>
        <v>0</v>
      </c>
      <c r="R286">
        <v>4730.76</v>
      </c>
      <c r="S286">
        <v>3139.73</v>
      </c>
      <c r="T286" s="7">
        <f>N286*O286*(1-Q286)</f>
        <v>4730.76</v>
      </c>
      <c r="U286" s="7">
        <f t="shared" si="24"/>
        <v>1591.0300000000002</v>
      </c>
      <c r="V286">
        <v>1591.03</v>
      </c>
      <c r="W286" s="12">
        <f t="shared" si="25"/>
        <v>0.33631594077907145</v>
      </c>
      <c r="X286" t="s">
        <v>32</v>
      </c>
      <c r="Y286" t="str">
        <f t="shared" si="26"/>
        <v>Paid</v>
      </c>
      <c r="Z286" t="s">
        <v>103</v>
      </c>
      <c r="AA286">
        <f>C286-B286</f>
        <v>268</v>
      </c>
      <c r="AB286" t="str">
        <f>IF(B286="","Missing Order Date",
IF(C286="","Missing Ship Date","OK"))</f>
        <v>OK</v>
      </c>
      <c r="AC286" s="7" t="str">
        <f>IF(C286&lt;B286, "Invalid", "Valid")</f>
        <v>Valid</v>
      </c>
      <c r="AD286" s="7" t="str">
        <f>IF(COUNTIF($A:$A, A286)&gt;1, "Duplicate", "Unique")</f>
        <v>Unique</v>
      </c>
      <c r="AE286" s="7" t="str">
        <f>IF(G286="","Unknown",G286)</f>
        <v>East</v>
      </c>
      <c r="AF286" s="7" t="str">
        <f>IF(M286="","Unknown",M286)</f>
        <v>Same Day</v>
      </c>
      <c r="AG286" s="7" t="str">
        <f>IF(P286&lt;0,"Invalid",
IF(P286&gt;1,"Invalid","Valid"))</f>
        <v>Valid</v>
      </c>
      <c r="AH286" s="7" t="str">
        <f>TEXT(B286,"mmmm")</f>
        <v>August</v>
      </c>
      <c r="AI286" s="7">
        <f t="shared" si="27"/>
        <v>2024</v>
      </c>
      <c r="AJ286" s="7" t="str">
        <f>IF(OR(R286&lt;0,C286&lt;B286),"Invalid",
IF(OR(G286="Unknown",M286="Unknown"),"Warning","Clean"))</f>
        <v>Clean</v>
      </c>
      <c r="AK286" s="7" t="str">
        <f>IF(C286&lt;B286,"Ship Before Order","OK")</f>
        <v>OK</v>
      </c>
      <c r="AL286" s="7" t="str">
        <f>IF(ISNUMBER(B286),"Valid","Invalid")</f>
        <v>Valid</v>
      </c>
      <c r="AM286" s="7" t="str">
        <f t="shared" si="28"/>
        <v>Ok</v>
      </c>
      <c r="AN286" s="7" t="str">
        <f t="shared" si="29"/>
        <v>Ok</v>
      </c>
    </row>
    <row r="287" spans="1:40">
      <c r="A287" t="s">
        <v>961</v>
      </c>
      <c r="B287" s="6">
        <v>45884</v>
      </c>
      <c r="C287" s="4">
        <v>45785</v>
      </c>
      <c r="D287" t="s">
        <v>962</v>
      </c>
      <c r="E287" t="s">
        <v>79</v>
      </c>
      <c r="F287" t="s">
        <v>95</v>
      </c>
      <c r="G287" t="s">
        <v>25</v>
      </c>
      <c r="H287" t="s">
        <v>26</v>
      </c>
      <c r="I287" t="s">
        <v>27</v>
      </c>
      <c r="J287" t="s">
        <v>28</v>
      </c>
      <c r="K287" t="s">
        <v>124</v>
      </c>
      <c r="L287" t="s">
        <v>963</v>
      </c>
      <c r="M287" t="s">
        <v>59</v>
      </c>
      <c r="N287">
        <v>9</v>
      </c>
      <c r="O287">
        <v>4081.77</v>
      </c>
      <c r="P287">
        <v>0</v>
      </c>
      <c r="Q287" s="7">
        <f>IF(P287="", 0, P287)</f>
        <v>0</v>
      </c>
      <c r="R287">
        <v>36735.93</v>
      </c>
      <c r="S287">
        <v>30820.84</v>
      </c>
      <c r="T287" s="7">
        <f>N287*O287*(1-Q287)</f>
        <v>36735.93</v>
      </c>
      <c r="U287" s="7">
        <f t="shared" si="24"/>
        <v>5915.09</v>
      </c>
      <c r="V287">
        <v>5915.09</v>
      </c>
      <c r="W287" s="12">
        <f t="shared" si="25"/>
        <v>0.16101647624001897</v>
      </c>
      <c r="X287" t="s">
        <v>32</v>
      </c>
      <c r="Y287" t="str">
        <f t="shared" si="26"/>
        <v>Paid</v>
      </c>
      <c r="Z287" t="s">
        <v>33</v>
      </c>
      <c r="AA287">
        <f>C287-B287</f>
        <v>-99</v>
      </c>
      <c r="AB287" t="str">
        <f>IF(B287="","Missing Order Date",
IF(C287="","Missing Ship Date","OK"))</f>
        <v>OK</v>
      </c>
      <c r="AC287" s="7" t="str">
        <f>IF(C287&lt;B287, "Invalid", "Valid")</f>
        <v>Invalid</v>
      </c>
      <c r="AD287" s="7" t="str">
        <f>IF(COUNTIF($A:$A, A287)&gt;1, "Duplicate", "Unique")</f>
        <v>Unique</v>
      </c>
      <c r="AE287" s="7" t="str">
        <f>IF(G287="","Unknown",G287)</f>
        <v>North</v>
      </c>
      <c r="AF287" s="7" t="str">
        <f>IF(M287="","Unknown",M287)</f>
        <v>Standard Class</v>
      </c>
      <c r="AG287" s="7" t="str">
        <f>IF(P287&lt;0,"Invalid",
IF(P287&gt;1,"Invalid","Valid"))</f>
        <v>Valid</v>
      </c>
      <c r="AH287" s="7" t="str">
        <f>TEXT(B287,"mmmm")</f>
        <v>August</v>
      </c>
      <c r="AI287" s="7">
        <f t="shared" si="27"/>
        <v>2025</v>
      </c>
      <c r="AJ287" s="7" t="str">
        <f>IF(OR(R287&lt;0,C287&lt;B287),"Invalid",
IF(OR(G287="Unknown",M287="Unknown"),"Warning","Clean"))</f>
        <v>Invalid</v>
      </c>
      <c r="AK287" s="7" t="str">
        <f>IF(C287&lt;B287,"Ship Before Order","OK")</f>
        <v>Ship Before Order</v>
      </c>
      <c r="AL287" s="7" t="str">
        <f>IF(ISNUMBER(B287),"Valid","Invalid")</f>
        <v>Valid</v>
      </c>
      <c r="AM287" s="7" t="str">
        <f t="shared" si="28"/>
        <v>Ok</v>
      </c>
      <c r="AN287" s="7" t="str">
        <f t="shared" si="29"/>
        <v>Ok</v>
      </c>
    </row>
    <row r="288" spans="1:40">
      <c r="A288" t="s">
        <v>964</v>
      </c>
      <c r="B288" s="6">
        <v>45350</v>
      </c>
      <c r="C288" s="4">
        <v>45786</v>
      </c>
      <c r="D288" t="s">
        <v>965</v>
      </c>
      <c r="E288" t="s">
        <v>114</v>
      </c>
      <c r="F288" t="s">
        <v>37</v>
      </c>
      <c r="G288" t="s">
        <v>25</v>
      </c>
      <c r="H288" t="s">
        <v>350</v>
      </c>
      <c r="I288" t="s">
        <v>351</v>
      </c>
      <c r="J288" t="s">
        <v>41</v>
      </c>
      <c r="K288" t="s">
        <v>57</v>
      </c>
      <c r="L288" t="s">
        <v>966</v>
      </c>
      <c r="M288" t="s">
        <v>50</v>
      </c>
      <c r="N288">
        <v>7</v>
      </c>
      <c r="O288">
        <v>701.8</v>
      </c>
      <c r="P288">
        <v>0.1</v>
      </c>
      <c r="Q288" s="7">
        <f>IF(P288="", 0, P288)</f>
        <v>0.1</v>
      </c>
      <c r="R288">
        <v>4421.34</v>
      </c>
      <c r="S288">
        <v>2489.98</v>
      </c>
      <c r="T288" s="7">
        <f>N288*O288*(1-Q288)</f>
        <v>4421.3399999999992</v>
      </c>
      <c r="U288" s="7">
        <f t="shared" si="24"/>
        <v>1931.3599999999992</v>
      </c>
      <c r="V288">
        <v>1931.36</v>
      </c>
      <c r="W288" s="12">
        <f t="shared" si="25"/>
        <v>0.43682684435035524</v>
      </c>
      <c r="X288" t="s">
        <v>111</v>
      </c>
      <c r="Y288" t="str">
        <f t="shared" si="26"/>
        <v>Pending</v>
      </c>
      <c r="Z288" t="s">
        <v>103</v>
      </c>
      <c r="AA288">
        <f>C288-B288</f>
        <v>436</v>
      </c>
      <c r="AB288" t="str">
        <f>IF(B288="","Missing Order Date",
IF(C288="","Missing Ship Date","OK"))</f>
        <v>OK</v>
      </c>
      <c r="AC288" s="7" t="str">
        <f>IF(C288&lt;B288, "Invalid", "Valid")</f>
        <v>Valid</v>
      </c>
      <c r="AD288" s="7" t="str">
        <f>IF(COUNTIF($A:$A, A288)&gt;1, "Duplicate", "Unique")</f>
        <v>Unique</v>
      </c>
      <c r="AE288" s="7" t="str">
        <f>IF(G288="","Unknown",G288)</f>
        <v>North</v>
      </c>
      <c r="AF288" s="7" t="str">
        <f>IF(M288="","Unknown",M288)</f>
        <v>First Class</v>
      </c>
      <c r="AG288" s="7" t="str">
        <f>IF(P288&lt;0,"Invalid",
IF(P288&gt;1,"Invalid","Valid"))</f>
        <v>Valid</v>
      </c>
      <c r="AH288" s="7" t="str">
        <f>TEXT(B288,"mmmm")</f>
        <v>February</v>
      </c>
      <c r="AI288" s="7">
        <f t="shared" si="27"/>
        <v>2024</v>
      </c>
      <c r="AJ288" s="7" t="str">
        <f>IF(OR(R288&lt;0,C288&lt;B288),"Invalid",
IF(OR(G288="Unknown",M288="Unknown"),"Warning","Clean"))</f>
        <v>Clean</v>
      </c>
      <c r="AK288" s="7" t="str">
        <f>IF(C288&lt;B288,"Ship Before Order","OK")</f>
        <v>OK</v>
      </c>
      <c r="AL288" s="7" t="str">
        <f>IF(ISNUMBER(B288),"Valid","Invalid")</f>
        <v>Valid</v>
      </c>
      <c r="AM288" s="7" t="str">
        <f t="shared" si="28"/>
        <v>Ok</v>
      </c>
      <c r="AN288" s="7" t="str">
        <f t="shared" si="29"/>
        <v>Ok</v>
      </c>
    </row>
    <row r="289" spans="1:40">
      <c r="A289" t="s">
        <v>967</v>
      </c>
      <c r="B289" s="6">
        <v>45421</v>
      </c>
      <c r="C289" s="4">
        <v>45787</v>
      </c>
      <c r="D289" t="s">
        <v>968</v>
      </c>
      <c r="E289" t="s">
        <v>79</v>
      </c>
      <c r="F289" t="s">
        <v>37</v>
      </c>
      <c r="G289" t="s">
        <v>54</v>
      </c>
      <c r="H289" t="s">
        <v>247</v>
      </c>
      <c r="I289" t="s">
        <v>248</v>
      </c>
      <c r="J289" t="s">
        <v>74</v>
      </c>
      <c r="K289" t="s">
        <v>80</v>
      </c>
      <c r="L289" t="s">
        <v>969</v>
      </c>
      <c r="M289" t="s">
        <v>59</v>
      </c>
      <c r="N289">
        <v>3</v>
      </c>
      <c r="O289">
        <v>2555.66</v>
      </c>
      <c r="P289">
        <v>0.15</v>
      </c>
      <c r="Q289" s="7">
        <f>IF(P289="", 0, P289)</f>
        <v>0.15</v>
      </c>
      <c r="R289">
        <v>6516.93</v>
      </c>
      <c r="S289">
        <v>4511.54</v>
      </c>
      <c r="T289" s="7">
        <f>N289*O289*(1-Q289)</f>
        <v>6516.9329999999991</v>
      </c>
      <c r="U289" s="7">
        <f t="shared" si="24"/>
        <v>2005.3929999999991</v>
      </c>
      <c r="V289">
        <v>2005.39</v>
      </c>
      <c r="W289" s="12">
        <f t="shared" si="25"/>
        <v>0.30772036477895343</v>
      </c>
      <c r="X289" t="s">
        <v>32</v>
      </c>
      <c r="Y289" t="str">
        <f t="shared" si="26"/>
        <v>Paid</v>
      </c>
      <c r="Z289" t="s">
        <v>68</v>
      </c>
      <c r="AA289">
        <f>C289-B289</f>
        <v>366</v>
      </c>
      <c r="AB289" t="str">
        <f>IF(B289="","Missing Order Date",
IF(C289="","Missing Ship Date","OK"))</f>
        <v>OK</v>
      </c>
      <c r="AC289" s="7" t="str">
        <f>IF(C289&lt;B289, "Invalid", "Valid")</f>
        <v>Valid</v>
      </c>
      <c r="AD289" s="7" t="str">
        <f>IF(COUNTIF($A:$A, A289)&gt;1, "Duplicate", "Unique")</f>
        <v>Unique</v>
      </c>
      <c r="AE289" s="7" t="str">
        <f>IF(G289="","Unknown",G289)</f>
        <v>South</v>
      </c>
      <c r="AF289" s="7" t="str">
        <f>IF(M289="","Unknown",M289)</f>
        <v>Standard Class</v>
      </c>
      <c r="AG289" s="7" t="str">
        <f>IF(P289&lt;0,"Invalid",
IF(P289&gt;1,"Invalid","Valid"))</f>
        <v>Valid</v>
      </c>
      <c r="AH289" s="7" t="str">
        <f>TEXT(B289,"mmmm")</f>
        <v>May</v>
      </c>
      <c r="AI289" s="7">
        <f t="shared" si="27"/>
        <v>2024</v>
      </c>
      <c r="AJ289" s="7" t="str">
        <f>IF(OR(R289&lt;0,C289&lt;B289),"Invalid",
IF(OR(G289="Unknown",M289="Unknown"),"Warning","Clean"))</f>
        <v>Clean</v>
      </c>
      <c r="AK289" s="7" t="str">
        <f>IF(C289&lt;B289,"Ship Before Order","OK")</f>
        <v>OK</v>
      </c>
      <c r="AL289" s="7" t="str">
        <f>IF(ISNUMBER(B289),"Valid","Invalid")</f>
        <v>Valid</v>
      </c>
      <c r="AM289" s="7" t="str">
        <f t="shared" si="28"/>
        <v>Missmatched</v>
      </c>
      <c r="AN289" s="7" t="str">
        <f t="shared" si="29"/>
        <v>Missmatched</v>
      </c>
    </row>
    <row r="290" spans="1:40">
      <c r="A290" t="s">
        <v>970</v>
      </c>
      <c r="B290" s="6">
        <v>45467</v>
      </c>
      <c r="C290" s="4">
        <v>45788</v>
      </c>
      <c r="D290" t="s">
        <v>971</v>
      </c>
      <c r="E290" t="s">
        <v>141</v>
      </c>
      <c r="F290" t="s">
        <v>37</v>
      </c>
      <c r="G290" t="s">
        <v>38</v>
      </c>
      <c r="H290" t="s">
        <v>145</v>
      </c>
      <c r="I290" t="s">
        <v>146</v>
      </c>
      <c r="J290" t="s">
        <v>28</v>
      </c>
      <c r="K290" t="s">
        <v>153</v>
      </c>
      <c r="L290" t="s">
        <v>972</v>
      </c>
      <c r="M290" t="s">
        <v>44</v>
      </c>
      <c r="N290">
        <v>2</v>
      </c>
      <c r="O290">
        <v>4359.8999999999996</v>
      </c>
      <c r="P290">
        <v>0.15</v>
      </c>
      <c r="Q290" s="7">
        <f>IF(P290="", 0, P290)</f>
        <v>0.15</v>
      </c>
      <c r="R290">
        <v>7411.83</v>
      </c>
      <c r="S290">
        <v>4904.63</v>
      </c>
      <c r="T290" s="7">
        <f>N290*O290*(1-Q290)</f>
        <v>7411.829999999999</v>
      </c>
      <c r="U290" s="7">
        <f t="shared" si="24"/>
        <v>2507.1999999999989</v>
      </c>
      <c r="V290">
        <v>2507.1999999999998</v>
      </c>
      <c r="W290" s="12">
        <f t="shared" si="25"/>
        <v>0.3382700358750807</v>
      </c>
      <c r="X290" t="s">
        <v>32</v>
      </c>
      <c r="Y290" t="str">
        <f t="shared" si="26"/>
        <v>Paid</v>
      </c>
      <c r="Z290" t="s">
        <v>33</v>
      </c>
      <c r="AA290">
        <f>C290-B290</f>
        <v>321</v>
      </c>
      <c r="AB290" t="str">
        <f>IF(B290="","Missing Order Date",
IF(C290="","Missing Ship Date","OK"))</f>
        <v>OK</v>
      </c>
      <c r="AC290" s="7" t="str">
        <f>IF(C290&lt;B290, "Invalid", "Valid")</f>
        <v>Valid</v>
      </c>
      <c r="AD290" s="7" t="str">
        <f>IF(COUNTIF($A:$A, A290)&gt;1, "Duplicate", "Unique")</f>
        <v>Unique</v>
      </c>
      <c r="AE290" s="7" t="str">
        <f>IF(G290="","Unknown",G290)</f>
        <v>East</v>
      </c>
      <c r="AF290" s="7" t="str">
        <f>IF(M290="","Unknown",M290)</f>
        <v>Same Day</v>
      </c>
      <c r="AG290" s="7" t="str">
        <f>IF(P290&lt;0,"Invalid",
IF(P290&gt;1,"Invalid","Valid"))</f>
        <v>Valid</v>
      </c>
      <c r="AH290" s="7" t="str">
        <f>TEXT(B290,"mmmm")</f>
        <v>June</v>
      </c>
      <c r="AI290" s="7">
        <f t="shared" si="27"/>
        <v>2024</v>
      </c>
      <c r="AJ290" s="7" t="str">
        <f>IF(OR(R290&lt;0,C290&lt;B290),"Invalid",
IF(OR(G290="Unknown",M290="Unknown"),"Warning","Clean"))</f>
        <v>Clean</v>
      </c>
      <c r="AK290" s="7" t="str">
        <f>IF(C290&lt;B290,"Ship Before Order","OK")</f>
        <v>OK</v>
      </c>
      <c r="AL290" s="7" t="str">
        <f>IF(ISNUMBER(B290),"Valid","Invalid")</f>
        <v>Valid</v>
      </c>
      <c r="AM290" s="7" t="str">
        <f t="shared" si="28"/>
        <v>Ok</v>
      </c>
      <c r="AN290" s="7" t="str">
        <f t="shared" si="29"/>
        <v>Ok</v>
      </c>
    </row>
    <row r="291" spans="1:40">
      <c r="A291" t="s">
        <v>973</v>
      </c>
      <c r="B291" s="6">
        <v>45827</v>
      </c>
      <c r="C291" s="4">
        <v>45789</v>
      </c>
      <c r="D291" t="s">
        <v>974</v>
      </c>
      <c r="E291" t="s">
        <v>23</v>
      </c>
      <c r="F291" t="s">
        <v>95</v>
      </c>
      <c r="G291" t="s">
        <v>54</v>
      </c>
      <c r="H291" t="s">
        <v>247</v>
      </c>
      <c r="I291" t="s">
        <v>248</v>
      </c>
      <c r="J291" t="s">
        <v>41</v>
      </c>
      <c r="K291" t="s">
        <v>158</v>
      </c>
      <c r="L291" t="s">
        <v>975</v>
      </c>
      <c r="M291" t="s">
        <v>50</v>
      </c>
      <c r="N291">
        <v>2</v>
      </c>
      <c r="O291">
        <v>4346.6899999999996</v>
      </c>
      <c r="P291">
        <v>0.05</v>
      </c>
      <c r="Q291" s="7">
        <f>IF(P291="", 0, P291)</f>
        <v>0.05</v>
      </c>
      <c r="R291">
        <v>8258.7099999999991</v>
      </c>
      <c r="S291">
        <v>7018.97</v>
      </c>
      <c r="T291" s="7">
        <f>N291*O291*(1-Q291)</f>
        <v>8258.7109999999993</v>
      </c>
      <c r="U291" s="7">
        <f t="shared" si="24"/>
        <v>1239.7409999999991</v>
      </c>
      <c r="V291">
        <v>1239.74</v>
      </c>
      <c r="W291" s="12">
        <f t="shared" si="25"/>
        <v>0.15011313508851432</v>
      </c>
      <c r="X291" t="s">
        <v>32</v>
      </c>
      <c r="Y291" t="str">
        <f t="shared" si="26"/>
        <v>Paid</v>
      </c>
      <c r="Z291" t="s">
        <v>33</v>
      </c>
      <c r="AA291">
        <f>C291-B291</f>
        <v>-38</v>
      </c>
      <c r="AB291" t="str">
        <f>IF(B291="","Missing Order Date",
IF(C291="","Missing Ship Date","OK"))</f>
        <v>OK</v>
      </c>
      <c r="AC291" s="7" t="str">
        <f>IF(C291&lt;B291, "Invalid", "Valid")</f>
        <v>Invalid</v>
      </c>
      <c r="AD291" s="7" t="str">
        <f>IF(COUNTIF($A:$A, A291)&gt;1, "Duplicate", "Unique")</f>
        <v>Unique</v>
      </c>
      <c r="AE291" s="7" t="str">
        <f>IF(G291="","Unknown",G291)</f>
        <v>South</v>
      </c>
      <c r="AF291" s="7" t="str">
        <f>IF(M291="","Unknown",M291)</f>
        <v>First Class</v>
      </c>
      <c r="AG291" s="7" t="str">
        <f>IF(P291&lt;0,"Invalid",
IF(P291&gt;1,"Invalid","Valid"))</f>
        <v>Valid</v>
      </c>
      <c r="AH291" s="7" t="str">
        <f>TEXT(B291,"mmmm")</f>
        <v>June</v>
      </c>
      <c r="AI291" s="7">
        <f t="shared" si="27"/>
        <v>2025</v>
      </c>
      <c r="AJ291" s="7" t="str">
        <f>IF(OR(R291&lt;0,C291&lt;B291),"Invalid",
IF(OR(G291="Unknown",M291="Unknown"),"Warning","Clean"))</f>
        <v>Invalid</v>
      </c>
      <c r="AK291" s="7" t="str">
        <f>IF(C291&lt;B291,"Ship Before Order","OK")</f>
        <v>Ship Before Order</v>
      </c>
      <c r="AL291" s="7" t="str">
        <f>IF(ISNUMBER(B291),"Valid","Invalid")</f>
        <v>Valid</v>
      </c>
      <c r="AM291" s="7" t="str">
        <f t="shared" si="28"/>
        <v>Missmatched</v>
      </c>
      <c r="AN291" s="7" t="str">
        <f t="shared" si="29"/>
        <v>Missmatched</v>
      </c>
    </row>
    <row r="292" spans="1:40">
      <c r="A292" t="s">
        <v>976</v>
      </c>
      <c r="B292" s="6">
        <v>45891</v>
      </c>
      <c r="C292" s="4">
        <v>45790</v>
      </c>
      <c r="D292" t="s">
        <v>977</v>
      </c>
      <c r="E292" t="s">
        <v>162</v>
      </c>
      <c r="F292" t="s">
        <v>95</v>
      </c>
      <c r="G292" t="s">
        <v>38</v>
      </c>
      <c r="H292" t="s">
        <v>228</v>
      </c>
      <c r="I292" t="s">
        <v>229</v>
      </c>
      <c r="J292" t="s">
        <v>41</v>
      </c>
      <c r="K292" t="s">
        <v>42</v>
      </c>
      <c r="L292" t="s">
        <v>978</v>
      </c>
      <c r="M292" t="s">
        <v>59</v>
      </c>
      <c r="N292">
        <v>1</v>
      </c>
      <c r="O292">
        <v>1842.63</v>
      </c>
      <c r="P292">
        <v>0.1</v>
      </c>
      <c r="Q292" s="7">
        <f>IF(P292="", 0, P292)</f>
        <v>0.1</v>
      </c>
      <c r="R292">
        <v>1658.37</v>
      </c>
      <c r="S292">
        <v>971.12</v>
      </c>
      <c r="T292" s="7">
        <f>N292*O292*(1-Q292)</f>
        <v>1658.3670000000002</v>
      </c>
      <c r="U292" s="7">
        <f t="shared" si="24"/>
        <v>687.24700000000018</v>
      </c>
      <c r="V292">
        <v>687.25</v>
      </c>
      <c r="W292" s="12">
        <f t="shared" si="25"/>
        <v>0.41441188832146331</v>
      </c>
      <c r="X292" t="s">
        <v>32</v>
      </c>
      <c r="Y292" t="str">
        <f t="shared" si="26"/>
        <v>Paid</v>
      </c>
      <c r="Z292" t="s">
        <v>33</v>
      </c>
      <c r="AA292">
        <f>C292-B292</f>
        <v>-101</v>
      </c>
      <c r="AB292" t="str">
        <f>IF(B292="","Missing Order Date",
IF(C292="","Missing Ship Date","OK"))</f>
        <v>OK</v>
      </c>
      <c r="AC292" s="7" t="str">
        <f>IF(C292&lt;B292, "Invalid", "Valid")</f>
        <v>Invalid</v>
      </c>
      <c r="AD292" s="7" t="str">
        <f>IF(COUNTIF($A:$A, A292)&gt;1, "Duplicate", "Unique")</f>
        <v>Unique</v>
      </c>
      <c r="AE292" s="7" t="str">
        <f>IF(G292="","Unknown",G292)</f>
        <v>East</v>
      </c>
      <c r="AF292" s="7" t="str">
        <f>IF(M292="","Unknown",M292)</f>
        <v>Standard Class</v>
      </c>
      <c r="AG292" s="7" t="str">
        <f>IF(P292&lt;0,"Invalid",
IF(P292&gt;1,"Invalid","Valid"))</f>
        <v>Valid</v>
      </c>
      <c r="AH292" s="7" t="str">
        <f>TEXT(B292,"mmmm")</f>
        <v>August</v>
      </c>
      <c r="AI292" s="7">
        <f t="shared" si="27"/>
        <v>2025</v>
      </c>
      <c r="AJ292" s="7" t="str">
        <f>IF(OR(R292&lt;0,C292&lt;B292),"Invalid",
IF(OR(G292="Unknown",M292="Unknown"),"Warning","Clean"))</f>
        <v>Invalid</v>
      </c>
      <c r="AK292" s="7" t="str">
        <f>IF(C292&lt;B292,"Ship Before Order","OK")</f>
        <v>Ship Before Order</v>
      </c>
      <c r="AL292" s="7" t="str">
        <f>IF(ISNUMBER(B292),"Valid","Invalid")</f>
        <v>Valid</v>
      </c>
      <c r="AM292" s="7" t="str">
        <f t="shared" si="28"/>
        <v>Missmatched</v>
      </c>
      <c r="AN292" s="7" t="str">
        <f t="shared" si="29"/>
        <v>Missmatched</v>
      </c>
    </row>
    <row r="293" spans="1:40">
      <c r="A293" t="s">
        <v>979</v>
      </c>
      <c r="B293" s="6">
        <v>45416</v>
      </c>
      <c r="C293" s="4">
        <v>45791</v>
      </c>
      <c r="D293" t="s">
        <v>980</v>
      </c>
      <c r="E293" t="s">
        <v>114</v>
      </c>
      <c r="F293" t="s">
        <v>95</v>
      </c>
      <c r="G293" t="s">
        <v>25</v>
      </c>
      <c r="H293" t="s">
        <v>26</v>
      </c>
      <c r="I293" t="s">
        <v>27</v>
      </c>
      <c r="J293" t="s">
        <v>28</v>
      </c>
      <c r="K293" t="s">
        <v>153</v>
      </c>
      <c r="L293" t="s">
        <v>981</v>
      </c>
      <c r="M293" t="s">
        <v>59</v>
      </c>
      <c r="N293">
        <v>4</v>
      </c>
      <c r="O293">
        <v>3228.66</v>
      </c>
      <c r="P293">
        <v>0.25</v>
      </c>
      <c r="Q293" s="7">
        <f>IF(P293="", 0, P293)</f>
        <v>0.25</v>
      </c>
      <c r="R293">
        <v>9685.98</v>
      </c>
      <c r="S293">
        <v>7730.04</v>
      </c>
      <c r="T293" s="7">
        <f>N293*O293*(1-Q293)</f>
        <v>9685.98</v>
      </c>
      <c r="U293" s="7">
        <f t="shared" si="24"/>
        <v>1955.9399999999996</v>
      </c>
      <c r="V293">
        <v>1955.94</v>
      </c>
      <c r="W293" s="12">
        <f t="shared" si="25"/>
        <v>0.20193516815025425</v>
      </c>
      <c r="X293" t="s">
        <v>32</v>
      </c>
      <c r="Y293" t="str">
        <f t="shared" si="26"/>
        <v>Paid</v>
      </c>
      <c r="Z293" t="s">
        <v>33</v>
      </c>
      <c r="AA293">
        <f>C293-B293</f>
        <v>375</v>
      </c>
      <c r="AB293" t="str">
        <f>IF(B293="","Missing Order Date",
IF(C293="","Missing Ship Date","OK"))</f>
        <v>OK</v>
      </c>
      <c r="AC293" s="7" t="str">
        <f>IF(C293&lt;B293, "Invalid", "Valid")</f>
        <v>Valid</v>
      </c>
      <c r="AD293" s="7" t="str">
        <f>IF(COUNTIF($A:$A, A293)&gt;1, "Duplicate", "Unique")</f>
        <v>Unique</v>
      </c>
      <c r="AE293" s="7" t="str">
        <f>IF(G293="","Unknown",G293)</f>
        <v>North</v>
      </c>
      <c r="AF293" s="7" t="str">
        <f>IF(M293="","Unknown",M293)</f>
        <v>Standard Class</v>
      </c>
      <c r="AG293" s="7" t="str">
        <f>IF(P293&lt;0,"Invalid",
IF(P293&gt;1,"Invalid","Valid"))</f>
        <v>Valid</v>
      </c>
      <c r="AH293" s="7" t="str">
        <f>TEXT(B293,"mmmm")</f>
        <v>May</v>
      </c>
      <c r="AI293" s="7">
        <f t="shared" si="27"/>
        <v>2024</v>
      </c>
      <c r="AJ293" s="7" t="str">
        <f>IF(OR(R293&lt;0,C293&lt;B293),"Invalid",
IF(OR(G293="Unknown",M293="Unknown"),"Warning","Clean"))</f>
        <v>Clean</v>
      </c>
      <c r="AK293" s="7" t="str">
        <f>IF(C293&lt;B293,"Ship Before Order","OK")</f>
        <v>OK</v>
      </c>
      <c r="AL293" s="7" t="str">
        <f>IF(ISNUMBER(B293),"Valid","Invalid")</f>
        <v>Valid</v>
      </c>
      <c r="AM293" s="7" t="str">
        <f t="shared" si="28"/>
        <v>Ok</v>
      </c>
      <c r="AN293" s="7" t="str">
        <f t="shared" si="29"/>
        <v>Ok</v>
      </c>
    </row>
    <row r="294" spans="1:40">
      <c r="A294" t="s">
        <v>982</v>
      </c>
      <c r="B294" s="6">
        <v>45716</v>
      </c>
      <c r="C294" s="4">
        <v>45792</v>
      </c>
      <c r="D294" t="s">
        <v>983</v>
      </c>
      <c r="E294" t="s">
        <v>264</v>
      </c>
      <c r="F294" t="s">
        <v>95</v>
      </c>
      <c r="G294" t="s">
        <v>25</v>
      </c>
      <c r="H294" t="s">
        <v>236</v>
      </c>
      <c r="I294" t="s">
        <v>237</v>
      </c>
      <c r="J294" t="s">
        <v>28</v>
      </c>
      <c r="K294" t="s">
        <v>48</v>
      </c>
      <c r="L294" t="s">
        <v>984</v>
      </c>
      <c r="M294" t="s">
        <v>44</v>
      </c>
      <c r="N294">
        <v>9</v>
      </c>
      <c r="O294">
        <v>3748.95</v>
      </c>
      <c r="P294">
        <v>0</v>
      </c>
      <c r="Q294" s="7">
        <f>IF(P294="", 0, P294)</f>
        <v>0</v>
      </c>
      <c r="R294">
        <v>33740.550000000003</v>
      </c>
      <c r="S294">
        <v>24621.89</v>
      </c>
      <c r="T294" s="7">
        <f>N294*O294*(1-Q294)</f>
        <v>33740.549999999996</v>
      </c>
      <c r="U294" s="7">
        <f t="shared" si="24"/>
        <v>9118.6599999999962</v>
      </c>
      <c r="V294">
        <v>9118.66</v>
      </c>
      <c r="W294" s="12">
        <f t="shared" si="25"/>
        <v>0.2702581908119458</v>
      </c>
      <c r="X294" t="s">
        <v>111</v>
      </c>
      <c r="Y294" t="str">
        <f t="shared" si="26"/>
        <v>Pending</v>
      </c>
      <c r="Z294" t="s">
        <v>68</v>
      </c>
      <c r="AA294">
        <f>C294-B294</f>
        <v>76</v>
      </c>
      <c r="AB294" t="str">
        <f>IF(B294="","Missing Order Date",
IF(C294="","Missing Ship Date","OK"))</f>
        <v>OK</v>
      </c>
      <c r="AC294" s="7" t="str">
        <f>IF(C294&lt;B294, "Invalid", "Valid")</f>
        <v>Valid</v>
      </c>
      <c r="AD294" s="7" t="str">
        <f>IF(COUNTIF($A:$A, A294)&gt;1, "Duplicate", "Unique")</f>
        <v>Unique</v>
      </c>
      <c r="AE294" s="7" t="str">
        <f>IF(G294="","Unknown",G294)</f>
        <v>North</v>
      </c>
      <c r="AF294" s="7" t="str">
        <f>IF(M294="","Unknown",M294)</f>
        <v>Same Day</v>
      </c>
      <c r="AG294" s="7" t="str">
        <f>IF(P294&lt;0,"Invalid",
IF(P294&gt;1,"Invalid","Valid"))</f>
        <v>Valid</v>
      </c>
      <c r="AH294" s="7" t="str">
        <f>TEXT(B294,"mmmm")</f>
        <v>February</v>
      </c>
      <c r="AI294" s="7">
        <f t="shared" si="27"/>
        <v>2025</v>
      </c>
      <c r="AJ294" s="7" t="str">
        <f>IF(OR(R294&lt;0,C294&lt;B294),"Invalid",
IF(OR(G294="Unknown",M294="Unknown"),"Warning","Clean"))</f>
        <v>Clean</v>
      </c>
      <c r="AK294" s="7" t="str">
        <f>IF(C294&lt;B294,"Ship Before Order","OK")</f>
        <v>OK</v>
      </c>
      <c r="AL294" s="7" t="str">
        <f>IF(ISNUMBER(B294),"Valid","Invalid")</f>
        <v>Valid</v>
      </c>
      <c r="AM294" s="7" t="str">
        <f t="shared" si="28"/>
        <v>Ok</v>
      </c>
      <c r="AN294" s="7" t="str">
        <f t="shared" si="29"/>
        <v>Ok</v>
      </c>
    </row>
    <row r="295" spans="1:40">
      <c r="A295" t="s">
        <v>985</v>
      </c>
      <c r="B295" s="6">
        <v>45476</v>
      </c>
      <c r="C295" s="4">
        <v>45793</v>
      </c>
      <c r="D295" t="s">
        <v>986</v>
      </c>
      <c r="E295" t="s">
        <v>53</v>
      </c>
      <c r="F295" t="s">
        <v>95</v>
      </c>
      <c r="G295" t="s">
        <v>54</v>
      </c>
      <c r="H295" t="s">
        <v>55</v>
      </c>
      <c r="I295" t="s">
        <v>56</v>
      </c>
      <c r="J295" t="s">
        <v>74</v>
      </c>
      <c r="K295" t="s">
        <v>171</v>
      </c>
      <c r="L295" t="s">
        <v>987</v>
      </c>
      <c r="M295" t="s">
        <v>50</v>
      </c>
      <c r="N295">
        <v>2</v>
      </c>
      <c r="O295">
        <v>4401.51</v>
      </c>
      <c r="P295">
        <v>0.65</v>
      </c>
      <c r="Q295" s="7">
        <f>IF(P295="", 0, P295)</f>
        <v>0.65</v>
      </c>
      <c r="R295">
        <v>8362.8700000000008</v>
      </c>
      <c r="S295">
        <v>6541.04</v>
      </c>
      <c r="T295" s="7">
        <f>N295*O295*(1-Q295)</f>
        <v>3081.0569999999998</v>
      </c>
      <c r="U295" s="7">
        <f t="shared" si="24"/>
        <v>-3459.9830000000002</v>
      </c>
      <c r="V295">
        <v>1821.83</v>
      </c>
      <c r="W295" s="12">
        <f t="shared" si="25"/>
        <v>-1.1229857156164267</v>
      </c>
      <c r="X295" t="s">
        <v>32</v>
      </c>
      <c r="Y295" t="str">
        <f t="shared" si="26"/>
        <v>Paid</v>
      </c>
      <c r="Z295" t="s">
        <v>33</v>
      </c>
      <c r="AA295">
        <f>C295-B295</f>
        <v>317</v>
      </c>
      <c r="AB295" t="str">
        <f>IF(B295="","Missing Order Date",
IF(C295="","Missing Ship Date","OK"))</f>
        <v>OK</v>
      </c>
      <c r="AC295" s="7" t="str">
        <f>IF(C295&lt;B295, "Invalid", "Valid")</f>
        <v>Valid</v>
      </c>
      <c r="AD295" s="7" t="str">
        <f>IF(COUNTIF($A:$A, A295)&gt;1, "Duplicate", "Unique")</f>
        <v>Unique</v>
      </c>
      <c r="AE295" s="7" t="str">
        <f>IF(G295="","Unknown",G295)</f>
        <v>South</v>
      </c>
      <c r="AF295" s="7" t="str">
        <f>IF(M295="","Unknown",M295)</f>
        <v>First Class</v>
      </c>
      <c r="AG295" s="7" t="str">
        <f>IF(P295&lt;0,"Invalid",
IF(P295&gt;1,"Invalid","Valid"))</f>
        <v>Valid</v>
      </c>
      <c r="AH295" s="7" t="str">
        <f>TEXT(B295,"mmmm")</f>
        <v>July</v>
      </c>
      <c r="AI295" s="7">
        <f t="shared" si="27"/>
        <v>2024</v>
      </c>
      <c r="AJ295" s="7" t="str">
        <f>IF(OR(R295&lt;0,C295&lt;B295),"Invalid",
IF(OR(G295="Unknown",M295="Unknown"),"Warning","Clean"))</f>
        <v>Clean</v>
      </c>
      <c r="AK295" s="7" t="str">
        <f>IF(C295&lt;B295,"Ship Before Order","OK")</f>
        <v>OK</v>
      </c>
      <c r="AL295" s="7" t="str">
        <f>IF(ISNUMBER(B295),"Valid","Invalid")</f>
        <v>Valid</v>
      </c>
      <c r="AM295" s="7" t="str">
        <f t="shared" si="28"/>
        <v>Missmatched</v>
      </c>
      <c r="AN295" s="7" t="str">
        <f t="shared" si="29"/>
        <v>Missmatched</v>
      </c>
    </row>
    <row r="296" spans="1:40">
      <c r="A296" t="s">
        <v>988</v>
      </c>
      <c r="B296" s="6">
        <v>45854</v>
      </c>
      <c r="C296" s="4">
        <v>45794</v>
      </c>
      <c r="D296" t="s">
        <v>989</v>
      </c>
      <c r="E296" t="s">
        <v>114</v>
      </c>
      <c r="F296" t="s">
        <v>24</v>
      </c>
      <c r="G296" t="s">
        <v>38</v>
      </c>
      <c r="H296" t="s">
        <v>39</v>
      </c>
      <c r="I296" t="s">
        <v>40</v>
      </c>
      <c r="J296" t="s">
        <v>74</v>
      </c>
      <c r="K296" t="s">
        <v>171</v>
      </c>
      <c r="L296" t="s">
        <v>990</v>
      </c>
      <c r="M296" t="s">
        <v>31</v>
      </c>
      <c r="N296">
        <v>6</v>
      </c>
      <c r="O296">
        <v>4159.33</v>
      </c>
      <c r="P296">
        <v>0.25</v>
      </c>
      <c r="Q296" s="7">
        <f>IF(P296="", 0, P296)</f>
        <v>0.25</v>
      </c>
      <c r="R296">
        <v>18716.990000000002</v>
      </c>
      <c r="S296">
        <v>12282.43</v>
      </c>
      <c r="T296" s="7">
        <f>N296*O296*(1-Q296)</f>
        <v>18716.985000000001</v>
      </c>
      <c r="U296" s="7">
        <f t="shared" si="24"/>
        <v>6434.5550000000003</v>
      </c>
      <c r="V296">
        <v>6434.56</v>
      </c>
      <c r="W296" s="12">
        <f t="shared" si="25"/>
        <v>0.34378159730319813</v>
      </c>
      <c r="X296" t="s">
        <v>32</v>
      </c>
      <c r="Y296" t="str">
        <f t="shared" si="26"/>
        <v>Paid</v>
      </c>
      <c r="Z296" t="s">
        <v>103</v>
      </c>
      <c r="AA296">
        <f>C296-B296</f>
        <v>-60</v>
      </c>
      <c r="AB296" t="str">
        <f>IF(B296="","Missing Order Date",
IF(C296="","Missing Ship Date","OK"))</f>
        <v>OK</v>
      </c>
      <c r="AC296" s="7" t="str">
        <f>IF(C296&lt;B296, "Invalid", "Valid")</f>
        <v>Invalid</v>
      </c>
      <c r="AD296" s="7" t="str">
        <f>IF(COUNTIF($A:$A, A296)&gt;1, "Duplicate", "Unique")</f>
        <v>Unique</v>
      </c>
      <c r="AE296" s="7" t="str">
        <f>IF(G296="","Unknown",G296)</f>
        <v>East</v>
      </c>
      <c r="AF296" s="7" t="str">
        <f>IF(M296="","Unknown",M296)</f>
        <v>Second Class</v>
      </c>
      <c r="AG296" s="7" t="str">
        <f>IF(P296&lt;0,"Invalid",
IF(P296&gt;1,"Invalid","Valid"))</f>
        <v>Valid</v>
      </c>
      <c r="AH296" s="7" t="str">
        <f>TEXT(B296,"mmmm")</f>
        <v>July</v>
      </c>
      <c r="AI296" s="7">
        <f t="shared" si="27"/>
        <v>2025</v>
      </c>
      <c r="AJ296" s="7" t="str">
        <f>IF(OR(R296&lt;0,C296&lt;B296),"Invalid",
IF(OR(G296="Unknown",M296="Unknown"),"Warning","Clean"))</f>
        <v>Invalid</v>
      </c>
      <c r="AK296" s="7" t="str">
        <f>IF(C296&lt;B296,"Ship Before Order","OK")</f>
        <v>Ship Before Order</v>
      </c>
      <c r="AL296" s="7" t="str">
        <f>IF(ISNUMBER(B296),"Valid","Invalid")</f>
        <v>Valid</v>
      </c>
      <c r="AM296" s="7" t="str">
        <f t="shared" si="28"/>
        <v>Missmatched</v>
      </c>
      <c r="AN296" s="7" t="str">
        <f t="shared" si="29"/>
        <v>Missmatched</v>
      </c>
    </row>
    <row r="297" spans="1:40">
      <c r="A297" t="s">
        <v>991</v>
      </c>
      <c r="B297" s="6">
        <v>45833</v>
      </c>
      <c r="C297" s="4">
        <v>45795</v>
      </c>
      <c r="D297" t="s">
        <v>992</v>
      </c>
      <c r="E297" t="s">
        <v>89</v>
      </c>
      <c r="F297" t="s">
        <v>37</v>
      </c>
      <c r="G297" t="s">
        <v>38</v>
      </c>
      <c r="H297" t="s">
        <v>166</v>
      </c>
      <c r="I297" t="s">
        <v>167</v>
      </c>
      <c r="J297" t="s">
        <v>28</v>
      </c>
      <c r="K297" t="s">
        <v>153</v>
      </c>
      <c r="L297" t="s">
        <v>993</v>
      </c>
      <c r="M297" t="s">
        <v>59</v>
      </c>
      <c r="N297">
        <v>3</v>
      </c>
      <c r="O297">
        <v>3476.05</v>
      </c>
      <c r="P297">
        <v>0.1</v>
      </c>
      <c r="Q297" s="7">
        <f>IF(P297="", 0, P297)</f>
        <v>0.1</v>
      </c>
      <c r="R297">
        <v>9385.34</v>
      </c>
      <c r="S297">
        <v>5828.54</v>
      </c>
      <c r="T297" s="7">
        <f>N297*O297*(1-Q297)</f>
        <v>9385.3350000000009</v>
      </c>
      <c r="U297" s="7">
        <f t="shared" si="24"/>
        <v>3556.795000000001</v>
      </c>
      <c r="V297">
        <v>3556.8</v>
      </c>
      <c r="W297" s="12">
        <f t="shared" si="25"/>
        <v>0.37897368607513748</v>
      </c>
      <c r="X297" t="s">
        <v>32</v>
      </c>
      <c r="Y297" t="str">
        <f t="shared" si="26"/>
        <v>Paid</v>
      </c>
      <c r="Z297" t="s">
        <v>33</v>
      </c>
      <c r="AA297">
        <f>C297-B297</f>
        <v>-38</v>
      </c>
      <c r="AB297" t="str">
        <f>IF(B297="","Missing Order Date",
IF(C297="","Missing Ship Date","OK"))</f>
        <v>OK</v>
      </c>
      <c r="AC297" s="7" t="str">
        <f>IF(C297&lt;B297, "Invalid", "Valid")</f>
        <v>Invalid</v>
      </c>
      <c r="AD297" s="7" t="str">
        <f>IF(COUNTIF($A:$A, A297)&gt;1, "Duplicate", "Unique")</f>
        <v>Unique</v>
      </c>
      <c r="AE297" s="7" t="str">
        <f>IF(G297="","Unknown",G297)</f>
        <v>East</v>
      </c>
      <c r="AF297" s="7" t="str">
        <f>IF(M297="","Unknown",M297)</f>
        <v>Standard Class</v>
      </c>
      <c r="AG297" s="7" t="str">
        <f>IF(P297&lt;0,"Invalid",
IF(P297&gt;1,"Invalid","Valid"))</f>
        <v>Valid</v>
      </c>
      <c r="AH297" s="7" t="str">
        <f>TEXT(B297,"mmmm")</f>
        <v>June</v>
      </c>
      <c r="AI297" s="7">
        <f t="shared" si="27"/>
        <v>2025</v>
      </c>
      <c r="AJ297" s="7" t="str">
        <f>IF(OR(R297&lt;0,C297&lt;B297),"Invalid",
IF(OR(G297="Unknown",M297="Unknown"),"Warning","Clean"))</f>
        <v>Invalid</v>
      </c>
      <c r="AK297" s="7" t="str">
        <f>IF(C297&lt;B297,"Ship Before Order","OK")</f>
        <v>Ship Before Order</v>
      </c>
      <c r="AL297" s="7" t="str">
        <f>IF(ISNUMBER(B297),"Valid","Invalid")</f>
        <v>Valid</v>
      </c>
      <c r="AM297" s="7" t="str">
        <f t="shared" si="28"/>
        <v>Missmatched</v>
      </c>
      <c r="AN297" s="7" t="str">
        <f t="shared" si="29"/>
        <v>Missmatched</v>
      </c>
    </row>
    <row r="298" spans="1:40">
      <c r="A298" t="s">
        <v>994</v>
      </c>
      <c r="B298" s="6">
        <v>45801</v>
      </c>
      <c r="C298" s="4">
        <v>45796</v>
      </c>
      <c r="D298" t="s">
        <v>995</v>
      </c>
      <c r="E298" t="s">
        <v>89</v>
      </c>
      <c r="F298" t="s">
        <v>95</v>
      </c>
      <c r="G298" t="s">
        <v>25</v>
      </c>
      <c r="H298" t="s">
        <v>236</v>
      </c>
      <c r="I298" t="s">
        <v>237</v>
      </c>
      <c r="J298" t="s">
        <v>41</v>
      </c>
      <c r="K298" t="s">
        <v>57</v>
      </c>
      <c r="L298" t="s">
        <v>996</v>
      </c>
      <c r="M298" t="s">
        <v>44</v>
      </c>
      <c r="N298">
        <v>6</v>
      </c>
      <c r="O298">
        <v>3495.41</v>
      </c>
      <c r="P298">
        <v>0.15</v>
      </c>
      <c r="Q298" s="7">
        <f>IF(P298="", 0, P298)</f>
        <v>0.15</v>
      </c>
      <c r="R298">
        <v>17826.59</v>
      </c>
      <c r="S298">
        <v>10855.35</v>
      </c>
      <c r="T298" s="7">
        <f>N298*O298*(1-Q298)</f>
        <v>17826.591</v>
      </c>
      <c r="U298" s="7">
        <f t="shared" si="24"/>
        <v>6971.241</v>
      </c>
      <c r="V298">
        <v>6971.24</v>
      </c>
      <c r="W298" s="12">
        <f t="shared" si="25"/>
        <v>0.39105855965394615</v>
      </c>
      <c r="X298" t="s">
        <v>32</v>
      </c>
      <c r="Y298" t="str">
        <f t="shared" si="26"/>
        <v>Paid</v>
      </c>
      <c r="Z298" t="s">
        <v>33</v>
      </c>
      <c r="AA298">
        <f>C298-B298</f>
        <v>-5</v>
      </c>
      <c r="AB298" t="str">
        <f>IF(B298="","Missing Order Date",
IF(C298="","Missing Ship Date","OK"))</f>
        <v>OK</v>
      </c>
      <c r="AC298" s="7" t="str">
        <f>IF(C298&lt;B298, "Invalid", "Valid")</f>
        <v>Invalid</v>
      </c>
      <c r="AD298" s="7" t="str">
        <f>IF(COUNTIF($A:$A, A298)&gt;1, "Duplicate", "Unique")</f>
        <v>Unique</v>
      </c>
      <c r="AE298" s="7" t="str">
        <f>IF(G298="","Unknown",G298)</f>
        <v>North</v>
      </c>
      <c r="AF298" s="7" t="str">
        <f>IF(M298="","Unknown",M298)</f>
        <v>Same Day</v>
      </c>
      <c r="AG298" s="7" t="str">
        <f>IF(P298&lt;0,"Invalid",
IF(P298&gt;1,"Invalid","Valid"))</f>
        <v>Valid</v>
      </c>
      <c r="AH298" s="7" t="str">
        <f>TEXT(B298,"mmmm")</f>
        <v>May</v>
      </c>
      <c r="AI298" s="7">
        <f t="shared" si="27"/>
        <v>2025</v>
      </c>
      <c r="AJ298" s="7" t="str">
        <f>IF(OR(R298&lt;0,C298&lt;B298),"Invalid",
IF(OR(G298="Unknown",M298="Unknown"),"Warning","Clean"))</f>
        <v>Invalid</v>
      </c>
      <c r="AK298" s="7" t="str">
        <f>IF(C298&lt;B298,"Ship Before Order","OK")</f>
        <v>Ship Before Order</v>
      </c>
      <c r="AL298" s="7" t="str">
        <f>IF(ISNUMBER(B298),"Valid","Invalid")</f>
        <v>Valid</v>
      </c>
      <c r="AM298" s="7" t="str">
        <f t="shared" si="28"/>
        <v>Missmatched</v>
      </c>
      <c r="AN298" s="7" t="str">
        <f t="shared" si="29"/>
        <v>Missmatched</v>
      </c>
    </row>
    <row r="299" spans="1:40">
      <c r="A299" t="s">
        <v>997</v>
      </c>
      <c r="B299" s="6">
        <v>45594</v>
      </c>
      <c r="C299" s="4">
        <v>45797</v>
      </c>
      <c r="D299" t="s">
        <v>998</v>
      </c>
      <c r="E299" t="s">
        <v>132</v>
      </c>
      <c r="F299" t="s">
        <v>90</v>
      </c>
      <c r="G299" t="s">
        <v>54</v>
      </c>
      <c r="H299" t="s">
        <v>247</v>
      </c>
      <c r="I299" t="s">
        <v>248</v>
      </c>
      <c r="J299" t="s">
        <v>74</v>
      </c>
      <c r="K299" t="s">
        <v>80</v>
      </c>
      <c r="L299" t="s">
        <v>999</v>
      </c>
      <c r="M299" t="s">
        <v>44</v>
      </c>
      <c r="N299">
        <v>6</v>
      </c>
      <c r="O299">
        <v>1169.92</v>
      </c>
      <c r="P299">
        <v>0.15</v>
      </c>
      <c r="Q299" s="7">
        <f>IF(P299="", 0, P299)</f>
        <v>0.15</v>
      </c>
      <c r="R299">
        <v>5966.59</v>
      </c>
      <c r="S299">
        <v>3994.72</v>
      </c>
      <c r="T299" s="7">
        <f>N299*O299*(1-Q299)</f>
        <v>5966.5920000000006</v>
      </c>
      <c r="U299" s="7">
        <f t="shared" si="24"/>
        <v>1971.8720000000008</v>
      </c>
      <c r="V299">
        <v>1971.87</v>
      </c>
      <c r="W299" s="12">
        <f t="shared" si="25"/>
        <v>0.33048547646629778</v>
      </c>
      <c r="X299" t="s">
        <v>32</v>
      </c>
      <c r="Y299" t="str">
        <f t="shared" si="26"/>
        <v>Paid</v>
      </c>
      <c r="Z299" t="s">
        <v>33</v>
      </c>
      <c r="AA299">
        <f>C299-B299</f>
        <v>203</v>
      </c>
      <c r="AB299" t="str">
        <f>IF(B299="","Missing Order Date",
IF(C299="","Missing Ship Date","OK"))</f>
        <v>OK</v>
      </c>
      <c r="AC299" s="7" t="str">
        <f>IF(C299&lt;B299, "Invalid", "Valid")</f>
        <v>Valid</v>
      </c>
      <c r="AD299" s="7" t="str">
        <f>IF(COUNTIF($A:$A, A299)&gt;1, "Duplicate", "Unique")</f>
        <v>Unique</v>
      </c>
      <c r="AE299" s="7" t="str">
        <f>IF(G299="","Unknown",G299)</f>
        <v>South</v>
      </c>
      <c r="AF299" s="7" t="str">
        <f>IF(M299="","Unknown",M299)</f>
        <v>Same Day</v>
      </c>
      <c r="AG299" s="7" t="str">
        <f>IF(P299&lt;0,"Invalid",
IF(P299&gt;1,"Invalid","Valid"))</f>
        <v>Valid</v>
      </c>
      <c r="AH299" s="7" t="str">
        <f>TEXT(B299,"mmmm")</f>
        <v>October</v>
      </c>
      <c r="AI299" s="7">
        <f t="shared" si="27"/>
        <v>2024</v>
      </c>
      <c r="AJ299" s="7" t="str">
        <f>IF(OR(R299&lt;0,C299&lt;B299),"Invalid",
IF(OR(G299="Unknown",M299="Unknown"),"Warning","Clean"))</f>
        <v>Clean</v>
      </c>
      <c r="AK299" s="7" t="str">
        <f>IF(C299&lt;B299,"Ship Before Order","OK")</f>
        <v>OK</v>
      </c>
      <c r="AL299" s="7" t="str">
        <f>IF(ISNUMBER(B299),"Valid","Invalid")</f>
        <v>Valid</v>
      </c>
      <c r="AM299" s="7" t="str">
        <f t="shared" si="28"/>
        <v>Missmatched</v>
      </c>
      <c r="AN299" s="7" t="str">
        <f t="shared" si="29"/>
        <v>Missmatched</v>
      </c>
    </row>
    <row r="300" spans="1:40">
      <c r="A300" t="s">
        <v>1000</v>
      </c>
      <c r="B300" s="6">
        <v>45680</v>
      </c>
      <c r="C300" s="4">
        <v>45798</v>
      </c>
      <c r="D300" t="s">
        <v>1001</v>
      </c>
      <c r="E300" t="s">
        <v>47</v>
      </c>
      <c r="F300" t="s">
        <v>24</v>
      </c>
      <c r="G300" t="s">
        <v>54</v>
      </c>
      <c r="H300" t="s">
        <v>185</v>
      </c>
      <c r="I300" t="s">
        <v>186</v>
      </c>
      <c r="J300" t="s">
        <v>74</v>
      </c>
      <c r="K300" t="s">
        <v>80</v>
      </c>
      <c r="L300" t="s">
        <v>1002</v>
      </c>
      <c r="M300" t="s">
        <v>50</v>
      </c>
      <c r="N300">
        <v>7</v>
      </c>
      <c r="O300">
        <v>348.49</v>
      </c>
      <c r="P300">
        <v>0.2</v>
      </c>
      <c r="Q300" s="7">
        <f>IF(P300="", 0, P300)</f>
        <v>0.2</v>
      </c>
      <c r="R300">
        <v>1951.54</v>
      </c>
      <c r="S300">
        <v>1609.95</v>
      </c>
      <c r="T300" s="7">
        <f>N300*O300*(1-Q300)</f>
        <v>1951.5440000000003</v>
      </c>
      <c r="U300" s="7">
        <f t="shared" si="24"/>
        <v>341.59400000000028</v>
      </c>
      <c r="V300">
        <v>341.59</v>
      </c>
      <c r="W300" s="12">
        <f t="shared" si="25"/>
        <v>0.17503781621116421</v>
      </c>
      <c r="X300" t="s">
        <v>155</v>
      </c>
      <c r="Y300" t="str">
        <f t="shared" si="26"/>
        <v>Failed</v>
      </c>
      <c r="Z300" t="s">
        <v>103</v>
      </c>
      <c r="AA300">
        <f>C300-B300</f>
        <v>118</v>
      </c>
      <c r="AB300" t="str">
        <f>IF(B300="","Missing Order Date",
IF(C300="","Missing Ship Date","OK"))</f>
        <v>OK</v>
      </c>
      <c r="AC300" s="7" t="str">
        <f>IF(C300&lt;B300, "Invalid", "Valid")</f>
        <v>Valid</v>
      </c>
      <c r="AD300" s="7" t="str">
        <f>IF(COUNTIF($A:$A, A300)&gt;1, "Duplicate", "Unique")</f>
        <v>Unique</v>
      </c>
      <c r="AE300" s="7" t="str">
        <f>IF(G300="","Unknown",G300)</f>
        <v>South</v>
      </c>
      <c r="AF300" s="7" t="str">
        <f>IF(M300="","Unknown",M300)</f>
        <v>First Class</v>
      </c>
      <c r="AG300" s="7" t="str">
        <f>IF(P300&lt;0,"Invalid",
IF(P300&gt;1,"Invalid","Valid"))</f>
        <v>Valid</v>
      </c>
      <c r="AH300" s="7" t="str">
        <f>TEXT(B300,"mmmm")</f>
        <v>January</v>
      </c>
      <c r="AI300" s="7">
        <f t="shared" si="27"/>
        <v>2025</v>
      </c>
      <c r="AJ300" s="7" t="str">
        <f>IF(OR(R300&lt;0,C300&lt;B300),"Invalid",
IF(OR(G300="Unknown",M300="Unknown"),"Warning","Clean"))</f>
        <v>Clean</v>
      </c>
      <c r="AK300" s="7" t="str">
        <f>IF(C300&lt;B300,"Ship Before Order","OK")</f>
        <v>OK</v>
      </c>
      <c r="AL300" s="7" t="str">
        <f>IF(ISNUMBER(B300),"Valid","Invalid")</f>
        <v>Valid</v>
      </c>
      <c r="AM300" s="7" t="str">
        <f t="shared" si="28"/>
        <v>Missmatched</v>
      </c>
      <c r="AN300" s="7" t="str">
        <f t="shared" si="29"/>
        <v>Missmatched</v>
      </c>
    </row>
    <row r="301" spans="1:40">
      <c r="A301" t="s">
        <v>1003</v>
      </c>
      <c r="B301" s="6">
        <v>45602</v>
      </c>
      <c r="C301" s="4">
        <v>45799</v>
      </c>
      <c r="D301" t="s">
        <v>1004</v>
      </c>
      <c r="E301" t="s">
        <v>118</v>
      </c>
      <c r="F301" t="s">
        <v>37</v>
      </c>
      <c r="G301" t="s">
        <v>63</v>
      </c>
      <c r="H301" t="s">
        <v>180</v>
      </c>
      <c r="I301" t="s">
        <v>181</v>
      </c>
      <c r="J301" t="s">
        <v>74</v>
      </c>
      <c r="K301" t="s">
        <v>75</v>
      </c>
      <c r="L301" t="s">
        <v>1005</v>
      </c>
      <c r="M301" t="s">
        <v>59</v>
      </c>
      <c r="N301">
        <v>7</v>
      </c>
      <c r="O301">
        <v>1719.05</v>
      </c>
      <c r="P301">
        <v>0.1</v>
      </c>
      <c r="Q301" s="7">
        <f>IF(P301="", 0, P301)</f>
        <v>0.1</v>
      </c>
      <c r="R301">
        <v>10830.02</v>
      </c>
      <c r="S301">
        <v>7055.31</v>
      </c>
      <c r="T301" s="7">
        <f>N301*O301*(1-Q301)</f>
        <v>10830.015000000001</v>
      </c>
      <c r="U301" s="7">
        <f t="shared" si="24"/>
        <v>3774.7050000000008</v>
      </c>
      <c r="V301">
        <v>3774.71</v>
      </c>
      <c r="W301" s="12">
        <f t="shared" si="25"/>
        <v>0.34854106850267524</v>
      </c>
      <c r="X301" t="s">
        <v>32</v>
      </c>
      <c r="Y301" t="str">
        <f t="shared" si="26"/>
        <v>Paid</v>
      </c>
      <c r="Z301" t="s">
        <v>33</v>
      </c>
      <c r="AA301">
        <f>C301-B301</f>
        <v>197</v>
      </c>
      <c r="AB301" t="str">
        <f>IF(B301="","Missing Order Date",
IF(C301="","Missing Ship Date","OK"))</f>
        <v>OK</v>
      </c>
      <c r="AC301" s="7" t="str">
        <f>IF(C301&lt;B301, "Invalid", "Valid")</f>
        <v>Valid</v>
      </c>
      <c r="AD301" s="7" t="str">
        <f>IF(COUNTIF($A:$A, A301)&gt;1, "Duplicate", "Unique")</f>
        <v>Unique</v>
      </c>
      <c r="AE301" s="7" t="str">
        <f>IF(G301="","Unknown",G301)</f>
        <v>West</v>
      </c>
      <c r="AF301" s="7" t="str">
        <f>IF(M301="","Unknown",M301)</f>
        <v>Standard Class</v>
      </c>
      <c r="AG301" s="7" t="str">
        <f>IF(P301&lt;0,"Invalid",
IF(P301&gt;1,"Invalid","Valid"))</f>
        <v>Valid</v>
      </c>
      <c r="AH301" s="7" t="str">
        <f>TEXT(B301,"mmmm")</f>
        <v>November</v>
      </c>
      <c r="AI301" s="7">
        <f t="shared" si="27"/>
        <v>2024</v>
      </c>
      <c r="AJ301" s="7" t="str">
        <f>IF(OR(R301&lt;0,C301&lt;B301),"Invalid",
IF(OR(G301="Unknown",M301="Unknown"),"Warning","Clean"))</f>
        <v>Clean</v>
      </c>
      <c r="AK301" s="7" t="str">
        <f>IF(C301&lt;B301,"Ship Before Order","OK")</f>
        <v>OK</v>
      </c>
      <c r="AL301" s="7" t="str">
        <f>IF(ISNUMBER(B301),"Valid","Invalid")</f>
        <v>Valid</v>
      </c>
      <c r="AM301" s="7" t="str">
        <f t="shared" si="28"/>
        <v>Missmatched</v>
      </c>
      <c r="AN301" s="7" t="str">
        <f t="shared" si="29"/>
        <v>Missmatched</v>
      </c>
    </row>
    <row r="302" spans="1:40">
      <c r="A302" t="s">
        <v>1006</v>
      </c>
      <c r="B302" s="6">
        <v>45397</v>
      </c>
      <c r="C302" s="4">
        <v>45800</v>
      </c>
      <c r="D302" t="s">
        <v>1007</v>
      </c>
      <c r="E302" t="s">
        <v>162</v>
      </c>
      <c r="F302" t="s">
        <v>37</v>
      </c>
      <c r="G302" t="s">
        <v>25</v>
      </c>
      <c r="H302" t="s">
        <v>122</v>
      </c>
      <c r="I302" t="s">
        <v>123</v>
      </c>
      <c r="J302" t="s">
        <v>74</v>
      </c>
      <c r="K302" t="s">
        <v>75</v>
      </c>
      <c r="L302" t="s">
        <v>1008</v>
      </c>
      <c r="M302" t="s">
        <v>31</v>
      </c>
      <c r="N302">
        <v>9</v>
      </c>
      <c r="O302">
        <v>3893.74</v>
      </c>
      <c r="P302">
        <v>0.1</v>
      </c>
      <c r="Q302" s="7">
        <f>IF(P302="", 0, P302)</f>
        <v>0.1</v>
      </c>
      <c r="R302">
        <v>31539.29</v>
      </c>
      <c r="S302">
        <v>22100.14</v>
      </c>
      <c r="T302" s="7">
        <f>N302*O302*(1-Q302)</f>
        <v>31539.293999999998</v>
      </c>
      <c r="U302" s="7">
        <f t="shared" si="24"/>
        <v>9439.1539999999986</v>
      </c>
      <c r="V302">
        <v>9439.15</v>
      </c>
      <c r="W302" s="12">
        <f t="shared" si="25"/>
        <v>0.29928234918638313</v>
      </c>
      <c r="X302" t="s">
        <v>32</v>
      </c>
      <c r="Y302" t="str">
        <f t="shared" si="26"/>
        <v>Paid</v>
      </c>
      <c r="Z302" t="s">
        <v>33</v>
      </c>
      <c r="AA302">
        <f>C302-B302</f>
        <v>403</v>
      </c>
      <c r="AB302" t="str">
        <f>IF(B302="","Missing Order Date",
IF(C302="","Missing Ship Date","OK"))</f>
        <v>OK</v>
      </c>
      <c r="AC302" s="7" t="str">
        <f>IF(C302&lt;B302, "Invalid", "Valid")</f>
        <v>Valid</v>
      </c>
      <c r="AD302" s="7" t="str">
        <f>IF(COUNTIF($A:$A, A302)&gt;1, "Duplicate", "Unique")</f>
        <v>Unique</v>
      </c>
      <c r="AE302" s="7" t="str">
        <f>IF(G302="","Unknown",G302)</f>
        <v>North</v>
      </c>
      <c r="AF302" s="7" t="str">
        <f>IF(M302="","Unknown",M302)</f>
        <v>Second Class</v>
      </c>
      <c r="AG302" s="7" t="str">
        <f>IF(P302&lt;0,"Invalid",
IF(P302&gt;1,"Invalid","Valid"))</f>
        <v>Valid</v>
      </c>
      <c r="AH302" s="7" t="str">
        <f>TEXT(B302,"mmmm")</f>
        <v>April</v>
      </c>
      <c r="AI302" s="7">
        <f t="shared" si="27"/>
        <v>2024</v>
      </c>
      <c r="AJ302" s="7" t="str">
        <f>IF(OR(R302&lt;0,C302&lt;B302),"Invalid",
IF(OR(G302="Unknown",M302="Unknown"),"Warning","Clean"))</f>
        <v>Clean</v>
      </c>
      <c r="AK302" s="7" t="str">
        <f>IF(C302&lt;B302,"Ship Before Order","OK")</f>
        <v>OK</v>
      </c>
      <c r="AL302" s="7" t="str">
        <f>IF(ISNUMBER(B302),"Valid","Invalid")</f>
        <v>Valid</v>
      </c>
      <c r="AM302" s="7" t="str">
        <f t="shared" si="28"/>
        <v>Missmatched</v>
      </c>
      <c r="AN302" s="7" t="str">
        <f t="shared" si="29"/>
        <v>Missmatched</v>
      </c>
    </row>
    <row r="303" spans="1:40">
      <c r="A303" t="s">
        <v>1009</v>
      </c>
      <c r="B303" s="6">
        <v>45805</v>
      </c>
      <c r="C303" s="4">
        <v>45801</v>
      </c>
      <c r="D303" t="s">
        <v>1010</v>
      </c>
      <c r="E303" t="s">
        <v>47</v>
      </c>
      <c r="F303" t="s">
        <v>95</v>
      </c>
      <c r="G303" t="s">
        <v>38</v>
      </c>
      <c r="H303" t="s">
        <v>145</v>
      </c>
      <c r="I303" t="s">
        <v>146</v>
      </c>
      <c r="J303" t="s">
        <v>74</v>
      </c>
      <c r="K303" t="s">
        <v>171</v>
      </c>
      <c r="L303" t="s">
        <v>1011</v>
      </c>
      <c r="M303" t="s">
        <v>44</v>
      </c>
      <c r="N303">
        <v>4</v>
      </c>
      <c r="O303">
        <v>1654.11</v>
      </c>
      <c r="P303">
        <v>0.05</v>
      </c>
      <c r="Q303" s="7">
        <f>IF(P303="", 0, P303)</f>
        <v>0.05</v>
      </c>
      <c r="R303">
        <v>6285.62</v>
      </c>
      <c r="S303">
        <v>3705.38</v>
      </c>
      <c r="T303" s="7">
        <f>N303*O303*(1-Q303)</f>
        <v>6285.6179999999995</v>
      </c>
      <c r="U303" s="7">
        <f t="shared" si="24"/>
        <v>2580.2379999999994</v>
      </c>
      <c r="V303">
        <v>2580.2399999999998</v>
      </c>
      <c r="W303" s="12">
        <f t="shared" si="25"/>
        <v>0.41049869718458865</v>
      </c>
      <c r="X303" t="s">
        <v>32</v>
      </c>
      <c r="Y303" t="str">
        <f t="shared" si="26"/>
        <v>Paid</v>
      </c>
      <c r="Z303" t="s">
        <v>33</v>
      </c>
      <c r="AA303">
        <f>C303-B303</f>
        <v>-4</v>
      </c>
      <c r="AB303" t="str">
        <f>IF(B303="","Missing Order Date",
IF(C303="","Missing Ship Date","OK"))</f>
        <v>OK</v>
      </c>
      <c r="AC303" s="7" t="str">
        <f>IF(C303&lt;B303, "Invalid", "Valid")</f>
        <v>Invalid</v>
      </c>
      <c r="AD303" s="7" t="str">
        <f>IF(COUNTIF($A:$A, A303)&gt;1, "Duplicate", "Unique")</f>
        <v>Unique</v>
      </c>
      <c r="AE303" s="7" t="str">
        <f>IF(G303="","Unknown",G303)</f>
        <v>East</v>
      </c>
      <c r="AF303" s="7" t="str">
        <f>IF(M303="","Unknown",M303)</f>
        <v>Same Day</v>
      </c>
      <c r="AG303" s="7" t="str">
        <f>IF(P303&lt;0,"Invalid",
IF(P303&gt;1,"Invalid","Valid"))</f>
        <v>Valid</v>
      </c>
      <c r="AH303" s="7" t="str">
        <f>TEXT(B303,"mmmm")</f>
        <v>May</v>
      </c>
      <c r="AI303" s="7">
        <f t="shared" si="27"/>
        <v>2025</v>
      </c>
      <c r="AJ303" s="7" t="str">
        <f>IF(OR(R303&lt;0,C303&lt;B303),"Invalid",
IF(OR(G303="Unknown",M303="Unknown"),"Warning","Clean"))</f>
        <v>Invalid</v>
      </c>
      <c r="AK303" s="7" t="str">
        <f>IF(C303&lt;B303,"Ship Before Order","OK")</f>
        <v>Ship Before Order</v>
      </c>
      <c r="AL303" s="7" t="str">
        <f>IF(ISNUMBER(B303),"Valid","Invalid")</f>
        <v>Valid</v>
      </c>
      <c r="AM303" s="7" t="str">
        <f t="shared" si="28"/>
        <v>Missmatched</v>
      </c>
      <c r="AN303" s="7" t="str">
        <f t="shared" si="29"/>
        <v>Missmatched</v>
      </c>
    </row>
    <row r="304" spans="1:40">
      <c r="A304" t="s">
        <v>1012</v>
      </c>
      <c r="B304" s="6">
        <v>45812</v>
      </c>
      <c r="C304" s="4">
        <v>45802</v>
      </c>
      <c r="D304" t="s">
        <v>1013</v>
      </c>
      <c r="E304" t="s">
        <v>79</v>
      </c>
      <c r="F304" t="s">
        <v>24</v>
      </c>
      <c r="G304" t="s">
        <v>63</v>
      </c>
      <c r="H304" t="s">
        <v>190</v>
      </c>
      <c r="I304" t="s">
        <v>191</v>
      </c>
      <c r="J304" t="s">
        <v>28</v>
      </c>
      <c r="K304" t="s">
        <v>124</v>
      </c>
      <c r="L304" t="s">
        <v>1014</v>
      </c>
      <c r="M304" t="s">
        <v>44</v>
      </c>
      <c r="N304">
        <v>2</v>
      </c>
      <c r="O304">
        <v>2703.28</v>
      </c>
      <c r="P304">
        <v>0.25</v>
      </c>
      <c r="Q304" s="7">
        <f>IF(P304="", 0, P304)</f>
        <v>0.25</v>
      </c>
      <c r="R304">
        <v>4054.92</v>
      </c>
      <c r="S304">
        <v>2424.83</v>
      </c>
      <c r="T304" s="7">
        <f>N304*O304*(1-Q304)</f>
        <v>4054.92</v>
      </c>
      <c r="U304" s="7">
        <f t="shared" si="24"/>
        <v>1630.0900000000001</v>
      </c>
      <c r="V304">
        <v>1630.09</v>
      </c>
      <c r="W304" s="12">
        <f t="shared" si="25"/>
        <v>0.40200299882611745</v>
      </c>
      <c r="X304" t="s">
        <v>32</v>
      </c>
      <c r="Y304" t="str">
        <f t="shared" si="26"/>
        <v>Paid</v>
      </c>
      <c r="Z304" t="s">
        <v>33</v>
      </c>
      <c r="AA304">
        <f>C304-B304</f>
        <v>-10</v>
      </c>
      <c r="AB304" t="str">
        <f>IF(B304="","Missing Order Date",
IF(C304="","Missing Ship Date","OK"))</f>
        <v>OK</v>
      </c>
      <c r="AC304" s="7" t="str">
        <f>IF(C304&lt;B304, "Invalid", "Valid")</f>
        <v>Invalid</v>
      </c>
      <c r="AD304" s="7" t="str">
        <f>IF(COUNTIF($A:$A, A304)&gt;1, "Duplicate", "Unique")</f>
        <v>Unique</v>
      </c>
      <c r="AE304" s="7" t="str">
        <f>IF(G304="","Unknown",G304)</f>
        <v>West</v>
      </c>
      <c r="AF304" s="7" t="str">
        <f>IF(M304="","Unknown",M304)</f>
        <v>Same Day</v>
      </c>
      <c r="AG304" s="7" t="str">
        <f>IF(P304&lt;0,"Invalid",
IF(P304&gt;1,"Invalid","Valid"))</f>
        <v>Valid</v>
      </c>
      <c r="AH304" s="7" t="str">
        <f>TEXT(B304,"mmmm")</f>
        <v>June</v>
      </c>
      <c r="AI304" s="7">
        <f t="shared" si="27"/>
        <v>2025</v>
      </c>
      <c r="AJ304" s="7" t="str">
        <f>IF(OR(R304&lt;0,C304&lt;B304),"Invalid",
IF(OR(G304="Unknown",M304="Unknown"),"Warning","Clean"))</f>
        <v>Invalid</v>
      </c>
      <c r="AK304" s="7" t="str">
        <f>IF(C304&lt;B304,"Ship Before Order","OK")</f>
        <v>Ship Before Order</v>
      </c>
      <c r="AL304" s="7" t="str">
        <f>IF(ISNUMBER(B304),"Valid","Invalid")</f>
        <v>Valid</v>
      </c>
      <c r="AM304" s="7" t="str">
        <f t="shared" si="28"/>
        <v>Ok</v>
      </c>
      <c r="AN304" s="7" t="str">
        <f t="shared" si="29"/>
        <v>Ok</v>
      </c>
    </row>
    <row r="305" spans="1:40">
      <c r="A305" t="s">
        <v>1015</v>
      </c>
      <c r="B305" s="6">
        <v>45466</v>
      </c>
      <c r="C305" s="4">
        <v>45803</v>
      </c>
      <c r="D305" t="s">
        <v>1016</v>
      </c>
      <c r="E305" t="s">
        <v>162</v>
      </c>
      <c r="F305" t="s">
        <v>95</v>
      </c>
      <c r="G305" t="s">
        <v>63</v>
      </c>
      <c r="H305" t="s">
        <v>180</v>
      </c>
      <c r="I305" t="s">
        <v>181</v>
      </c>
      <c r="J305" t="s">
        <v>41</v>
      </c>
      <c r="K305" t="s">
        <v>66</v>
      </c>
      <c r="L305" t="s">
        <v>1017</v>
      </c>
      <c r="M305" t="s">
        <v>59</v>
      </c>
      <c r="N305">
        <v>2</v>
      </c>
      <c r="O305">
        <v>1313.14</v>
      </c>
      <c r="P305">
        <v>0.1</v>
      </c>
      <c r="Q305" s="7">
        <f>IF(P305="", 0, P305)</f>
        <v>0.1</v>
      </c>
      <c r="R305">
        <v>2363.65</v>
      </c>
      <c r="S305">
        <v>1876.1</v>
      </c>
      <c r="T305" s="7">
        <f>N305*O305*(1-Q305)</f>
        <v>2363.652</v>
      </c>
      <c r="U305" s="7">
        <f t="shared" si="24"/>
        <v>487.55200000000013</v>
      </c>
      <c r="V305">
        <v>487.55</v>
      </c>
      <c r="W305" s="12">
        <f t="shared" si="25"/>
        <v>0.20627063544041174</v>
      </c>
      <c r="X305" t="s">
        <v>111</v>
      </c>
      <c r="Y305" t="str">
        <f t="shared" si="26"/>
        <v>Pending</v>
      </c>
      <c r="Z305" t="s">
        <v>103</v>
      </c>
      <c r="AA305">
        <f>C305-B305</f>
        <v>337</v>
      </c>
      <c r="AB305" t="str">
        <f>IF(B305="","Missing Order Date",
IF(C305="","Missing Ship Date","OK"))</f>
        <v>OK</v>
      </c>
      <c r="AC305" s="7" t="str">
        <f>IF(C305&lt;B305, "Invalid", "Valid")</f>
        <v>Valid</v>
      </c>
      <c r="AD305" s="7" t="str">
        <f>IF(COUNTIF($A:$A, A305)&gt;1, "Duplicate", "Unique")</f>
        <v>Unique</v>
      </c>
      <c r="AE305" s="7" t="str">
        <f>IF(G305="","Unknown",G305)</f>
        <v>West</v>
      </c>
      <c r="AF305" s="7" t="str">
        <f>IF(M305="","Unknown",M305)</f>
        <v>Standard Class</v>
      </c>
      <c r="AG305" s="7" t="str">
        <f>IF(P305&lt;0,"Invalid",
IF(P305&gt;1,"Invalid","Valid"))</f>
        <v>Valid</v>
      </c>
      <c r="AH305" s="7" t="str">
        <f>TEXT(B305,"mmmm")</f>
        <v>June</v>
      </c>
      <c r="AI305" s="7">
        <f t="shared" si="27"/>
        <v>2024</v>
      </c>
      <c r="AJ305" s="7" t="str">
        <f>IF(OR(R305&lt;0,C305&lt;B305),"Invalid",
IF(OR(G305="Unknown",M305="Unknown"),"Warning","Clean"))</f>
        <v>Clean</v>
      </c>
      <c r="AK305" s="7" t="str">
        <f>IF(C305&lt;B305,"Ship Before Order","OK")</f>
        <v>OK</v>
      </c>
      <c r="AL305" s="7" t="str">
        <f>IF(ISNUMBER(B305),"Valid","Invalid")</f>
        <v>Valid</v>
      </c>
      <c r="AM305" s="7" t="str">
        <f t="shared" si="28"/>
        <v>Missmatched</v>
      </c>
      <c r="AN305" s="7" t="str">
        <f t="shared" si="29"/>
        <v>Missmatched</v>
      </c>
    </row>
    <row r="306" spans="1:40">
      <c r="A306" t="s">
        <v>1018</v>
      </c>
      <c r="B306" s="6">
        <v>45446</v>
      </c>
      <c r="C306" s="4">
        <v>45804</v>
      </c>
      <c r="D306" t="s">
        <v>1019</v>
      </c>
      <c r="E306" t="s">
        <v>23</v>
      </c>
      <c r="F306" t="s">
        <v>24</v>
      </c>
      <c r="G306" t="s">
        <v>25</v>
      </c>
      <c r="H306" t="s">
        <v>122</v>
      </c>
      <c r="I306" t="s">
        <v>123</v>
      </c>
      <c r="J306" t="s">
        <v>41</v>
      </c>
      <c r="K306" t="s">
        <v>57</v>
      </c>
      <c r="L306" t="s">
        <v>1020</v>
      </c>
      <c r="M306" t="s">
        <v>59</v>
      </c>
      <c r="N306">
        <v>6</v>
      </c>
      <c r="O306">
        <v>2403.0500000000002</v>
      </c>
      <c r="P306">
        <v>0.1</v>
      </c>
      <c r="Q306" s="7">
        <f>IF(P306="", 0, P306)</f>
        <v>0.1</v>
      </c>
      <c r="R306">
        <v>12976.47</v>
      </c>
      <c r="S306">
        <v>10019.98</v>
      </c>
      <c r="T306" s="7">
        <f>N306*O306*(1-Q306)</f>
        <v>12976.470000000001</v>
      </c>
      <c r="U306" s="7">
        <f t="shared" si="24"/>
        <v>2956.4900000000016</v>
      </c>
      <c r="V306">
        <v>2956.49</v>
      </c>
      <c r="W306" s="12">
        <f t="shared" si="25"/>
        <v>0.22783468847845378</v>
      </c>
      <c r="X306" t="s">
        <v>32</v>
      </c>
      <c r="Y306" t="str">
        <f t="shared" si="26"/>
        <v>Paid</v>
      </c>
      <c r="Z306" t="s">
        <v>33</v>
      </c>
      <c r="AA306">
        <f>C306-B306</f>
        <v>358</v>
      </c>
      <c r="AB306" t="str">
        <f>IF(B306="","Missing Order Date",
IF(C306="","Missing Ship Date","OK"))</f>
        <v>OK</v>
      </c>
      <c r="AC306" s="7" t="str">
        <f>IF(C306&lt;B306, "Invalid", "Valid")</f>
        <v>Valid</v>
      </c>
      <c r="AD306" s="7" t="str">
        <f>IF(COUNTIF($A:$A, A306)&gt;1, "Duplicate", "Unique")</f>
        <v>Unique</v>
      </c>
      <c r="AE306" s="7" t="str">
        <f>IF(G306="","Unknown",G306)</f>
        <v>North</v>
      </c>
      <c r="AF306" s="7" t="str">
        <f>IF(M306="","Unknown",M306)</f>
        <v>Standard Class</v>
      </c>
      <c r="AG306" s="7" t="str">
        <f>IF(P306&lt;0,"Invalid",
IF(P306&gt;1,"Invalid","Valid"))</f>
        <v>Valid</v>
      </c>
      <c r="AH306" s="7" t="str">
        <f>TEXT(B306,"mmmm")</f>
        <v>June</v>
      </c>
      <c r="AI306" s="7">
        <f t="shared" si="27"/>
        <v>2024</v>
      </c>
      <c r="AJ306" s="7" t="str">
        <f>IF(OR(R306&lt;0,C306&lt;B306),"Invalid",
IF(OR(G306="Unknown",M306="Unknown"),"Warning","Clean"))</f>
        <v>Clean</v>
      </c>
      <c r="AK306" s="7" t="str">
        <f>IF(C306&lt;B306,"Ship Before Order","OK")</f>
        <v>OK</v>
      </c>
      <c r="AL306" s="7" t="str">
        <f>IF(ISNUMBER(B306),"Valid","Invalid")</f>
        <v>Valid</v>
      </c>
      <c r="AM306" s="7" t="str">
        <f t="shared" si="28"/>
        <v>Ok</v>
      </c>
      <c r="AN306" s="7" t="str">
        <f t="shared" si="29"/>
        <v>Ok</v>
      </c>
    </row>
    <row r="307" spans="1:40">
      <c r="A307" t="s">
        <v>1021</v>
      </c>
      <c r="B307" s="6">
        <v>45296</v>
      </c>
      <c r="C307" s="4">
        <v>45805</v>
      </c>
      <c r="D307" t="s">
        <v>1022</v>
      </c>
      <c r="E307" t="s">
        <v>62</v>
      </c>
      <c r="F307" t="s">
        <v>24</v>
      </c>
      <c r="G307" t="s">
        <v>38</v>
      </c>
      <c r="H307" t="s">
        <v>166</v>
      </c>
      <c r="I307" t="s">
        <v>167</v>
      </c>
      <c r="J307" t="s">
        <v>41</v>
      </c>
      <c r="K307" t="s">
        <v>66</v>
      </c>
      <c r="L307" t="s">
        <v>1023</v>
      </c>
      <c r="M307" t="s">
        <v>50</v>
      </c>
      <c r="N307">
        <v>4</v>
      </c>
      <c r="O307">
        <v>4156.0600000000004</v>
      </c>
      <c r="P307">
        <v>0.55000000000000004</v>
      </c>
      <c r="Q307" s="7">
        <f>IF(P307="", 0, P307)</f>
        <v>0.55000000000000004</v>
      </c>
      <c r="R307">
        <v>13299.39</v>
      </c>
      <c r="S307">
        <v>9851.91</v>
      </c>
      <c r="T307" s="7">
        <f>N307*O307*(1-Q307)</f>
        <v>7480.9080000000004</v>
      </c>
      <c r="U307" s="7">
        <f t="shared" si="24"/>
        <v>-2371.0019999999995</v>
      </c>
      <c r="V307">
        <v>3447.48</v>
      </c>
      <c r="W307" s="12">
        <f t="shared" si="25"/>
        <v>-0.31694040349112695</v>
      </c>
      <c r="X307" t="s">
        <v>32</v>
      </c>
      <c r="Y307" t="str">
        <f t="shared" si="26"/>
        <v>Paid</v>
      </c>
      <c r="Z307" t="s">
        <v>68</v>
      </c>
      <c r="AA307">
        <f>C307-B307</f>
        <v>509</v>
      </c>
      <c r="AB307" t="str">
        <f>IF(B307="","Missing Order Date",
IF(C307="","Missing Ship Date","OK"))</f>
        <v>OK</v>
      </c>
      <c r="AC307" s="7" t="str">
        <f>IF(C307&lt;B307, "Invalid", "Valid")</f>
        <v>Valid</v>
      </c>
      <c r="AD307" s="7" t="str">
        <f>IF(COUNTIF($A:$A, A307)&gt;1, "Duplicate", "Unique")</f>
        <v>Unique</v>
      </c>
      <c r="AE307" s="7" t="str">
        <f>IF(G307="","Unknown",G307)</f>
        <v>East</v>
      </c>
      <c r="AF307" s="7" t="str">
        <f>IF(M307="","Unknown",M307)</f>
        <v>First Class</v>
      </c>
      <c r="AG307" s="7" t="str">
        <f>IF(P307&lt;0,"Invalid",
IF(P307&gt;1,"Invalid","Valid"))</f>
        <v>Valid</v>
      </c>
      <c r="AH307" s="7" t="str">
        <f>TEXT(B307,"mmmm")</f>
        <v>January</v>
      </c>
      <c r="AI307" s="7">
        <f t="shared" si="27"/>
        <v>2024</v>
      </c>
      <c r="AJ307" s="7" t="str">
        <f>IF(OR(R307&lt;0,C307&lt;B307),"Invalid",
IF(OR(G307="Unknown",M307="Unknown"),"Warning","Clean"))</f>
        <v>Clean</v>
      </c>
      <c r="AK307" s="7" t="str">
        <f>IF(C307&lt;B307,"Ship Before Order","OK")</f>
        <v>OK</v>
      </c>
      <c r="AL307" s="7" t="str">
        <f>IF(ISNUMBER(B307),"Valid","Invalid")</f>
        <v>Valid</v>
      </c>
      <c r="AM307" s="7" t="str">
        <f t="shared" si="28"/>
        <v>Missmatched</v>
      </c>
      <c r="AN307" s="7" t="str">
        <f t="shared" si="29"/>
        <v>Missmatched</v>
      </c>
    </row>
    <row r="308" spans="1:40">
      <c r="A308" t="s">
        <v>1024</v>
      </c>
      <c r="B308" s="6">
        <v>45708</v>
      </c>
      <c r="C308" s="4">
        <v>45806</v>
      </c>
      <c r="D308" t="s">
        <v>1025</v>
      </c>
      <c r="E308" t="s">
        <v>128</v>
      </c>
      <c r="F308" t="s">
        <v>24</v>
      </c>
      <c r="G308" t="s">
        <v>25</v>
      </c>
      <c r="H308" t="s">
        <v>26</v>
      </c>
      <c r="I308" t="s">
        <v>27</v>
      </c>
      <c r="J308" t="s">
        <v>74</v>
      </c>
      <c r="K308" t="s">
        <v>171</v>
      </c>
      <c r="L308" t="s">
        <v>1026</v>
      </c>
      <c r="M308" t="s">
        <v>31</v>
      </c>
      <c r="N308">
        <v>4</v>
      </c>
      <c r="O308">
        <v>3673.11</v>
      </c>
      <c r="P308">
        <v>0</v>
      </c>
      <c r="Q308" s="7">
        <f>IF(P308="", 0, P308)</f>
        <v>0</v>
      </c>
      <c r="R308">
        <v>14692.44</v>
      </c>
      <c r="S308">
        <v>10082.19</v>
      </c>
      <c r="T308" s="7">
        <f>N308*O308*(1-Q308)</f>
        <v>14692.44</v>
      </c>
      <c r="U308" s="7">
        <f t="shared" si="24"/>
        <v>4610.25</v>
      </c>
      <c r="V308">
        <v>4610.25</v>
      </c>
      <c r="W308" s="12">
        <f t="shared" si="25"/>
        <v>0.31378382351740075</v>
      </c>
      <c r="X308" t="s">
        <v>32</v>
      </c>
      <c r="Y308" t="str">
        <f t="shared" si="26"/>
        <v>Paid</v>
      </c>
      <c r="Z308" t="s">
        <v>33</v>
      </c>
      <c r="AA308">
        <f>C308-B308</f>
        <v>98</v>
      </c>
      <c r="AB308" t="str">
        <f>IF(B308="","Missing Order Date",
IF(C308="","Missing Ship Date","OK"))</f>
        <v>OK</v>
      </c>
      <c r="AC308" s="7" t="str">
        <f>IF(C308&lt;B308, "Invalid", "Valid")</f>
        <v>Valid</v>
      </c>
      <c r="AD308" s="7" t="str">
        <f>IF(COUNTIF($A:$A, A308)&gt;1, "Duplicate", "Unique")</f>
        <v>Unique</v>
      </c>
      <c r="AE308" s="7" t="str">
        <f>IF(G308="","Unknown",G308)</f>
        <v>North</v>
      </c>
      <c r="AF308" s="7" t="str">
        <f>IF(M308="","Unknown",M308)</f>
        <v>Second Class</v>
      </c>
      <c r="AG308" s="7" t="str">
        <f>IF(P308&lt;0,"Invalid",
IF(P308&gt;1,"Invalid","Valid"))</f>
        <v>Valid</v>
      </c>
      <c r="AH308" s="7" t="str">
        <f>TEXT(B308,"mmmm")</f>
        <v>February</v>
      </c>
      <c r="AI308" s="7">
        <f t="shared" si="27"/>
        <v>2025</v>
      </c>
      <c r="AJ308" s="7" t="str">
        <f>IF(OR(R308&lt;0,C308&lt;B308),"Invalid",
IF(OR(G308="Unknown",M308="Unknown"),"Warning","Clean"))</f>
        <v>Clean</v>
      </c>
      <c r="AK308" s="7" t="str">
        <f>IF(C308&lt;B308,"Ship Before Order","OK")</f>
        <v>OK</v>
      </c>
      <c r="AL308" s="7" t="str">
        <f>IF(ISNUMBER(B308),"Valid","Invalid")</f>
        <v>Valid</v>
      </c>
      <c r="AM308" s="7" t="str">
        <f t="shared" si="28"/>
        <v>Ok</v>
      </c>
      <c r="AN308" s="7" t="str">
        <f t="shared" si="29"/>
        <v>Ok</v>
      </c>
    </row>
    <row r="309" spans="1:40">
      <c r="A309" t="s">
        <v>1027</v>
      </c>
      <c r="B309" s="6">
        <v>45998</v>
      </c>
      <c r="C309" s="4">
        <v>45807</v>
      </c>
      <c r="D309" t="s">
        <v>1028</v>
      </c>
      <c r="E309" t="s">
        <v>62</v>
      </c>
      <c r="F309" t="s">
        <v>90</v>
      </c>
      <c r="G309" t="s">
        <v>25</v>
      </c>
      <c r="H309" t="s">
        <v>136</v>
      </c>
      <c r="I309" t="s">
        <v>137</v>
      </c>
      <c r="J309" t="s">
        <v>41</v>
      </c>
      <c r="K309" t="s">
        <v>42</v>
      </c>
      <c r="L309" t="s">
        <v>1029</v>
      </c>
      <c r="M309" t="s">
        <v>50</v>
      </c>
      <c r="N309">
        <v>9</v>
      </c>
      <c r="O309">
        <v>4093.04</v>
      </c>
      <c r="P309">
        <v>0.2</v>
      </c>
      <c r="Q309" s="7">
        <f>IF(P309="", 0, P309)</f>
        <v>0.2</v>
      </c>
      <c r="R309">
        <v>29469.89</v>
      </c>
      <c r="S309">
        <v>18935.509999999998</v>
      </c>
      <c r="T309" s="7">
        <f>N309*O309*(1-Q309)</f>
        <v>29469.888000000003</v>
      </c>
      <c r="U309" s="7">
        <f t="shared" si="24"/>
        <v>10534.378000000004</v>
      </c>
      <c r="V309">
        <v>10534.38</v>
      </c>
      <c r="W309" s="12">
        <f t="shared" si="25"/>
        <v>0.3574624375905332</v>
      </c>
      <c r="X309" t="s">
        <v>111</v>
      </c>
      <c r="Y309" t="str">
        <f t="shared" si="26"/>
        <v>Pending</v>
      </c>
      <c r="Z309" t="s">
        <v>68</v>
      </c>
      <c r="AA309">
        <f>C309-B309</f>
        <v>-191</v>
      </c>
      <c r="AB309" t="str">
        <f>IF(B309="","Missing Order Date",
IF(C309="","Missing Ship Date","OK"))</f>
        <v>OK</v>
      </c>
      <c r="AC309" s="7" t="str">
        <f>IF(C309&lt;B309, "Invalid", "Valid")</f>
        <v>Invalid</v>
      </c>
      <c r="AD309" s="7" t="str">
        <f>IF(COUNTIF($A:$A, A309)&gt;1, "Duplicate", "Unique")</f>
        <v>Unique</v>
      </c>
      <c r="AE309" s="7" t="str">
        <f>IF(G309="","Unknown",G309)</f>
        <v>North</v>
      </c>
      <c r="AF309" s="7" t="str">
        <f>IF(M309="","Unknown",M309)</f>
        <v>First Class</v>
      </c>
      <c r="AG309" s="7" t="str">
        <f>IF(P309&lt;0,"Invalid",
IF(P309&gt;1,"Invalid","Valid"))</f>
        <v>Valid</v>
      </c>
      <c r="AH309" s="7" t="str">
        <f>TEXT(B309,"mmmm")</f>
        <v>December</v>
      </c>
      <c r="AI309" s="7">
        <f t="shared" si="27"/>
        <v>2025</v>
      </c>
      <c r="AJ309" s="7" t="str">
        <f>IF(OR(R309&lt;0,C309&lt;B309),"Invalid",
IF(OR(G309="Unknown",M309="Unknown"),"Warning","Clean"))</f>
        <v>Invalid</v>
      </c>
      <c r="AK309" s="7" t="str">
        <f>IF(C309&lt;B309,"Ship Before Order","OK")</f>
        <v>Ship Before Order</v>
      </c>
      <c r="AL309" s="7" t="str">
        <f>IF(ISNUMBER(B309),"Valid","Invalid")</f>
        <v>Valid</v>
      </c>
      <c r="AM309" s="7" t="str">
        <f t="shared" si="28"/>
        <v>Missmatched</v>
      </c>
      <c r="AN309" s="7" t="str">
        <f t="shared" si="29"/>
        <v>Missmatched</v>
      </c>
    </row>
    <row r="310" spans="1:40">
      <c r="A310" t="s">
        <v>1030</v>
      </c>
      <c r="B310" s="6">
        <v>45821</v>
      </c>
      <c r="C310" s="4">
        <v>45808</v>
      </c>
      <c r="D310" t="s">
        <v>1031</v>
      </c>
      <c r="E310" t="s">
        <v>141</v>
      </c>
      <c r="F310" t="s">
        <v>24</v>
      </c>
      <c r="G310" t="s">
        <v>25</v>
      </c>
      <c r="H310" t="s">
        <v>26</v>
      </c>
      <c r="I310" t="s">
        <v>27</v>
      </c>
      <c r="J310" t="s">
        <v>41</v>
      </c>
      <c r="K310" t="s">
        <v>42</v>
      </c>
      <c r="L310" t="s">
        <v>1032</v>
      </c>
      <c r="M310" t="s">
        <v>50</v>
      </c>
      <c r="N310">
        <v>4</v>
      </c>
      <c r="O310">
        <v>731.57</v>
      </c>
      <c r="P310">
        <v>0.2</v>
      </c>
      <c r="Q310" s="7">
        <f>IF(P310="", 0, P310)</f>
        <v>0.2</v>
      </c>
      <c r="R310">
        <v>2341.02</v>
      </c>
      <c r="S310">
        <v>1565.49</v>
      </c>
      <c r="T310" s="7">
        <f>N310*O310*(1-Q310)</f>
        <v>2341.0240000000003</v>
      </c>
      <c r="U310" s="7">
        <f t="shared" si="24"/>
        <v>775.53400000000033</v>
      </c>
      <c r="V310">
        <v>775.53</v>
      </c>
      <c r="W310" s="12">
        <f t="shared" si="25"/>
        <v>0.33127981601213835</v>
      </c>
      <c r="X310" t="s">
        <v>32</v>
      </c>
      <c r="Y310" t="str">
        <f t="shared" si="26"/>
        <v>Paid</v>
      </c>
      <c r="Z310" t="s">
        <v>33</v>
      </c>
      <c r="AA310">
        <f>C310-B310</f>
        <v>-13</v>
      </c>
      <c r="AB310" t="str">
        <f>IF(B310="","Missing Order Date",
IF(C310="","Missing Ship Date","OK"))</f>
        <v>OK</v>
      </c>
      <c r="AC310" s="7" t="str">
        <f>IF(C310&lt;B310, "Invalid", "Valid")</f>
        <v>Invalid</v>
      </c>
      <c r="AD310" s="7" t="str">
        <f>IF(COUNTIF($A:$A, A310)&gt;1, "Duplicate", "Unique")</f>
        <v>Unique</v>
      </c>
      <c r="AE310" s="7" t="str">
        <f>IF(G310="","Unknown",G310)</f>
        <v>North</v>
      </c>
      <c r="AF310" s="7" t="str">
        <f>IF(M310="","Unknown",M310)</f>
        <v>First Class</v>
      </c>
      <c r="AG310" s="7" t="str">
        <f>IF(P310&lt;0,"Invalid",
IF(P310&gt;1,"Invalid","Valid"))</f>
        <v>Valid</v>
      </c>
      <c r="AH310" s="7" t="str">
        <f>TEXT(B310,"mmmm")</f>
        <v>June</v>
      </c>
      <c r="AI310" s="7">
        <f t="shared" si="27"/>
        <v>2025</v>
      </c>
      <c r="AJ310" s="7" t="str">
        <f>IF(OR(R310&lt;0,C310&lt;B310),"Invalid",
IF(OR(G310="Unknown",M310="Unknown"),"Warning","Clean"))</f>
        <v>Invalid</v>
      </c>
      <c r="AK310" s="7" t="str">
        <f>IF(C310&lt;B310,"Ship Before Order","OK")</f>
        <v>Ship Before Order</v>
      </c>
      <c r="AL310" s="7" t="str">
        <f>IF(ISNUMBER(B310),"Valid","Invalid")</f>
        <v>Valid</v>
      </c>
      <c r="AM310" s="7" t="str">
        <f t="shared" si="28"/>
        <v>Missmatched</v>
      </c>
      <c r="AN310" s="7" t="str">
        <f t="shared" si="29"/>
        <v>Missmatched</v>
      </c>
    </row>
    <row r="311" spans="1:40">
      <c r="A311" t="s">
        <v>1033</v>
      </c>
      <c r="B311" s="6">
        <v>45493</v>
      </c>
      <c r="C311" s="4">
        <v>45809</v>
      </c>
      <c r="D311" t="s">
        <v>1034</v>
      </c>
      <c r="E311" t="s">
        <v>62</v>
      </c>
      <c r="F311" t="s">
        <v>24</v>
      </c>
      <c r="G311" t="s">
        <v>54</v>
      </c>
      <c r="H311" t="s">
        <v>247</v>
      </c>
      <c r="I311" t="s">
        <v>248</v>
      </c>
      <c r="J311" t="s">
        <v>41</v>
      </c>
      <c r="K311" t="s">
        <v>42</v>
      </c>
      <c r="L311" t="s">
        <v>1035</v>
      </c>
      <c r="M311" t="s">
        <v>50</v>
      </c>
      <c r="N311">
        <v>7</v>
      </c>
      <c r="O311">
        <v>2060.73</v>
      </c>
      <c r="P311">
        <v>0.1</v>
      </c>
      <c r="Q311" s="7">
        <f>IF(P311="", 0, P311)</f>
        <v>0.1</v>
      </c>
      <c r="R311">
        <v>12982.6</v>
      </c>
      <c r="S311">
        <v>7246.36</v>
      </c>
      <c r="T311" s="7">
        <f>N311*O311*(1-Q311)</f>
        <v>12982.599</v>
      </c>
      <c r="U311" s="7">
        <f t="shared" si="24"/>
        <v>5736.2390000000005</v>
      </c>
      <c r="V311">
        <v>5736.24</v>
      </c>
      <c r="W311" s="12">
        <f t="shared" si="25"/>
        <v>0.441840574448922</v>
      </c>
      <c r="X311" t="s">
        <v>32</v>
      </c>
      <c r="Y311" t="str">
        <f t="shared" si="26"/>
        <v>Paid</v>
      </c>
      <c r="Z311" t="s">
        <v>68</v>
      </c>
      <c r="AA311">
        <f>C311-B311</f>
        <v>316</v>
      </c>
      <c r="AB311" t="str">
        <f>IF(B311="","Missing Order Date",
IF(C311="","Missing Ship Date","OK"))</f>
        <v>OK</v>
      </c>
      <c r="AC311" s="7" t="str">
        <f>IF(C311&lt;B311, "Invalid", "Valid")</f>
        <v>Valid</v>
      </c>
      <c r="AD311" s="7" t="str">
        <f>IF(COUNTIF($A:$A, A311)&gt;1, "Duplicate", "Unique")</f>
        <v>Unique</v>
      </c>
      <c r="AE311" s="7" t="str">
        <f>IF(G311="","Unknown",G311)</f>
        <v>South</v>
      </c>
      <c r="AF311" s="7" t="str">
        <f>IF(M311="","Unknown",M311)</f>
        <v>First Class</v>
      </c>
      <c r="AG311" s="7" t="str">
        <f>IF(P311&lt;0,"Invalid",
IF(P311&gt;1,"Invalid","Valid"))</f>
        <v>Valid</v>
      </c>
      <c r="AH311" s="7" t="str">
        <f>TEXT(B311,"mmmm")</f>
        <v>July</v>
      </c>
      <c r="AI311" s="7">
        <f t="shared" si="27"/>
        <v>2024</v>
      </c>
      <c r="AJ311" s="7" t="str">
        <f>IF(OR(R311&lt;0,C311&lt;B311),"Invalid",
IF(OR(G311="Unknown",M311="Unknown"),"Warning","Clean"))</f>
        <v>Clean</v>
      </c>
      <c r="AK311" s="7" t="str">
        <f>IF(C311&lt;B311,"Ship Before Order","OK")</f>
        <v>OK</v>
      </c>
      <c r="AL311" s="7" t="str">
        <f>IF(ISNUMBER(B311),"Valid","Invalid")</f>
        <v>Valid</v>
      </c>
      <c r="AM311" s="7" t="str">
        <f t="shared" si="28"/>
        <v>Missmatched</v>
      </c>
      <c r="AN311" s="7" t="str">
        <f t="shared" si="29"/>
        <v>Missmatched</v>
      </c>
    </row>
    <row r="312" spans="1:40">
      <c r="A312" t="s">
        <v>1036</v>
      </c>
      <c r="B312" s="6">
        <v>45477</v>
      </c>
      <c r="C312" s="4">
        <v>45810</v>
      </c>
      <c r="D312" t="s">
        <v>1037</v>
      </c>
      <c r="E312" t="s">
        <v>141</v>
      </c>
      <c r="F312" t="s">
        <v>37</v>
      </c>
      <c r="G312" t="s">
        <v>54</v>
      </c>
      <c r="H312" t="s">
        <v>247</v>
      </c>
      <c r="I312" t="s">
        <v>248</v>
      </c>
      <c r="J312" t="s">
        <v>74</v>
      </c>
      <c r="K312" t="s">
        <v>274</v>
      </c>
      <c r="L312" t="s">
        <v>1038</v>
      </c>
      <c r="M312" t="s">
        <v>50</v>
      </c>
      <c r="N312">
        <v>8</v>
      </c>
      <c r="O312">
        <v>2034.25</v>
      </c>
      <c r="P312">
        <v>0</v>
      </c>
      <c r="Q312" s="7">
        <f>IF(P312="", 0, P312)</f>
        <v>0</v>
      </c>
      <c r="R312">
        <v>16274</v>
      </c>
      <c r="S312">
        <v>9424.25</v>
      </c>
      <c r="T312" s="7">
        <f>N312*O312*(1-Q312)</f>
        <v>16274</v>
      </c>
      <c r="U312" s="7">
        <f t="shared" si="24"/>
        <v>6849.75</v>
      </c>
      <c r="V312">
        <v>6849.75</v>
      </c>
      <c r="W312" s="12">
        <f t="shared" si="25"/>
        <v>0.42090143787636719</v>
      </c>
      <c r="X312" t="s">
        <v>32</v>
      </c>
      <c r="Y312" t="str">
        <f t="shared" si="26"/>
        <v>Paid</v>
      </c>
      <c r="Z312" t="s">
        <v>33</v>
      </c>
      <c r="AA312">
        <f>C312-B312</f>
        <v>333</v>
      </c>
      <c r="AB312" t="str">
        <f>IF(B312="","Missing Order Date",
IF(C312="","Missing Ship Date","OK"))</f>
        <v>OK</v>
      </c>
      <c r="AC312" s="7" t="str">
        <f>IF(C312&lt;B312, "Invalid", "Valid")</f>
        <v>Valid</v>
      </c>
      <c r="AD312" s="7" t="str">
        <f>IF(COUNTIF($A:$A, A312)&gt;1, "Duplicate", "Unique")</f>
        <v>Unique</v>
      </c>
      <c r="AE312" s="7" t="str">
        <f>IF(G312="","Unknown",G312)</f>
        <v>South</v>
      </c>
      <c r="AF312" s="7" t="str">
        <f>IF(M312="","Unknown",M312)</f>
        <v>First Class</v>
      </c>
      <c r="AG312" s="7" t="str">
        <f>IF(P312&lt;0,"Invalid",
IF(P312&gt;1,"Invalid","Valid"))</f>
        <v>Valid</v>
      </c>
      <c r="AH312" s="7" t="str">
        <f>TEXT(B312,"mmmm")</f>
        <v>July</v>
      </c>
      <c r="AI312" s="7">
        <f t="shared" si="27"/>
        <v>2024</v>
      </c>
      <c r="AJ312" s="7" t="str">
        <f>IF(OR(R312&lt;0,C312&lt;B312),"Invalid",
IF(OR(G312="Unknown",M312="Unknown"),"Warning","Clean"))</f>
        <v>Clean</v>
      </c>
      <c r="AK312" s="7" t="str">
        <f>IF(C312&lt;B312,"Ship Before Order","OK")</f>
        <v>OK</v>
      </c>
      <c r="AL312" s="7" t="str">
        <f>IF(ISNUMBER(B312),"Valid","Invalid")</f>
        <v>Valid</v>
      </c>
      <c r="AM312" s="7" t="str">
        <f t="shared" si="28"/>
        <v>Ok</v>
      </c>
      <c r="AN312" s="7" t="str">
        <f t="shared" si="29"/>
        <v>Ok</v>
      </c>
    </row>
    <row r="313" spans="1:40">
      <c r="A313" t="s">
        <v>1039</v>
      </c>
      <c r="B313" s="6">
        <v>45409</v>
      </c>
      <c r="C313" s="4">
        <v>45811</v>
      </c>
      <c r="D313" t="s">
        <v>1040</v>
      </c>
      <c r="E313" t="s">
        <v>36</v>
      </c>
      <c r="F313" t="s">
        <v>90</v>
      </c>
      <c r="G313" t="s">
        <v>54</v>
      </c>
      <c r="H313" t="s">
        <v>175</v>
      </c>
      <c r="I313" t="s">
        <v>176</v>
      </c>
      <c r="J313" t="s">
        <v>28</v>
      </c>
      <c r="K313" t="s">
        <v>153</v>
      </c>
      <c r="L313" t="s">
        <v>1041</v>
      </c>
      <c r="M313" t="s">
        <v>31</v>
      </c>
      <c r="N313">
        <v>5</v>
      </c>
      <c r="O313">
        <v>554.04</v>
      </c>
      <c r="P313">
        <v>0.1</v>
      </c>
      <c r="Q313" s="7">
        <f>IF(P313="", 0, P313)</f>
        <v>0.1</v>
      </c>
      <c r="R313">
        <v>2493.1799999999998</v>
      </c>
      <c r="S313">
        <v>1764</v>
      </c>
      <c r="T313" s="7">
        <f>N313*O313*(1-Q313)</f>
        <v>2493.1799999999998</v>
      </c>
      <c r="U313" s="7">
        <f t="shared" si="24"/>
        <v>729.17999999999984</v>
      </c>
      <c r="V313">
        <v>729.18</v>
      </c>
      <c r="W313" s="12">
        <f t="shared" si="25"/>
        <v>0.29246985777200196</v>
      </c>
      <c r="X313" t="s">
        <v>32</v>
      </c>
      <c r="Y313" t="str">
        <f t="shared" si="26"/>
        <v>Paid</v>
      </c>
      <c r="Z313" t="s">
        <v>33</v>
      </c>
      <c r="AA313">
        <f>C313-B313</f>
        <v>402</v>
      </c>
      <c r="AB313" t="str">
        <f>IF(B313="","Missing Order Date",
IF(C313="","Missing Ship Date","OK"))</f>
        <v>OK</v>
      </c>
      <c r="AC313" s="7" t="str">
        <f>IF(C313&lt;B313, "Invalid", "Valid")</f>
        <v>Valid</v>
      </c>
      <c r="AD313" s="7" t="str">
        <f>IF(COUNTIF($A:$A, A313)&gt;1, "Duplicate", "Unique")</f>
        <v>Unique</v>
      </c>
      <c r="AE313" s="7" t="str">
        <f>IF(G313="","Unknown",G313)</f>
        <v>South</v>
      </c>
      <c r="AF313" s="7" t="str">
        <f>IF(M313="","Unknown",M313)</f>
        <v>Second Class</v>
      </c>
      <c r="AG313" s="7" t="str">
        <f>IF(P313&lt;0,"Invalid",
IF(P313&gt;1,"Invalid","Valid"))</f>
        <v>Valid</v>
      </c>
      <c r="AH313" s="7" t="str">
        <f>TEXT(B313,"mmmm")</f>
        <v>April</v>
      </c>
      <c r="AI313" s="7">
        <f t="shared" si="27"/>
        <v>2024</v>
      </c>
      <c r="AJ313" s="7" t="str">
        <f>IF(OR(R313&lt;0,C313&lt;B313),"Invalid",
IF(OR(G313="Unknown",M313="Unknown"),"Warning","Clean"))</f>
        <v>Clean</v>
      </c>
      <c r="AK313" s="7" t="str">
        <f>IF(C313&lt;B313,"Ship Before Order","OK")</f>
        <v>OK</v>
      </c>
      <c r="AL313" s="7" t="str">
        <f>IF(ISNUMBER(B313),"Valid","Invalid")</f>
        <v>Valid</v>
      </c>
      <c r="AM313" s="7" t="str">
        <f t="shared" si="28"/>
        <v>Ok</v>
      </c>
      <c r="AN313" s="7" t="str">
        <f t="shared" si="29"/>
        <v>Ok</v>
      </c>
    </row>
    <row r="314" spans="1:40">
      <c r="A314" t="s">
        <v>1042</v>
      </c>
      <c r="B314" s="6">
        <v>45504</v>
      </c>
      <c r="C314" s="4">
        <v>45812</v>
      </c>
      <c r="D314" t="s">
        <v>1043</v>
      </c>
      <c r="E314" t="s">
        <v>23</v>
      </c>
      <c r="F314" t="s">
        <v>37</v>
      </c>
      <c r="G314" t="s">
        <v>38</v>
      </c>
      <c r="H314" t="s">
        <v>166</v>
      </c>
      <c r="I314" t="s">
        <v>167</v>
      </c>
      <c r="J314" t="s">
        <v>74</v>
      </c>
      <c r="K314" t="s">
        <v>171</v>
      </c>
      <c r="L314" t="s">
        <v>1044</v>
      </c>
      <c r="M314" t="s">
        <v>59</v>
      </c>
      <c r="N314">
        <v>8</v>
      </c>
      <c r="O314">
        <v>2614.7399999999998</v>
      </c>
      <c r="Q314" s="7">
        <f>IF(P314="", 0, P314)</f>
        <v>0</v>
      </c>
      <c r="R314">
        <v>15688.44</v>
      </c>
      <c r="S314">
        <v>10047.33</v>
      </c>
      <c r="T314" s="7">
        <f>N314*O314*(1-Q314)</f>
        <v>20917.919999999998</v>
      </c>
      <c r="U314" s="7">
        <f t="shared" si="24"/>
        <v>10870.589999999998</v>
      </c>
      <c r="V314">
        <v>5641.11</v>
      </c>
      <c r="W314" s="12">
        <f t="shared" si="25"/>
        <v>0.5196783427797792</v>
      </c>
      <c r="X314" t="s">
        <v>32</v>
      </c>
      <c r="Y314" t="str">
        <f t="shared" si="26"/>
        <v>Paid</v>
      </c>
      <c r="Z314" t="s">
        <v>68</v>
      </c>
      <c r="AA314">
        <f>C314-B314</f>
        <v>308</v>
      </c>
      <c r="AB314" t="str">
        <f>IF(B314="","Missing Order Date",
IF(C314="","Missing Ship Date","OK"))</f>
        <v>OK</v>
      </c>
      <c r="AC314" s="7" t="str">
        <f>IF(C314&lt;B314, "Invalid", "Valid")</f>
        <v>Valid</v>
      </c>
      <c r="AD314" s="7" t="str">
        <f>IF(COUNTIF($A:$A, A314)&gt;1, "Duplicate", "Unique")</f>
        <v>Unique</v>
      </c>
      <c r="AE314" s="7" t="str">
        <f>IF(G314="","Unknown",G314)</f>
        <v>East</v>
      </c>
      <c r="AF314" s="7" t="str">
        <f>IF(M314="","Unknown",M314)</f>
        <v>Standard Class</v>
      </c>
      <c r="AG314" s="7" t="str">
        <f>IF(P314&lt;0,"Invalid",
IF(P314&gt;1,"Invalid","Valid"))</f>
        <v>Valid</v>
      </c>
      <c r="AH314" s="7" t="str">
        <f>TEXT(B314,"mmmm")</f>
        <v>July</v>
      </c>
      <c r="AI314" s="7">
        <f t="shared" si="27"/>
        <v>2024</v>
      </c>
      <c r="AJ314" s="7" t="str">
        <f>IF(OR(R314&lt;0,C314&lt;B314),"Invalid",
IF(OR(G314="Unknown",M314="Unknown"),"Warning","Clean"))</f>
        <v>Clean</v>
      </c>
      <c r="AK314" s="7" t="str">
        <f>IF(C314&lt;B314,"Ship Before Order","OK")</f>
        <v>OK</v>
      </c>
      <c r="AL314" s="7" t="str">
        <f>IF(ISNUMBER(B314),"Valid","Invalid")</f>
        <v>Valid</v>
      </c>
      <c r="AM314" s="7" t="str">
        <f t="shared" si="28"/>
        <v>Missmatched</v>
      </c>
      <c r="AN314" s="7" t="str">
        <f t="shared" si="29"/>
        <v>Missmatched</v>
      </c>
    </row>
    <row r="315" spans="1:40">
      <c r="A315" t="s">
        <v>1045</v>
      </c>
      <c r="B315" s="6">
        <v>45807</v>
      </c>
      <c r="C315" s="4">
        <v>45813</v>
      </c>
      <c r="D315" t="s">
        <v>1046</v>
      </c>
      <c r="E315" t="s">
        <v>118</v>
      </c>
      <c r="F315" t="s">
        <v>90</v>
      </c>
      <c r="G315" t="s">
        <v>25</v>
      </c>
      <c r="H315" t="s">
        <v>136</v>
      </c>
      <c r="I315" t="s">
        <v>137</v>
      </c>
      <c r="J315" t="s">
        <v>74</v>
      </c>
      <c r="K315" t="s">
        <v>171</v>
      </c>
      <c r="L315" t="s">
        <v>1047</v>
      </c>
      <c r="M315" t="s">
        <v>50</v>
      </c>
      <c r="N315">
        <v>8</v>
      </c>
      <c r="O315">
        <v>2081.4299999999998</v>
      </c>
      <c r="P315">
        <v>0.25</v>
      </c>
      <c r="Q315" s="7">
        <f>IF(P315="", 0, P315)</f>
        <v>0.25</v>
      </c>
      <c r="R315">
        <v>12488.58</v>
      </c>
      <c r="S315">
        <v>10717.4</v>
      </c>
      <c r="T315" s="7">
        <f>N315*O315*(1-Q315)</f>
        <v>12488.579999999998</v>
      </c>
      <c r="U315" s="7">
        <f t="shared" si="24"/>
        <v>1771.1799999999985</v>
      </c>
      <c r="V315">
        <v>1771.18</v>
      </c>
      <c r="W315" s="12">
        <f t="shared" si="25"/>
        <v>0.14182397037933847</v>
      </c>
      <c r="X315" t="s">
        <v>102</v>
      </c>
      <c r="Y315" t="str">
        <f t="shared" si="26"/>
        <v>Refunded</v>
      </c>
      <c r="Z315" t="s">
        <v>68</v>
      </c>
      <c r="AA315">
        <f>C315-B315</f>
        <v>6</v>
      </c>
      <c r="AB315" t="str">
        <f>IF(B315="","Missing Order Date",
IF(C315="","Missing Ship Date","OK"))</f>
        <v>OK</v>
      </c>
      <c r="AC315" s="7" t="str">
        <f>IF(C315&lt;B315, "Invalid", "Valid")</f>
        <v>Valid</v>
      </c>
      <c r="AD315" s="7" t="str">
        <f>IF(COUNTIF($A:$A, A315)&gt;1, "Duplicate", "Unique")</f>
        <v>Unique</v>
      </c>
      <c r="AE315" s="7" t="str">
        <f>IF(G315="","Unknown",G315)</f>
        <v>North</v>
      </c>
      <c r="AF315" s="7" t="str">
        <f>IF(M315="","Unknown",M315)</f>
        <v>First Class</v>
      </c>
      <c r="AG315" s="7" t="str">
        <f>IF(P315&lt;0,"Invalid",
IF(P315&gt;1,"Invalid","Valid"))</f>
        <v>Valid</v>
      </c>
      <c r="AH315" s="7" t="str">
        <f>TEXT(B315,"mmmm")</f>
        <v>May</v>
      </c>
      <c r="AI315" s="7">
        <f t="shared" si="27"/>
        <v>2025</v>
      </c>
      <c r="AJ315" s="7" t="str">
        <f>IF(OR(R315&lt;0,C315&lt;B315),"Invalid",
IF(OR(G315="Unknown",M315="Unknown"),"Warning","Clean"))</f>
        <v>Clean</v>
      </c>
      <c r="AK315" s="7" t="str">
        <f>IF(C315&lt;B315,"Ship Before Order","OK")</f>
        <v>OK</v>
      </c>
      <c r="AL315" s="7" t="str">
        <f>IF(ISNUMBER(B315),"Valid","Invalid")</f>
        <v>Valid</v>
      </c>
      <c r="AM315" s="7" t="str">
        <f t="shared" si="28"/>
        <v>Ok</v>
      </c>
      <c r="AN315" s="7" t="str">
        <f t="shared" si="29"/>
        <v>Ok</v>
      </c>
    </row>
    <row r="316" spans="1:40">
      <c r="A316" t="s">
        <v>1048</v>
      </c>
      <c r="B316" s="6">
        <v>45795</v>
      </c>
      <c r="C316" s="4">
        <v>45814</v>
      </c>
      <c r="D316" t="s">
        <v>1049</v>
      </c>
      <c r="E316" t="s">
        <v>47</v>
      </c>
      <c r="F316" t="s">
        <v>90</v>
      </c>
      <c r="G316" t="s">
        <v>63</v>
      </c>
      <c r="H316" t="s">
        <v>72</v>
      </c>
      <c r="I316" t="s">
        <v>73</v>
      </c>
      <c r="J316" t="s">
        <v>28</v>
      </c>
      <c r="K316" t="s">
        <v>91</v>
      </c>
      <c r="L316" t="s">
        <v>1050</v>
      </c>
      <c r="M316" t="s">
        <v>59</v>
      </c>
      <c r="N316">
        <v>9</v>
      </c>
      <c r="O316">
        <v>847.76</v>
      </c>
      <c r="P316">
        <v>0.15</v>
      </c>
      <c r="Q316" s="7">
        <f>IF(P316="", 0, P316)</f>
        <v>0.15</v>
      </c>
      <c r="R316">
        <v>6485.36</v>
      </c>
      <c r="S316">
        <v>5376.17</v>
      </c>
      <c r="T316" s="7">
        <f>N316*O316*(1-Q316)</f>
        <v>6485.3639999999996</v>
      </c>
      <c r="U316" s="7">
        <f t="shared" si="24"/>
        <v>1109.1939999999995</v>
      </c>
      <c r="V316">
        <v>1109.19</v>
      </c>
      <c r="W316" s="12">
        <f t="shared" si="25"/>
        <v>0.17103033846673826</v>
      </c>
      <c r="X316" t="s">
        <v>155</v>
      </c>
      <c r="Y316" t="str">
        <f t="shared" si="26"/>
        <v>Failed</v>
      </c>
      <c r="Z316" t="s">
        <v>103</v>
      </c>
      <c r="AA316">
        <f>C316-B316</f>
        <v>19</v>
      </c>
      <c r="AB316" t="str">
        <f>IF(B316="","Missing Order Date",
IF(C316="","Missing Ship Date","OK"))</f>
        <v>OK</v>
      </c>
      <c r="AC316" s="7" t="str">
        <f>IF(C316&lt;B316, "Invalid", "Valid")</f>
        <v>Valid</v>
      </c>
      <c r="AD316" s="7" t="str">
        <f>IF(COUNTIF($A:$A, A316)&gt;1, "Duplicate", "Unique")</f>
        <v>Duplicate</v>
      </c>
      <c r="AE316" s="7" t="str">
        <f>IF(G316="","Unknown",G316)</f>
        <v>West</v>
      </c>
      <c r="AF316" s="7" t="str">
        <f>IF(M316="","Unknown",M316)</f>
        <v>Standard Class</v>
      </c>
      <c r="AG316" s="7" t="str">
        <f>IF(P316&lt;0,"Invalid",
IF(P316&gt;1,"Invalid","Valid"))</f>
        <v>Valid</v>
      </c>
      <c r="AH316" s="7" t="str">
        <f>TEXT(B316,"mmmm")</f>
        <v>May</v>
      </c>
      <c r="AI316" s="7">
        <f t="shared" si="27"/>
        <v>2025</v>
      </c>
      <c r="AJ316" s="7" t="str">
        <f>IF(OR(R316&lt;0,C316&lt;B316),"Invalid",
IF(OR(G316="Unknown",M316="Unknown"),"Warning","Clean"))</f>
        <v>Clean</v>
      </c>
      <c r="AK316" s="7" t="str">
        <f>IF(C316&lt;B316,"Ship Before Order","OK")</f>
        <v>OK</v>
      </c>
      <c r="AL316" s="7" t="str">
        <f>IF(ISNUMBER(B316),"Valid","Invalid")</f>
        <v>Valid</v>
      </c>
      <c r="AM316" s="7" t="str">
        <f t="shared" si="28"/>
        <v>Missmatched</v>
      </c>
      <c r="AN316" s="7" t="str">
        <f t="shared" si="29"/>
        <v>Missmatched</v>
      </c>
    </row>
    <row r="317" spans="1:40">
      <c r="A317" t="s">
        <v>1051</v>
      </c>
      <c r="B317" s="6">
        <v>45329</v>
      </c>
      <c r="C317" s="4">
        <v>45815</v>
      </c>
      <c r="D317" t="s">
        <v>1052</v>
      </c>
      <c r="E317" t="s">
        <v>141</v>
      </c>
      <c r="F317" t="s">
        <v>24</v>
      </c>
      <c r="G317" t="s">
        <v>25</v>
      </c>
      <c r="H317" t="s">
        <v>350</v>
      </c>
      <c r="I317" t="s">
        <v>351</v>
      </c>
      <c r="J317" t="s">
        <v>28</v>
      </c>
      <c r="K317" t="s">
        <v>29</v>
      </c>
      <c r="L317" t="s">
        <v>1053</v>
      </c>
      <c r="M317" t="s">
        <v>59</v>
      </c>
      <c r="N317">
        <v>9</v>
      </c>
      <c r="O317">
        <v>3450.4</v>
      </c>
      <c r="P317">
        <v>0.05</v>
      </c>
      <c r="Q317" s="7">
        <f>IF(P317="", 0, P317)</f>
        <v>0.05</v>
      </c>
      <c r="R317">
        <v>29500.92</v>
      </c>
      <c r="S317">
        <v>17989.68</v>
      </c>
      <c r="T317" s="7">
        <f>N317*O317*(1-Q317)</f>
        <v>29500.920000000002</v>
      </c>
      <c r="U317" s="7">
        <f t="shared" si="24"/>
        <v>11511.240000000002</v>
      </c>
      <c r="V317">
        <v>11511.24</v>
      </c>
      <c r="W317" s="12">
        <f t="shared" si="25"/>
        <v>0.39019935649464493</v>
      </c>
      <c r="X317" t="s">
        <v>111</v>
      </c>
      <c r="Y317" t="str">
        <f t="shared" si="26"/>
        <v>Pending</v>
      </c>
      <c r="Z317" t="s">
        <v>103</v>
      </c>
      <c r="AA317">
        <f>C317-B317</f>
        <v>486</v>
      </c>
      <c r="AB317" t="str">
        <f>IF(B317="","Missing Order Date",
IF(C317="","Missing Ship Date","OK"))</f>
        <v>OK</v>
      </c>
      <c r="AC317" s="7" t="str">
        <f>IF(C317&lt;B317, "Invalid", "Valid")</f>
        <v>Valid</v>
      </c>
      <c r="AD317" s="7" t="str">
        <f>IF(COUNTIF($A:$A, A317)&gt;1, "Duplicate", "Unique")</f>
        <v>Unique</v>
      </c>
      <c r="AE317" s="7" t="str">
        <f>IF(G317="","Unknown",G317)</f>
        <v>North</v>
      </c>
      <c r="AF317" s="7" t="str">
        <f>IF(M317="","Unknown",M317)</f>
        <v>Standard Class</v>
      </c>
      <c r="AG317" s="7" t="str">
        <f>IF(P317&lt;0,"Invalid",
IF(P317&gt;1,"Invalid","Valid"))</f>
        <v>Valid</v>
      </c>
      <c r="AH317" s="7" t="str">
        <f>TEXT(B317,"mmmm")</f>
        <v>February</v>
      </c>
      <c r="AI317" s="7">
        <f t="shared" si="27"/>
        <v>2024</v>
      </c>
      <c r="AJ317" s="7" t="str">
        <f>IF(OR(R317&lt;0,C317&lt;B317),"Invalid",
IF(OR(G317="Unknown",M317="Unknown"),"Warning","Clean"))</f>
        <v>Clean</v>
      </c>
      <c r="AK317" s="7" t="str">
        <f>IF(C317&lt;B317,"Ship Before Order","OK")</f>
        <v>OK</v>
      </c>
      <c r="AL317" s="7" t="str">
        <f>IF(ISNUMBER(B317),"Valid","Invalid")</f>
        <v>Valid</v>
      </c>
      <c r="AM317" s="7" t="str">
        <f t="shared" si="28"/>
        <v>Ok</v>
      </c>
      <c r="AN317" s="7" t="str">
        <f t="shared" si="29"/>
        <v>Ok</v>
      </c>
    </row>
    <row r="318" spans="1:40">
      <c r="A318" t="s">
        <v>1054</v>
      </c>
      <c r="B318" s="6">
        <v>45338</v>
      </c>
      <c r="C318" s="4">
        <v>45816</v>
      </c>
      <c r="D318" t="s">
        <v>1055</v>
      </c>
      <c r="E318" t="s">
        <v>23</v>
      </c>
      <c r="F318" t="s">
        <v>90</v>
      </c>
      <c r="G318" t="s">
        <v>25</v>
      </c>
      <c r="H318" t="s">
        <v>122</v>
      </c>
      <c r="I318" t="s">
        <v>123</v>
      </c>
      <c r="J318" t="s">
        <v>28</v>
      </c>
      <c r="K318" t="s">
        <v>91</v>
      </c>
      <c r="L318" t="s">
        <v>1056</v>
      </c>
      <c r="M318" t="s">
        <v>59</v>
      </c>
      <c r="N318">
        <v>2</v>
      </c>
      <c r="O318">
        <v>1947.53</v>
      </c>
      <c r="P318">
        <v>0.2</v>
      </c>
      <c r="Q318" s="7">
        <f>IF(P318="", 0, P318)</f>
        <v>0.2</v>
      </c>
      <c r="R318">
        <v>3116.05</v>
      </c>
      <c r="S318">
        <v>1956.63</v>
      </c>
      <c r="T318" s="7">
        <f>N318*O318*(1-Q318)</f>
        <v>3116.0480000000002</v>
      </c>
      <c r="U318" s="7">
        <f t="shared" si="24"/>
        <v>1159.4180000000001</v>
      </c>
      <c r="V318">
        <v>1159.42</v>
      </c>
      <c r="W318" s="12">
        <f t="shared" si="25"/>
        <v>0.37207963420332424</v>
      </c>
      <c r="X318" t="s">
        <v>32</v>
      </c>
      <c r="Y318" t="str">
        <f t="shared" si="26"/>
        <v>Paid</v>
      </c>
      <c r="Z318" t="s">
        <v>68</v>
      </c>
      <c r="AA318">
        <f>C318-B318</f>
        <v>478</v>
      </c>
      <c r="AB318" t="str">
        <f>IF(B318="","Missing Order Date",
IF(C318="","Missing Ship Date","OK"))</f>
        <v>OK</v>
      </c>
      <c r="AC318" s="7" t="str">
        <f>IF(C318&lt;B318, "Invalid", "Valid")</f>
        <v>Valid</v>
      </c>
      <c r="AD318" s="7" t="str">
        <f>IF(COUNTIF($A:$A, A318)&gt;1, "Duplicate", "Unique")</f>
        <v>Unique</v>
      </c>
      <c r="AE318" s="7" t="str">
        <f>IF(G318="","Unknown",G318)</f>
        <v>North</v>
      </c>
      <c r="AF318" s="7" t="str">
        <f>IF(M318="","Unknown",M318)</f>
        <v>Standard Class</v>
      </c>
      <c r="AG318" s="7" t="str">
        <f>IF(P318&lt;0,"Invalid",
IF(P318&gt;1,"Invalid","Valid"))</f>
        <v>Valid</v>
      </c>
      <c r="AH318" s="7" t="str">
        <f>TEXT(B318,"mmmm")</f>
        <v>February</v>
      </c>
      <c r="AI318" s="7">
        <f t="shared" si="27"/>
        <v>2024</v>
      </c>
      <c r="AJ318" s="7" t="str">
        <f>IF(OR(R318&lt;0,C318&lt;B318),"Invalid",
IF(OR(G318="Unknown",M318="Unknown"),"Warning","Clean"))</f>
        <v>Clean</v>
      </c>
      <c r="AK318" s="7" t="str">
        <f>IF(C318&lt;B318,"Ship Before Order","OK")</f>
        <v>OK</v>
      </c>
      <c r="AL318" s="7" t="str">
        <f>IF(ISNUMBER(B318),"Valid","Invalid")</f>
        <v>Valid</v>
      </c>
      <c r="AM318" s="7" t="str">
        <f t="shared" si="28"/>
        <v>Missmatched</v>
      </c>
      <c r="AN318" s="7" t="str">
        <f t="shared" si="29"/>
        <v>Missmatched</v>
      </c>
    </row>
    <row r="319" spans="1:40">
      <c r="A319" t="s">
        <v>1057</v>
      </c>
      <c r="B319" s="6">
        <v>45898</v>
      </c>
      <c r="C319" s="4">
        <v>45817</v>
      </c>
      <c r="D319" t="s">
        <v>1058</v>
      </c>
      <c r="E319" t="s">
        <v>79</v>
      </c>
      <c r="F319" t="s">
        <v>90</v>
      </c>
      <c r="G319" t="s">
        <v>54</v>
      </c>
      <c r="H319" t="s">
        <v>185</v>
      </c>
      <c r="I319" t="s">
        <v>186</v>
      </c>
      <c r="J319" t="s">
        <v>41</v>
      </c>
      <c r="K319" t="s">
        <v>42</v>
      </c>
      <c r="L319" t="s">
        <v>1059</v>
      </c>
      <c r="M319" t="s">
        <v>50</v>
      </c>
      <c r="N319">
        <v>9</v>
      </c>
      <c r="O319">
        <v>2996.97</v>
      </c>
      <c r="P319">
        <v>0.15</v>
      </c>
      <c r="Q319" s="7">
        <f>IF(P319="", 0, P319)</f>
        <v>0.15</v>
      </c>
      <c r="R319">
        <v>22926.82</v>
      </c>
      <c r="S319">
        <v>14621.59</v>
      </c>
      <c r="T319" s="7">
        <f>N319*O319*(1-Q319)</f>
        <v>22926.820499999998</v>
      </c>
      <c r="U319" s="7">
        <f t="shared" si="24"/>
        <v>8305.2304999999978</v>
      </c>
      <c r="V319">
        <v>8305.23</v>
      </c>
      <c r="W319" s="12">
        <f t="shared" si="25"/>
        <v>0.36224955396671765</v>
      </c>
      <c r="X319" t="s">
        <v>32</v>
      </c>
      <c r="Y319" t="str">
        <f t="shared" si="26"/>
        <v>Paid</v>
      </c>
      <c r="Z319" t="s">
        <v>33</v>
      </c>
      <c r="AA319">
        <f>C319-B319</f>
        <v>-81</v>
      </c>
      <c r="AB319" t="str">
        <f>IF(B319="","Missing Order Date",
IF(C319="","Missing Ship Date","OK"))</f>
        <v>OK</v>
      </c>
      <c r="AC319" s="7" t="str">
        <f>IF(C319&lt;B319, "Invalid", "Valid")</f>
        <v>Invalid</v>
      </c>
      <c r="AD319" s="7" t="str">
        <f>IF(COUNTIF($A:$A, A319)&gt;1, "Duplicate", "Unique")</f>
        <v>Unique</v>
      </c>
      <c r="AE319" s="7" t="str">
        <f>IF(G319="","Unknown",G319)</f>
        <v>South</v>
      </c>
      <c r="AF319" s="7" t="str">
        <f>IF(M319="","Unknown",M319)</f>
        <v>First Class</v>
      </c>
      <c r="AG319" s="7" t="str">
        <f>IF(P319&lt;0,"Invalid",
IF(P319&gt;1,"Invalid","Valid"))</f>
        <v>Valid</v>
      </c>
      <c r="AH319" s="7" t="str">
        <f>TEXT(B319,"mmmm")</f>
        <v>August</v>
      </c>
      <c r="AI319" s="7">
        <f t="shared" si="27"/>
        <v>2025</v>
      </c>
      <c r="AJ319" s="7" t="str">
        <f>IF(OR(R319&lt;0,C319&lt;B319),"Invalid",
IF(OR(G319="Unknown",M319="Unknown"),"Warning","Clean"))</f>
        <v>Invalid</v>
      </c>
      <c r="AK319" s="7" t="str">
        <f>IF(C319&lt;B319,"Ship Before Order","OK")</f>
        <v>Ship Before Order</v>
      </c>
      <c r="AL319" s="7" t="str">
        <f>IF(ISNUMBER(B319),"Valid","Invalid")</f>
        <v>Valid</v>
      </c>
      <c r="AM319" s="7" t="str">
        <f t="shared" si="28"/>
        <v>Missmatched</v>
      </c>
      <c r="AN319" s="7" t="str">
        <f t="shared" si="29"/>
        <v>Missmatched</v>
      </c>
    </row>
    <row r="320" spans="1:40">
      <c r="A320" t="s">
        <v>1060</v>
      </c>
      <c r="B320" s="6">
        <v>45407</v>
      </c>
      <c r="C320" s="4">
        <v>45818</v>
      </c>
      <c r="D320" t="s">
        <v>1061</v>
      </c>
      <c r="E320" t="s">
        <v>36</v>
      </c>
      <c r="F320" t="s">
        <v>37</v>
      </c>
      <c r="G320" t="s">
        <v>54</v>
      </c>
      <c r="H320" t="s">
        <v>175</v>
      </c>
      <c r="I320" t="s">
        <v>176</v>
      </c>
      <c r="J320" t="s">
        <v>74</v>
      </c>
      <c r="K320" t="s">
        <v>171</v>
      </c>
      <c r="L320" t="s">
        <v>1062</v>
      </c>
      <c r="M320" t="s">
        <v>59</v>
      </c>
      <c r="N320">
        <v>3</v>
      </c>
      <c r="O320">
        <v>4149.46</v>
      </c>
      <c r="P320">
        <v>0.1</v>
      </c>
      <c r="Q320" s="7">
        <f>IF(P320="", 0, P320)</f>
        <v>0.1</v>
      </c>
      <c r="R320">
        <v>11203.54</v>
      </c>
      <c r="S320">
        <v>8452.93</v>
      </c>
      <c r="T320" s="7">
        <f>N320*O320*(1-Q320)</f>
        <v>11203.542000000001</v>
      </c>
      <c r="U320" s="7">
        <f t="shared" si="24"/>
        <v>2750.612000000001</v>
      </c>
      <c r="V320">
        <v>2750.61</v>
      </c>
      <c r="W320" s="12">
        <f t="shared" si="25"/>
        <v>0.24551271374713468</v>
      </c>
      <c r="X320" t="s">
        <v>32</v>
      </c>
      <c r="Y320" t="str">
        <f t="shared" si="26"/>
        <v>Paid</v>
      </c>
      <c r="Z320" t="s">
        <v>33</v>
      </c>
      <c r="AA320">
        <f>C320-B320</f>
        <v>411</v>
      </c>
      <c r="AB320" t="str">
        <f>IF(B320="","Missing Order Date",
IF(C320="","Missing Ship Date","OK"))</f>
        <v>OK</v>
      </c>
      <c r="AC320" s="7" t="str">
        <f>IF(C320&lt;B320, "Invalid", "Valid")</f>
        <v>Valid</v>
      </c>
      <c r="AD320" s="7" t="str">
        <f>IF(COUNTIF($A:$A, A320)&gt;1, "Duplicate", "Unique")</f>
        <v>Unique</v>
      </c>
      <c r="AE320" s="7" t="str">
        <f>IF(G320="","Unknown",G320)</f>
        <v>South</v>
      </c>
      <c r="AF320" s="7" t="str">
        <f>IF(M320="","Unknown",M320)</f>
        <v>Standard Class</v>
      </c>
      <c r="AG320" s="7" t="str">
        <f>IF(P320&lt;0,"Invalid",
IF(P320&gt;1,"Invalid","Valid"))</f>
        <v>Valid</v>
      </c>
      <c r="AH320" s="7" t="str">
        <f>TEXT(B320,"mmmm")</f>
        <v>April</v>
      </c>
      <c r="AI320" s="7">
        <f t="shared" si="27"/>
        <v>2024</v>
      </c>
      <c r="AJ320" s="7" t="str">
        <f>IF(OR(R320&lt;0,C320&lt;B320),"Invalid",
IF(OR(G320="Unknown",M320="Unknown"),"Warning","Clean"))</f>
        <v>Clean</v>
      </c>
      <c r="AK320" s="7" t="str">
        <f>IF(C320&lt;B320,"Ship Before Order","OK")</f>
        <v>OK</v>
      </c>
      <c r="AL320" s="7" t="str">
        <f>IF(ISNUMBER(B320),"Valid","Invalid")</f>
        <v>Valid</v>
      </c>
      <c r="AM320" s="7" t="str">
        <f t="shared" si="28"/>
        <v>Missmatched</v>
      </c>
      <c r="AN320" s="7" t="str">
        <f t="shared" si="29"/>
        <v>Missmatched</v>
      </c>
    </row>
    <row r="321" spans="1:40">
      <c r="A321" t="s">
        <v>1063</v>
      </c>
      <c r="B321" s="6">
        <v>45525</v>
      </c>
      <c r="C321" s="4">
        <v>45819</v>
      </c>
      <c r="D321" t="s">
        <v>1064</v>
      </c>
      <c r="E321" t="s">
        <v>162</v>
      </c>
      <c r="F321" t="s">
        <v>24</v>
      </c>
      <c r="G321" t="s">
        <v>63</v>
      </c>
      <c r="H321" t="s">
        <v>180</v>
      </c>
      <c r="I321" t="s">
        <v>181</v>
      </c>
      <c r="J321" t="s">
        <v>28</v>
      </c>
      <c r="K321" t="s">
        <v>153</v>
      </c>
      <c r="L321" t="s">
        <v>1065</v>
      </c>
      <c r="M321" t="s">
        <v>50</v>
      </c>
      <c r="N321">
        <v>1</v>
      </c>
      <c r="O321">
        <v>270.27999999999997</v>
      </c>
      <c r="P321">
        <v>0</v>
      </c>
      <c r="Q321" s="7">
        <f>IF(P321="", 0, P321)</f>
        <v>0</v>
      </c>
      <c r="R321">
        <v>270.27999999999997</v>
      </c>
      <c r="S321">
        <v>156.34</v>
      </c>
      <c r="T321" s="7">
        <f>N321*O321*(1-Q321)</f>
        <v>270.27999999999997</v>
      </c>
      <c r="U321" s="7">
        <f t="shared" si="24"/>
        <v>113.93999999999997</v>
      </c>
      <c r="V321">
        <v>113.94</v>
      </c>
      <c r="W321" s="12">
        <f t="shared" si="25"/>
        <v>0.42156282373834536</v>
      </c>
      <c r="X321" t="s">
        <v>32</v>
      </c>
      <c r="Y321" t="str">
        <f t="shared" si="26"/>
        <v>Paid</v>
      </c>
      <c r="Z321" t="s">
        <v>33</v>
      </c>
      <c r="AA321">
        <f>C321-B321</f>
        <v>294</v>
      </c>
      <c r="AB321" t="str">
        <f>IF(B321="","Missing Order Date",
IF(C321="","Missing Ship Date","OK"))</f>
        <v>OK</v>
      </c>
      <c r="AC321" s="7" t="str">
        <f>IF(C321&lt;B321, "Invalid", "Valid")</f>
        <v>Valid</v>
      </c>
      <c r="AD321" s="7" t="str">
        <f>IF(COUNTIF($A:$A, A321)&gt;1, "Duplicate", "Unique")</f>
        <v>Unique</v>
      </c>
      <c r="AE321" s="7" t="str">
        <f>IF(G321="","Unknown",G321)</f>
        <v>West</v>
      </c>
      <c r="AF321" s="7" t="str">
        <f>IF(M321="","Unknown",M321)</f>
        <v>First Class</v>
      </c>
      <c r="AG321" s="7" t="str">
        <f>IF(P321&lt;0,"Invalid",
IF(P321&gt;1,"Invalid","Valid"))</f>
        <v>Valid</v>
      </c>
      <c r="AH321" s="7" t="str">
        <f>TEXT(B321,"mmmm")</f>
        <v>August</v>
      </c>
      <c r="AI321" s="7">
        <f t="shared" si="27"/>
        <v>2024</v>
      </c>
      <c r="AJ321" s="7" t="str">
        <f>IF(OR(R321&lt;0,C321&lt;B321),"Invalid",
IF(OR(G321="Unknown",M321="Unknown"),"Warning","Clean"))</f>
        <v>Clean</v>
      </c>
      <c r="AK321" s="7" t="str">
        <f>IF(C321&lt;B321,"Ship Before Order","OK")</f>
        <v>OK</v>
      </c>
      <c r="AL321" s="7" t="str">
        <f>IF(ISNUMBER(B321),"Valid","Invalid")</f>
        <v>Valid</v>
      </c>
      <c r="AM321" s="7" t="str">
        <f t="shared" si="28"/>
        <v>Ok</v>
      </c>
      <c r="AN321" s="7" t="str">
        <f t="shared" si="29"/>
        <v>Ok</v>
      </c>
    </row>
    <row r="322" spans="1:40">
      <c r="A322" t="s">
        <v>1066</v>
      </c>
      <c r="B322" s="6">
        <v>45394</v>
      </c>
      <c r="C322" s="4">
        <v>45820</v>
      </c>
      <c r="D322" t="s">
        <v>1067</v>
      </c>
      <c r="E322" t="s">
        <v>128</v>
      </c>
      <c r="F322" t="s">
        <v>95</v>
      </c>
      <c r="G322" t="s">
        <v>38</v>
      </c>
      <c r="H322" t="s">
        <v>99</v>
      </c>
      <c r="I322" t="s">
        <v>100</v>
      </c>
      <c r="J322" t="s">
        <v>28</v>
      </c>
      <c r="K322" t="s">
        <v>48</v>
      </c>
      <c r="L322" t="s">
        <v>1068</v>
      </c>
      <c r="M322" t="s">
        <v>31</v>
      </c>
      <c r="N322">
        <v>3</v>
      </c>
      <c r="O322">
        <v>876.14</v>
      </c>
      <c r="P322" t="s">
        <v>463</v>
      </c>
      <c r="Q322" s="7" t="str">
        <f>IF(P322="", 0, P322)</f>
        <v>70%</v>
      </c>
      <c r="R322">
        <v>2628.42</v>
      </c>
      <c r="S322">
        <v>1541.54</v>
      </c>
      <c r="T322" s="7">
        <f>N322*O322*(1-Q322)</f>
        <v>788.52600000000018</v>
      </c>
      <c r="U322" s="7">
        <f t="shared" ref="U322:U385" si="30">T322-S322</f>
        <v>-753.01399999999978</v>
      </c>
      <c r="V322">
        <v>1086.8800000000001</v>
      </c>
      <c r="W322" s="12">
        <f t="shared" ref="W322:W385" si="31">IF(T322=0,0,U322/T322)</f>
        <v>-0.95496407220560842</v>
      </c>
      <c r="X322" t="s">
        <v>111</v>
      </c>
      <c r="Y322" t="str">
        <f t="shared" ref="Y322:Y385" si="32">PROPER(TRIM(X322))</f>
        <v>Pending</v>
      </c>
      <c r="Z322" t="s">
        <v>103</v>
      </c>
      <c r="AA322">
        <f>C322-B322</f>
        <v>426</v>
      </c>
      <c r="AB322" t="str">
        <f>IF(B322="","Missing Order Date",
IF(C322="","Missing Ship Date","OK"))</f>
        <v>OK</v>
      </c>
      <c r="AC322" s="7" t="str">
        <f>IF(C322&lt;B322, "Invalid", "Valid")</f>
        <v>Valid</v>
      </c>
      <c r="AD322" s="7" t="str">
        <f>IF(COUNTIF($A:$A, A322)&gt;1, "Duplicate", "Unique")</f>
        <v>Unique</v>
      </c>
      <c r="AE322" s="7" t="str">
        <f>IF(G322="","Unknown",G322)</f>
        <v>East</v>
      </c>
      <c r="AF322" s="7" t="str">
        <f>IF(M322="","Unknown",M322)</f>
        <v>Second Class</v>
      </c>
      <c r="AG322" s="7" t="str">
        <f>IF(P322&lt;0,"Invalid",
IF(P322&gt;1,"Invalid","Valid"))</f>
        <v>Invalid</v>
      </c>
      <c r="AH322" s="7" t="str">
        <f>TEXT(B322,"mmmm")</f>
        <v>April</v>
      </c>
      <c r="AI322" s="7">
        <f t="shared" ref="AI322:AI385" si="33">YEAR(B322)</f>
        <v>2024</v>
      </c>
      <c r="AJ322" s="7" t="str">
        <f>IF(OR(R322&lt;0,C322&lt;B322),"Invalid",
IF(OR(G322="Unknown",M322="Unknown"),"Warning","Clean"))</f>
        <v>Clean</v>
      </c>
      <c r="AK322" s="7" t="str">
        <f>IF(C322&lt;B322,"Ship Before Order","OK")</f>
        <v>OK</v>
      </c>
      <c r="AL322" s="7" t="str">
        <f>IF(ISNUMBER(B322),"Valid","Invalid")</f>
        <v>Valid</v>
      </c>
      <c r="AM322" s="7" t="str">
        <f t="shared" ref="AM322:AM385" si="34">IF(R322&lt;&gt;T322, "Missmatched", "Ok")</f>
        <v>Missmatched</v>
      </c>
      <c r="AN322" s="7" t="str">
        <f t="shared" ref="AN322:AN385" si="35">IF(V322&lt;&gt;U322, "Missmatched", "Ok")</f>
        <v>Missmatched</v>
      </c>
    </row>
    <row r="323" spans="1:40">
      <c r="A323" t="s">
        <v>1069</v>
      </c>
      <c r="B323" s="6">
        <v>45466</v>
      </c>
      <c r="C323" s="4">
        <v>45821</v>
      </c>
      <c r="D323" t="s">
        <v>1070</v>
      </c>
      <c r="E323" t="s">
        <v>79</v>
      </c>
      <c r="F323" t="s">
        <v>37</v>
      </c>
      <c r="G323" t="s">
        <v>63</v>
      </c>
      <c r="H323" t="s">
        <v>190</v>
      </c>
      <c r="I323" t="s">
        <v>191</v>
      </c>
      <c r="J323" t="s">
        <v>74</v>
      </c>
      <c r="K323" t="s">
        <v>75</v>
      </c>
      <c r="L323" t="s">
        <v>1071</v>
      </c>
      <c r="M323" t="s">
        <v>44</v>
      </c>
      <c r="N323">
        <v>4</v>
      </c>
      <c r="O323">
        <v>674.82</v>
      </c>
      <c r="P323">
        <v>0</v>
      </c>
      <c r="Q323" s="7">
        <f>IF(P323="", 0, P323)</f>
        <v>0</v>
      </c>
      <c r="R323">
        <v>2699.28</v>
      </c>
      <c r="S323">
        <v>1759.76</v>
      </c>
      <c r="T323" s="7">
        <f>N323*O323*(1-Q323)</f>
        <v>2699.28</v>
      </c>
      <c r="U323" s="7">
        <f t="shared" si="30"/>
        <v>939.52000000000021</v>
      </c>
      <c r="V323">
        <v>939.52</v>
      </c>
      <c r="W323" s="12">
        <f t="shared" si="31"/>
        <v>0.34806318722029583</v>
      </c>
      <c r="X323" t="s">
        <v>155</v>
      </c>
      <c r="Y323" t="str">
        <f t="shared" si="32"/>
        <v>Failed</v>
      </c>
      <c r="Z323" t="s">
        <v>68</v>
      </c>
      <c r="AA323">
        <f>C323-B323</f>
        <v>355</v>
      </c>
      <c r="AB323" t="str">
        <f>IF(B323="","Missing Order Date",
IF(C323="","Missing Ship Date","OK"))</f>
        <v>OK</v>
      </c>
      <c r="AC323" s="7" t="str">
        <f>IF(C323&lt;B323, "Invalid", "Valid")</f>
        <v>Valid</v>
      </c>
      <c r="AD323" s="7" t="str">
        <f>IF(COUNTIF($A:$A, A323)&gt;1, "Duplicate", "Unique")</f>
        <v>Unique</v>
      </c>
      <c r="AE323" s="7" t="str">
        <f>IF(G323="","Unknown",G323)</f>
        <v>West</v>
      </c>
      <c r="AF323" s="7" t="str">
        <f>IF(M323="","Unknown",M323)</f>
        <v>Same Day</v>
      </c>
      <c r="AG323" s="7" t="str">
        <f>IF(P323&lt;0,"Invalid",
IF(P323&gt;1,"Invalid","Valid"))</f>
        <v>Valid</v>
      </c>
      <c r="AH323" s="7" t="str">
        <f>TEXT(B323,"mmmm")</f>
        <v>June</v>
      </c>
      <c r="AI323" s="7">
        <f t="shared" si="33"/>
        <v>2024</v>
      </c>
      <c r="AJ323" s="7" t="str">
        <f>IF(OR(R323&lt;0,C323&lt;B323),"Invalid",
IF(OR(G323="Unknown",M323="Unknown"),"Warning","Clean"))</f>
        <v>Clean</v>
      </c>
      <c r="AK323" s="7" t="str">
        <f>IF(C323&lt;B323,"Ship Before Order","OK")</f>
        <v>OK</v>
      </c>
      <c r="AL323" s="7" t="str">
        <f>IF(ISNUMBER(B323),"Valid","Invalid")</f>
        <v>Valid</v>
      </c>
      <c r="AM323" s="7" t="str">
        <f t="shared" si="34"/>
        <v>Ok</v>
      </c>
      <c r="AN323" s="7" t="str">
        <f t="shared" si="35"/>
        <v>Ok</v>
      </c>
    </row>
    <row r="324" spans="1:40">
      <c r="A324" t="s">
        <v>1072</v>
      </c>
      <c r="B324" s="6">
        <v>45637</v>
      </c>
      <c r="C324" s="4">
        <v>45822</v>
      </c>
      <c r="D324" t="s">
        <v>1073</v>
      </c>
      <c r="E324" t="s">
        <v>47</v>
      </c>
      <c r="F324" t="s">
        <v>24</v>
      </c>
      <c r="G324" t="s">
        <v>25</v>
      </c>
      <c r="H324" t="s">
        <v>136</v>
      </c>
      <c r="I324" t="s">
        <v>137</v>
      </c>
      <c r="J324" t="s">
        <v>74</v>
      </c>
      <c r="K324" t="s">
        <v>171</v>
      </c>
      <c r="L324" t="s">
        <v>1074</v>
      </c>
      <c r="M324" t="s">
        <v>31</v>
      </c>
      <c r="N324">
        <v>6</v>
      </c>
      <c r="O324">
        <v>1369.48</v>
      </c>
      <c r="P324">
        <v>0.15</v>
      </c>
      <c r="Q324" s="7">
        <f>IF(P324="", 0, P324)</f>
        <v>0.15</v>
      </c>
      <c r="R324">
        <v>6984.35</v>
      </c>
      <c r="S324">
        <v>4023.63</v>
      </c>
      <c r="T324" s="7">
        <f>N324*O324*(1-Q324)</f>
        <v>6984.3480000000009</v>
      </c>
      <c r="U324" s="7">
        <f t="shared" si="30"/>
        <v>2960.7180000000008</v>
      </c>
      <c r="V324">
        <v>2960.72</v>
      </c>
      <c r="W324" s="12">
        <f t="shared" si="31"/>
        <v>0.42390757161584736</v>
      </c>
      <c r="X324" t="s">
        <v>32</v>
      </c>
      <c r="Y324" t="str">
        <f t="shared" si="32"/>
        <v>Paid</v>
      </c>
      <c r="Z324" t="s">
        <v>33</v>
      </c>
      <c r="AA324">
        <f>C324-B324</f>
        <v>185</v>
      </c>
      <c r="AB324" t="str">
        <f>IF(B324="","Missing Order Date",
IF(C324="","Missing Ship Date","OK"))</f>
        <v>OK</v>
      </c>
      <c r="AC324" s="7" t="str">
        <f>IF(C324&lt;B324, "Invalid", "Valid")</f>
        <v>Valid</v>
      </c>
      <c r="AD324" s="7" t="str">
        <f>IF(COUNTIF($A:$A, A324)&gt;1, "Duplicate", "Unique")</f>
        <v>Unique</v>
      </c>
      <c r="AE324" s="7" t="str">
        <f>IF(G324="","Unknown",G324)</f>
        <v>North</v>
      </c>
      <c r="AF324" s="7" t="str">
        <f>IF(M324="","Unknown",M324)</f>
        <v>Second Class</v>
      </c>
      <c r="AG324" s="7" t="str">
        <f>IF(P324&lt;0,"Invalid",
IF(P324&gt;1,"Invalid","Valid"))</f>
        <v>Valid</v>
      </c>
      <c r="AH324" s="7" t="str">
        <f>TEXT(B324,"mmmm")</f>
        <v>December</v>
      </c>
      <c r="AI324" s="7">
        <f t="shared" si="33"/>
        <v>2024</v>
      </c>
      <c r="AJ324" s="7" t="str">
        <f>IF(OR(R324&lt;0,C324&lt;B324),"Invalid",
IF(OR(G324="Unknown",M324="Unknown"),"Warning","Clean"))</f>
        <v>Clean</v>
      </c>
      <c r="AK324" s="7" t="str">
        <f>IF(C324&lt;B324,"Ship Before Order","OK")</f>
        <v>OK</v>
      </c>
      <c r="AL324" s="7" t="str">
        <f>IF(ISNUMBER(B324),"Valid","Invalid")</f>
        <v>Valid</v>
      </c>
      <c r="AM324" s="7" t="str">
        <f t="shared" si="34"/>
        <v>Missmatched</v>
      </c>
      <c r="AN324" s="7" t="str">
        <f t="shared" si="35"/>
        <v>Missmatched</v>
      </c>
    </row>
    <row r="325" spans="1:40">
      <c r="A325" t="s">
        <v>1075</v>
      </c>
      <c r="B325" s="6">
        <v>45347</v>
      </c>
      <c r="C325" s="4">
        <v>45823</v>
      </c>
      <c r="D325" t="s">
        <v>1076</v>
      </c>
      <c r="E325" t="s">
        <v>47</v>
      </c>
      <c r="F325" t="s">
        <v>37</v>
      </c>
      <c r="G325" t="s">
        <v>63</v>
      </c>
      <c r="H325" t="s">
        <v>190</v>
      </c>
      <c r="I325" t="s">
        <v>191</v>
      </c>
      <c r="J325" t="s">
        <v>41</v>
      </c>
      <c r="K325" t="s">
        <v>57</v>
      </c>
      <c r="L325" t="s">
        <v>150</v>
      </c>
      <c r="M325" t="s">
        <v>59</v>
      </c>
      <c r="N325">
        <v>9</v>
      </c>
      <c r="O325">
        <v>1331.46</v>
      </c>
      <c r="P325">
        <v>0.15</v>
      </c>
      <c r="Q325" s="7">
        <f>IF(P325="", 0, P325)</f>
        <v>0.15</v>
      </c>
      <c r="R325">
        <v>10185.67</v>
      </c>
      <c r="S325">
        <v>6479.31</v>
      </c>
      <c r="T325" s="7">
        <f>N325*O325*(1-Q325)</f>
        <v>10185.669</v>
      </c>
      <c r="U325" s="7">
        <f t="shared" si="30"/>
        <v>3706.3589999999995</v>
      </c>
      <c r="V325">
        <v>3706.36</v>
      </c>
      <c r="W325" s="12">
        <f t="shared" si="31"/>
        <v>0.36387978050337189</v>
      </c>
      <c r="X325" t="s">
        <v>32</v>
      </c>
      <c r="Y325" t="str">
        <f t="shared" si="32"/>
        <v>Paid</v>
      </c>
      <c r="Z325" t="s">
        <v>33</v>
      </c>
      <c r="AA325">
        <f>C325-B325</f>
        <v>476</v>
      </c>
      <c r="AB325" t="str">
        <f>IF(B325="","Missing Order Date",
IF(C325="","Missing Ship Date","OK"))</f>
        <v>OK</v>
      </c>
      <c r="AC325" s="7" t="str">
        <f>IF(C325&lt;B325, "Invalid", "Valid")</f>
        <v>Valid</v>
      </c>
      <c r="AD325" s="7" t="str">
        <f>IF(COUNTIF($A:$A, A325)&gt;1, "Duplicate", "Unique")</f>
        <v>Unique</v>
      </c>
      <c r="AE325" s="7" t="str">
        <f>IF(G325="","Unknown",G325)</f>
        <v>West</v>
      </c>
      <c r="AF325" s="7" t="str">
        <f>IF(M325="","Unknown",M325)</f>
        <v>Standard Class</v>
      </c>
      <c r="AG325" s="7" t="str">
        <f>IF(P325&lt;0,"Invalid",
IF(P325&gt;1,"Invalid","Valid"))</f>
        <v>Valid</v>
      </c>
      <c r="AH325" s="7" t="str">
        <f>TEXT(B325,"mmmm")</f>
        <v>February</v>
      </c>
      <c r="AI325" s="7">
        <f t="shared" si="33"/>
        <v>2024</v>
      </c>
      <c r="AJ325" s="7" t="str">
        <f>IF(OR(R325&lt;0,C325&lt;B325),"Invalid",
IF(OR(G325="Unknown",M325="Unknown"),"Warning","Clean"))</f>
        <v>Clean</v>
      </c>
      <c r="AK325" s="7" t="str">
        <f>IF(C325&lt;B325,"Ship Before Order","OK")</f>
        <v>OK</v>
      </c>
      <c r="AL325" s="7" t="str">
        <f>IF(ISNUMBER(B325),"Valid","Invalid")</f>
        <v>Valid</v>
      </c>
      <c r="AM325" s="7" t="str">
        <f t="shared" si="34"/>
        <v>Missmatched</v>
      </c>
      <c r="AN325" s="7" t="str">
        <f t="shared" si="35"/>
        <v>Missmatched</v>
      </c>
    </row>
    <row r="326" spans="1:40">
      <c r="A326" t="s">
        <v>1077</v>
      </c>
      <c r="B326" s="6">
        <v>45869</v>
      </c>
      <c r="C326" s="4">
        <v>45824</v>
      </c>
      <c r="D326" t="s">
        <v>1078</v>
      </c>
      <c r="E326" t="s">
        <v>141</v>
      </c>
      <c r="F326" t="s">
        <v>95</v>
      </c>
      <c r="G326" t="s">
        <v>54</v>
      </c>
      <c r="H326" t="s">
        <v>84</v>
      </c>
      <c r="I326" t="s">
        <v>85</v>
      </c>
      <c r="J326" t="s">
        <v>28</v>
      </c>
      <c r="K326" t="s">
        <v>91</v>
      </c>
      <c r="L326" t="s">
        <v>1079</v>
      </c>
      <c r="M326" t="s">
        <v>44</v>
      </c>
      <c r="N326">
        <v>1</v>
      </c>
      <c r="O326">
        <v>1947.88</v>
      </c>
      <c r="P326">
        <v>0.15</v>
      </c>
      <c r="Q326" s="7">
        <f>IF(P326="", 0, P326)</f>
        <v>0.15</v>
      </c>
      <c r="R326">
        <v>1655.7</v>
      </c>
      <c r="S326">
        <v>1354.8</v>
      </c>
      <c r="T326" s="7">
        <f>N326*O326*(1-Q326)</f>
        <v>1655.6980000000001</v>
      </c>
      <c r="U326" s="7">
        <f t="shared" si="30"/>
        <v>300.89800000000014</v>
      </c>
      <c r="V326">
        <v>300.89999999999998</v>
      </c>
      <c r="W326" s="12">
        <f t="shared" si="31"/>
        <v>0.1817348332848141</v>
      </c>
      <c r="X326" t="s">
        <v>32</v>
      </c>
      <c r="Y326" t="str">
        <f t="shared" si="32"/>
        <v>Paid</v>
      </c>
      <c r="Z326" t="s">
        <v>103</v>
      </c>
      <c r="AA326">
        <f>C326-B326</f>
        <v>-45</v>
      </c>
      <c r="AB326" t="str">
        <f>IF(B326="","Missing Order Date",
IF(C326="","Missing Ship Date","OK"))</f>
        <v>OK</v>
      </c>
      <c r="AC326" s="7" t="str">
        <f>IF(C326&lt;B326, "Invalid", "Valid")</f>
        <v>Invalid</v>
      </c>
      <c r="AD326" s="7" t="str">
        <f>IF(COUNTIF($A:$A, A326)&gt;1, "Duplicate", "Unique")</f>
        <v>Unique</v>
      </c>
      <c r="AE326" s="7" t="str">
        <f>IF(G326="","Unknown",G326)</f>
        <v>South</v>
      </c>
      <c r="AF326" s="7" t="str">
        <f>IF(M326="","Unknown",M326)</f>
        <v>Same Day</v>
      </c>
      <c r="AG326" s="7" t="str">
        <f>IF(P326&lt;0,"Invalid",
IF(P326&gt;1,"Invalid","Valid"))</f>
        <v>Valid</v>
      </c>
      <c r="AH326" s="7" t="str">
        <f>TEXT(B326,"mmmm")</f>
        <v>July</v>
      </c>
      <c r="AI326" s="7">
        <f t="shared" si="33"/>
        <v>2025</v>
      </c>
      <c r="AJ326" s="7" t="str">
        <f>IF(OR(R326&lt;0,C326&lt;B326),"Invalid",
IF(OR(G326="Unknown",M326="Unknown"),"Warning","Clean"))</f>
        <v>Invalid</v>
      </c>
      <c r="AK326" s="7" t="str">
        <f>IF(C326&lt;B326,"Ship Before Order","OK")</f>
        <v>Ship Before Order</v>
      </c>
      <c r="AL326" s="7" t="str">
        <f>IF(ISNUMBER(B326),"Valid","Invalid")</f>
        <v>Valid</v>
      </c>
      <c r="AM326" s="7" t="str">
        <f t="shared" si="34"/>
        <v>Missmatched</v>
      </c>
      <c r="AN326" s="7" t="str">
        <f t="shared" si="35"/>
        <v>Missmatched</v>
      </c>
    </row>
    <row r="327" spans="1:40">
      <c r="A327" t="s">
        <v>1080</v>
      </c>
      <c r="B327" s="6">
        <v>45916</v>
      </c>
      <c r="C327" s="4">
        <v>45825</v>
      </c>
      <c r="D327" t="s">
        <v>1081</v>
      </c>
      <c r="E327" t="s">
        <v>132</v>
      </c>
      <c r="F327" t="s">
        <v>95</v>
      </c>
      <c r="G327" t="s">
        <v>38</v>
      </c>
      <c r="H327" t="s">
        <v>99</v>
      </c>
      <c r="I327" t="s">
        <v>100</v>
      </c>
      <c r="J327" t="s">
        <v>74</v>
      </c>
      <c r="K327" t="s">
        <v>80</v>
      </c>
      <c r="L327" t="s">
        <v>1082</v>
      </c>
      <c r="M327" t="s">
        <v>31</v>
      </c>
      <c r="N327">
        <v>5</v>
      </c>
      <c r="O327">
        <v>3671.2</v>
      </c>
      <c r="P327">
        <v>0.15</v>
      </c>
      <c r="Q327" s="7">
        <f>IF(P327="", 0, P327)</f>
        <v>0.15</v>
      </c>
      <c r="R327">
        <v>15602.6</v>
      </c>
      <c r="S327">
        <v>11908.52</v>
      </c>
      <c r="T327" s="7">
        <f>N327*O327*(1-Q327)</f>
        <v>15602.6</v>
      </c>
      <c r="U327" s="7">
        <f t="shared" si="30"/>
        <v>3694.08</v>
      </c>
      <c r="V327">
        <v>3694.08</v>
      </c>
      <c r="W327" s="12">
        <f t="shared" si="31"/>
        <v>0.236760539910015</v>
      </c>
      <c r="X327" t="s">
        <v>32</v>
      </c>
      <c r="Y327" t="str">
        <f t="shared" si="32"/>
        <v>Paid</v>
      </c>
      <c r="Z327" t="s">
        <v>33</v>
      </c>
      <c r="AA327">
        <f>C327-B327</f>
        <v>-91</v>
      </c>
      <c r="AB327" t="str">
        <f>IF(B327="","Missing Order Date",
IF(C327="","Missing Ship Date","OK"))</f>
        <v>OK</v>
      </c>
      <c r="AC327" s="7" t="str">
        <f>IF(C327&lt;B327, "Invalid", "Valid")</f>
        <v>Invalid</v>
      </c>
      <c r="AD327" s="7" t="str">
        <f>IF(COUNTIF($A:$A, A327)&gt;1, "Duplicate", "Unique")</f>
        <v>Unique</v>
      </c>
      <c r="AE327" s="7" t="str">
        <f>IF(G327="","Unknown",G327)</f>
        <v>East</v>
      </c>
      <c r="AF327" s="7" t="str">
        <f>IF(M327="","Unknown",M327)</f>
        <v>Second Class</v>
      </c>
      <c r="AG327" s="7" t="str">
        <f>IF(P327&lt;0,"Invalid",
IF(P327&gt;1,"Invalid","Valid"))</f>
        <v>Valid</v>
      </c>
      <c r="AH327" s="7" t="str">
        <f>TEXT(B327,"mmmm")</f>
        <v>September</v>
      </c>
      <c r="AI327" s="7">
        <f t="shared" si="33"/>
        <v>2025</v>
      </c>
      <c r="AJ327" s="7" t="str">
        <f>IF(OR(R327&lt;0,C327&lt;B327),"Invalid",
IF(OR(G327="Unknown",M327="Unknown"),"Warning","Clean"))</f>
        <v>Invalid</v>
      </c>
      <c r="AK327" s="7" t="str">
        <f>IF(C327&lt;B327,"Ship Before Order","OK")</f>
        <v>Ship Before Order</v>
      </c>
      <c r="AL327" s="7" t="str">
        <f>IF(ISNUMBER(B327),"Valid","Invalid")</f>
        <v>Valid</v>
      </c>
      <c r="AM327" s="7" t="str">
        <f t="shared" si="34"/>
        <v>Ok</v>
      </c>
      <c r="AN327" s="7" t="str">
        <f t="shared" si="35"/>
        <v>Ok</v>
      </c>
    </row>
    <row r="328" spans="1:40">
      <c r="A328" t="s">
        <v>1083</v>
      </c>
      <c r="B328" s="6">
        <v>45860</v>
      </c>
      <c r="C328" s="4">
        <v>45826</v>
      </c>
      <c r="D328" t="s">
        <v>1084</v>
      </c>
      <c r="E328" t="s">
        <v>132</v>
      </c>
      <c r="F328" t="s">
        <v>90</v>
      </c>
      <c r="G328" t="s">
        <v>38</v>
      </c>
      <c r="H328" t="s">
        <v>228</v>
      </c>
      <c r="I328" t="s">
        <v>229</v>
      </c>
      <c r="J328" t="s">
        <v>41</v>
      </c>
      <c r="K328" t="s">
        <v>57</v>
      </c>
      <c r="L328" t="s">
        <v>1085</v>
      </c>
      <c r="M328" t="s">
        <v>44</v>
      </c>
      <c r="N328">
        <v>5</v>
      </c>
      <c r="O328">
        <v>3187.05</v>
      </c>
      <c r="P328">
        <v>0.05</v>
      </c>
      <c r="Q328" s="7">
        <f>IF(P328="", 0, P328)</f>
        <v>0.05</v>
      </c>
      <c r="R328">
        <v>15138.49</v>
      </c>
      <c r="S328">
        <v>11235.72</v>
      </c>
      <c r="T328" s="7">
        <f>N328*O328*(1-Q328)</f>
        <v>15138.487499999999</v>
      </c>
      <c r="U328" s="7">
        <f t="shared" si="30"/>
        <v>3902.7674999999999</v>
      </c>
      <c r="V328">
        <v>3902.77</v>
      </c>
      <c r="W328" s="12">
        <f t="shared" si="31"/>
        <v>0.25780432160082045</v>
      </c>
      <c r="X328" t="s">
        <v>32</v>
      </c>
      <c r="Y328" t="str">
        <f t="shared" si="32"/>
        <v>Paid</v>
      </c>
      <c r="Z328" t="s">
        <v>33</v>
      </c>
      <c r="AA328">
        <f>C328-B328</f>
        <v>-34</v>
      </c>
      <c r="AB328" t="str">
        <f>IF(B328="","Missing Order Date",
IF(C328="","Missing Ship Date","OK"))</f>
        <v>OK</v>
      </c>
      <c r="AC328" s="7" t="str">
        <f>IF(C328&lt;B328, "Invalid", "Valid")</f>
        <v>Invalid</v>
      </c>
      <c r="AD328" s="7" t="str">
        <f>IF(COUNTIF($A:$A, A328)&gt;1, "Duplicate", "Unique")</f>
        <v>Unique</v>
      </c>
      <c r="AE328" s="7" t="str">
        <f>IF(G328="","Unknown",G328)</f>
        <v>East</v>
      </c>
      <c r="AF328" s="7" t="str">
        <f>IF(M328="","Unknown",M328)</f>
        <v>Same Day</v>
      </c>
      <c r="AG328" s="7" t="str">
        <f>IF(P328&lt;0,"Invalid",
IF(P328&gt;1,"Invalid","Valid"))</f>
        <v>Valid</v>
      </c>
      <c r="AH328" s="7" t="str">
        <f>TEXT(B328,"mmmm")</f>
        <v>July</v>
      </c>
      <c r="AI328" s="7">
        <f t="shared" si="33"/>
        <v>2025</v>
      </c>
      <c r="AJ328" s="7" t="str">
        <f>IF(OR(R328&lt;0,C328&lt;B328),"Invalid",
IF(OR(G328="Unknown",M328="Unknown"),"Warning","Clean"))</f>
        <v>Invalid</v>
      </c>
      <c r="AK328" s="7" t="str">
        <f>IF(C328&lt;B328,"Ship Before Order","OK")</f>
        <v>Ship Before Order</v>
      </c>
      <c r="AL328" s="7" t="str">
        <f>IF(ISNUMBER(B328),"Valid","Invalid")</f>
        <v>Valid</v>
      </c>
      <c r="AM328" s="7" t="str">
        <f t="shared" si="34"/>
        <v>Missmatched</v>
      </c>
      <c r="AN328" s="7" t="str">
        <f t="shared" si="35"/>
        <v>Missmatched</v>
      </c>
    </row>
    <row r="329" spans="1:40">
      <c r="A329" t="s">
        <v>1086</v>
      </c>
      <c r="B329" s="6">
        <v>45497</v>
      </c>
      <c r="C329" s="4">
        <v>45827</v>
      </c>
      <c r="D329" t="s">
        <v>1087</v>
      </c>
      <c r="E329" t="s">
        <v>47</v>
      </c>
      <c r="F329" t="s">
        <v>24</v>
      </c>
      <c r="G329" t="s">
        <v>63</v>
      </c>
      <c r="H329" t="s">
        <v>26</v>
      </c>
      <c r="I329" t="s">
        <v>109</v>
      </c>
      <c r="J329" t="s">
        <v>74</v>
      </c>
      <c r="K329" t="s">
        <v>75</v>
      </c>
      <c r="L329" t="s">
        <v>1088</v>
      </c>
      <c r="M329" t="s">
        <v>31</v>
      </c>
      <c r="N329">
        <v>3</v>
      </c>
      <c r="O329">
        <v>1834.55</v>
      </c>
      <c r="P329">
        <v>0.2</v>
      </c>
      <c r="Q329" s="7">
        <f>IF(P329="", 0, P329)</f>
        <v>0.2</v>
      </c>
      <c r="R329">
        <v>4402.92</v>
      </c>
      <c r="S329">
        <v>2993.94</v>
      </c>
      <c r="T329" s="7">
        <f>N329*O329*(1-Q329)</f>
        <v>4402.92</v>
      </c>
      <c r="U329" s="7">
        <f t="shared" si="30"/>
        <v>1408.98</v>
      </c>
      <c r="V329">
        <v>1408.98</v>
      </c>
      <c r="W329" s="12">
        <f t="shared" si="31"/>
        <v>0.32001035676323897</v>
      </c>
      <c r="X329" t="s">
        <v>111</v>
      </c>
      <c r="Y329" t="str">
        <f t="shared" si="32"/>
        <v>Pending</v>
      </c>
      <c r="Z329" t="s">
        <v>68</v>
      </c>
      <c r="AA329">
        <f>C329-B329</f>
        <v>330</v>
      </c>
      <c r="AB329" t="str">
        <f>IF(B329="","Missing Order Date",
IF(C329="","Missing Ship Date","OK"))</f>
        <v>OK</v>
      </c>
      <c r="AC329" s="7" t="str">
        <f>IF(C329&lt;B329, "Invalid", "Valid")</f>
        <v>Valid</v>
      </c>
      <c r="AD329" s="7" t="str">
        <f>IF(COUNTIF($A:$A, A329)&gt;1, "Duplicate", "Unique")</f>
        <v>Unique</v>
      </c>
      <c r="AE329" s="7" t="str">
        <f>IF(G329="","Unknown",G329)</f>
        <v>West</v>
      </c>
      <c r="AF329" s="7" t="str">
        <f>IF(M329="","Unknown",M329)</f>
        <v>Second Class</v>
      </c>
      <c r="AG329" s="7" t="str">
        <f>IF(P329&lt;0,"Invalid",
IF(P329&gt;1,"Invalid","Valid"))</f>
        <v>Valid</v>
      </c>
      <c r="AH329" s="7" t="str">
        <f>TEXT(B329,"mmmm")</f>
        <v>July</v>
      </c>
      <c r="AI329" s="7">
        <f t="shared" si="33"/>
        <v>2024</v>
      </c>
      <c r="AJ329" s="7" t="str">
        <f>IF(OR(R329&lt;0,C329&lt;B329),"Invalid",
IF(OR(G329="Unknown",M329="Unknown"),"Warning","Clean"))</f>
        <v>Clean</v>
      </c>
      <c r="AK329" s="7" t="str">
        <f>IF(C329&lt;B329,"Ship Before Order","OK")</f>
        <v>OK</v>
      </c>
      <c r="AL329" s="7" t="str">
        <f>IF(ISNUMBER(B329),"Valid","Invalid")</f>
        <v>Valid</v>
      </c>
      <c r="AM329" s="7" t="str">
        <f t="shared" si="34"/>
        <v>Ok</v>
      </c>
      <c r="AN329" s="7" t="str">
        <f t="shared" si="35"/>
        <v>Ok</v>
      </c>
    </row>
    <row r="330" spans="1:40">
      <c r="A330" t="s">
        <v>1089</v>
      </c>
      <c r="B330" s="6">
        <v>45806</v>
      </c>
      <c r="C330" s="4">
        <v>45828</v>
      </c>
      <c r="D330" t="s">
        <v>1090</v>
      </c>
      <c r="E330" t="s">
        <v>162</v>
      </c>
      <c r="F330" t="s">
        <v>24</v>
      </c>
      <c r="G330" t="s">
        <v>63</v>
      </c>
      <c r="H330" t="s">
        <v>64</v>
      </c>
      <c r="I330" t="s">
        <v>65</v>
      </c>
      <c r="J330" t="s">
        <v>28</v>
      </c>
      <c r="K330" t="s">
        <v>124</v>
      </c>
      <c r="L330" t="s">
        <v>1091</v>
      </c>
      <c r="M330" t="s">
        <v>50</v>
      </c>
      <c r="N330">
        <v>6</v>
      </c>
      <c r="O330">
        <v>3100.68</v>
      </c>
      <c r="P330">
        <v>0</v>
      </c>
      <c r="Q330" s="7">
        <f>IF(P330="", 0, P330)</f>
        <v>0</v>
      </c>
      <c r="R330">
        <v>18604.080000000002</v>
      </c>
      <c r="S330">
        <v>15834.3</v>
      </c>
      <c r="T330" s="7">
        <f>N330*O330*(1-Q330)</f>
        <v>18604.079999999998</v>
      </c>
      <c r="U330" s="7">
        <f t="shared" si="30"/>
        <v>2769.7799999999988</v>
      </c>
      <c r="V330">
        <v>2769.78</v>
      </c>
      <c r="W330" s="12">
        <f t="shared" si="31"/>
        <v>0.1488802456235406</v>
      </c>
      <c r="X330" t="s">
        <v>32</v>
      </c>
      <c r="Y330" t="str">
        <f t="shared" si="32"/>
        <v>Paid</v>
      </c>
      <c r="Z330" t="s">
        <v>33</v>
      </c>
      <c r="AA330">
        <f>C330-B330</f>
        <v>22</v>
      </c>
      <c r="AB330" t="str">
        <f>IF(B330="","Missing Order Date",
IF(C330="","Missing Ship Date","OK"))</f>
        <v>OK</v>
      </c>
      <c r="AC330" s="7" t="str">
        <f>IF(C330&lt;B330, "Invalid", "Valid")</f>
        <v>Valid</v>
      </c>
      <c r="AD330" s="7" t="str">
        <f>IF(COUNTIF($A:$A, A330)&gt;1, "Duplicate", "Unique")</f>
        <v>Unique</v>
      </c>
      <c r="AE330" s="7" t="str">
        <f>IF(G330="","Unknown",G330)</f>
        <v>West</v>
      </c>
      <c r="AF330" s="7" t="str">
        <f>IF(M330="","Unknown",M330)</f>
        <v>First Class</v>
      </c>
      <c r="AG330" s="7" t="str">
        <f>IF(P330&lt;0,"Invalid",
IF(P330&gt;1,"Invalid","Valid"))</f>
        <v>Valid</v>
      </c>
      <c r="AH330" s="7" t="str">
        <f>TEXT(B330,"mmmm")</f>
        <v>May</v>
      </c>
      <c r="AI330" s="7">
        <f t="shared" si="33"/>
        <v>2025</v>
      </c>
      <c r="AJ330" s="7" t="str">
        <f>IF(OR(R330&lt;0,C330&lt;B330),"Invalid",
IF(OR(G330="Unknown",M330="Unknown"),"Warning","Clean"))</f>
        <v>Clean</v>
      </c>
      <c r="AK330" s="7" t="str">
        <f>IF(C330&lt;B330,"Ship Before Order","OK")</f>
        <v>OK</v>
      </c>
      <c r="AL330" s="7" t="str">
        <f>IF(ISNUMBER(B330),"Valid","Invalid")</f>
        <v>Valid</v>
      </c>
      <c r="AM330" s="7" t="str">
        <f t="shared" si="34"/>
        <v>Ok</v>
      </c>
      <c r="AN330" s="7" t="str">
        <f t="shared" si="35"/>
        <v>Ok</v>
      </c>
    </row>
    <row r="331" spans="1:40">
      <c r="A331" t="s">
        <v>1092</v>
      </c>
      <c r="B331" s="6">
        <v>45996</v>
      </c>
      <c r="C331" s="4">
        <v>45829</v>
      </c>
      <c r="D331" t="s">
        <v>1093</v>
      </c>
      <c r="E331" t="s">
        <v>79</v>
      </c>
      <c r="F331" t="s">
        <v>37</v>
      </c>
      <c r="G331" t="s">
        <v>63</v>
      </c>
      <c r="H331" t="s">
        <v>64</v>
      </c>
      <c r="I331" t="s">
        <v>65</v>
      </c>
      <c r="J331" t="s">
        <v>28</v>
      </c>
      <c r="K331" t="s">
        <v>124</v>
      </c>
      <c r="L331" t="s">
        <v>1094</v>
      </c>
      <c r="M331" t="s">
        <v>59</v>
      </c>
      <c r="N331">
        <v>4</v>
      </c>
      <c r="O331">
        <v>4053.03</v>
      </c>
      <c r="P331">
        <v>0.05</v>
      </c>
      <c r="Q331" s="7">
        <f>IF(P331="", 0, P331)</f>
        <v>0.05</v>
      </c>
      <c r="R331">
        <v>15401.51</v>
      </c>
      <c r="S331">
        <v>8650.42</v>
      </c>
      <c r="T331" s="7">
        <f>N331*O331*(1-Q331)</f>
        <v>15401.513999999999</v>
      </c>
      <c r="U331" s="7">
        <f t="shared" si="30"/>
        <v>6751.0939999999991</v>
      </c>
      <c r="V331">
        <v>6751.09</v>
      </c>
      <c r="W331" s="12">
        <f t="shared" si="31"/>
        <v>0.43833963336331738</v>
      </c>
      <c r="X331" t="s">
        <v>32</v>
      </c>
      <c r="Y331" t="str">
        <f t="shared" si="32"/>
        <v>Paid</v>
      </c>
      <c r="Z331" t="s">
        <v>33</v>
      </c>
      <c r="AA331">
        <f>C331-B331</f>
        <v>-167</v>
      </c>
      <c r="AB331" t="str">
        <f>IF(B331="","Missing Order Date",
IF(C331="","Missing Ship Date","OK"))</f>
        <v>OK</v>
      </c>
      <c r="AC331" s="7" t="str">
        <f>IF(C331&lt;B331, "Invalid", "Valid")</f>
        <v>Invalid</v>
      </c>
      <c r="AD331" s="7" t="str">
        <f>IF(COUNTIF($A:$A, A331)&gt;1, "Duplicate", "Unique")</f>
        <v>Unique</v>
      </c>
      <c r="AE331" s="7" t="str">
        <f>IF(G331="","Unknown",G331)</f>
        <v>West</v>
      </c>
      <c r="AF331" s="7" t="str">
        <f>IF(M331="","Unknown",M331)</f>
        <v>Standard Class</v>
      </c>
      <c r="AG331" s="7" t="str">
        <f>IF(P331&lt;0,"Invalid",
IF(P331&gt;1,"Invalid","Valid"))</f>
        <v>Valid</v>
      </c>
      <c r="AH331" s="7" t="str">
        <f>TEXT(B331,"mmmm")</f>
        <v>December</v>
      </c>
      <c r="AI331" s="7">
        <f t="shared" si="33"/>
        <v>2025</v>
      </c>
      <c r="AJ331" s="7" t="str">
        <f>IF(OR(R331&lt;0,C331&lt;B331),"Invalid",
IF(OR(G331="Unknown",M331="Unknown"),"Warning","Clean"))</f>
        <v>Invalid</v>
      </c>
      <c r="AK331" s="7" t="str">
        <f>IF(C331&lt;B331,"Ship Before Order","OK")</f>
        <v>Ship Before Order</v>
      </c>
      <c r="AL331" s="7" t="str">
        <f>IF(ISNUMBER(B331),"Valid","Invalid")</f>
        <v>Valid</v>
      </c>
      <c r="AM331" s="7" t="str">
        <f t="shared" si="34"/>
        <v>Missmatched</v>
      </c>
      <c r="AN331" s="7" t="str">
        <f t="shared" si="35"/>
        <v>Missmatched</v>
      </c>
    </row>
    <row r="332" spans="1:40">
      <c r="A332" t="s">
        <v>1095</v>
      </c>
      <c r="B332" s="6">
        <v>45428</v>
      </c>
      <c r="C332" s="4">
        <v>45830</v>
      </c>
      <c r="D332" t="s">
        <v>1096</v>
      </c>
      <c r="E332" t="s">
        <v>53</v>
      </c>
      <c r="F332" t="s">
        <v>95</v>
      </c>
      <c r="G332" t="s">
        <v>25</v>
      </c>
      <c r="H332" t="s">
        <v>122</v>
      </c>
      <c r="I332" t="s">
        <v>123</v>
      </c>
      <c r="J332" t="s">
        <v>74</v>
      </c>
      <c r="K332" t="s">
        <v>75</v>
      </c>
      <c r="L332" t="s">
        <v>1097</v>
      </c>
      <c r="M332" t="s">
        <v>44</v>
      </c>
      <c r="N332">
        <v>1</v>
      </c>
      <c r="O332">
        <v>783.09</v>
      </c>
      <c r="P332">
        <v>0</v>
      </c>
      <c r="Q332" s="7">
        <f>IF(P332="", 0, P332)</f>
        <v>0</v>
      </c>
      <c r="R332">
        <v>783.09</v>
      </c>
      <c r="S332">
        <v>503.89</v>
      </c>
      <c r="T332" s="7">
        <f>N332*O332*(1-Q332)</f>
        <v>783.09</v>
      </c>
      <c r="U332" s="7">
        <f t="shared" si="30"/>
        <v>279.20000000000005</v>
      </c>
      <c r="V332">
        <v>279.2</v>
      </c>
      <c r="W332" s="12">
        <f t="shared" si="31"/>
        <v>0.3565362857398256</v>
      </c>
      <c r="X332" t="s">
        <v>155</v>
      </c>
      <c r="Y332" t="str">
        <f t="shared" si="32"/>
        <v>Failed</v>
      </c>
      <c r="Z332" t="s">
        <v>68</v>
      </c>
      <c r="AA332">
        <f>C332-B332</f>
        <v>402</v>
      </c>
      <c r="AB332" t="str">
        <f>IF(B332="","Missing Order Date",
IF(C332="","Missing Ship Date","OK"))</f>
        <v>OK</v>
      </c>
      <c r="AC332" s="7" t="str">
        <f>IF(C332&lt;B332, "Invalid", "Valid")</f>
        <v>Valid</v>
      </c>
      <c r="AD332" s="7" t="str">
        <f>IF(COUNTIF($A:$A, A332)&gt;1, "Duplicate", "Unique")</f>
        <v>Unique</v>
      </c>
      <c r="AE332" s="7" t="str">
        <f>IF(G332="","Unknown",G332)</f>
        <v>North</v>
      </c>
      <c r="AF332" s="7" t="str">
        <f>IF(M332="","Unknown",M332)</f>
        <v>Same Day</v>
      </c>
      <c r="AG332" s="7" t="str">
        <f>IF(P332&lt;0,"Invalid",
IF(P332&gt;1,"Invalid","Valid"))</f>
        <v>Valid</v>
      </c>
      <c r="AH332" s="7" t="str">
        <f>TEXT(B332,"mmmm")</f>
        <v>May</v>
      </c>
      <c r="AI332" s="7">
        <f t="shared" si="33"/>
        <v>2024</v>
      </c>
      <c r="AJ332" s="7" t="str">
        <f>IF(OR(R332&lt;0,C332&lt;B332),"Invalid",
IF(OR(G332="Unknown",M332="Unknown"),"Warning","Clean"))</f>
        <v>Clean</v>
      </c>
      <c r="AK332" s="7" t="str">
        <f>IF(C332&lt;B332,"Ship Before Order","OK")</f>
        <v>OK</v>
      </c>
      <c r="AL332" s="7" t="str">
        <f>IF(ISNUMBER(B332),"Valid","Invalid")</f>
        <v>Valid</v>
      </c>
      <c r="AM332" s="7" t="str">
        <f t="shared" si="34"/>
        <v>Ok</v>
      </c>
      <c r="AN332" s="7" t="str">
        <f t="shared" si="35"/>
        <v>Ok</v>
      </c>
    </row>
    <row r="333" spans="1:40">
      <c r="A333" t="s">
        <v>1098</v>
      </c>
      <c r="B333" s="6">
        <v>45630</v>
      </c>
      <c r="C333" s="4">
        <v>45831</v>
      </c>
      <c r="D333" t="s">
        <v>1099</v>
      </c>
      <c r="E333" t="s">
        <v>132</v>
      </c>
      <c r="F333" t="s">
        <v>95</v>
      </c>
      <c r="G333" t="s">
        <v>38</v>
      </c>
      <c r="H333" t="s">
        <v>39</v>
      </c>
      <c r="I333" t="s">
        <v>40</v>
      </c>
      <c r="J333" t="s">
        <v>28</v>
      </c>
      <c r="K333" t="s">
        <v>153</v>
      </c>
      <c r="L333" t="s">
        <v>1100</v>
      </c>
      <c r="M333" t="s">
        <v>31</v>
      </c>
      <c r="N333">
        <v>4</v>
      </c>
      <c r="O333">
        <v>2685.66</v>
      </c>
      <c r="P333">
        <v>0</v>
      </c>
      <c r="Q333" s="7">
        <f>IF(P333="", 0, P333)</f>
        <v>0</v>
      </c>
      <c r="R333">
        <v>10742.64</v>
      </c>
      <c r="S333">
        <v>6477.37</v>
      </c>
      <c r="T333" s="7">
        <f>N333*O333*(1-Q333)</f>
        <v>10742.64</v>
      </c>
      <c r="U333" s="7">
        <f t="shared" si="30"/>
        <v>4265.2699999999995</v>
      </c>
      <c r="V333">
        <v>4265.2700000000004</v>
      </c>
      <c r="W333" s="12">
        <f t="shared" si="31"/>
        <v>0.39704113700170535</v>
      </c>
      <c r="X333" t="s">
        <v>32</v>
      </c>
      <c r="Y333" t="str">
        <f t="shared" si="32"/>
        <v>Paid</v>
      </c>
      <c r="Z333" t="s">
        <v>103</v>
      </c>
      <c r="AA333">
        <f>C333-B333</f>
        <v>201</v>
      </c>
      <c r="AB333" t="str">
        <f>IF(B333="","Missing Order Date",
IF(C333="","Missing Ship Date","OK"))</f>
        <v>OK</v>
      </c>
      <c r="AC333" s="7" t="str">
        <f>IF(C333&lt;B333, "Invalid", "Valid")</f>
        <v>Valid</v>
      </c>
      <c r="AD333" s="7" t="str">
        <f>IF(COUNTIF($A:$A, A333)&gt;1, "Duplicate", "Unique")</f>
        <v>Duplicate</v>
      </c>
      <c r="AE333" s="7" t="str">
        <f>IF(G333="","Unknown",G333)</f>
        <v>East</v>
      </c>
      <c r="AF333" s="7" t="str">
        <f>IF(M333="","Unknown",M333)</f>
        <v>Second Class</v>
      </c>
      <c r="AG333" s="7" t="str">
        <f>IF(P333&lt;0,"Invalid",
IF(P333&gt;1,"Invalid","Valid"))</f>
        <v>Valid</v>
      </c>
      <c r="AH333" s="7" t="str">
        <f>TEXT(B333,"mmmm")</f>
        <v>December</v>
      </c>
      <c r="AI333" s="7">
        <f t="shared" si="33"/>
        <v>2024</v>
      </c>
      <c r="AJ333" s="7" t="str">
        <f>IF(OR(R333&lt;0,C333&lt;B333),"Invalid",
IF(OR(G333="Unknown",M333="Unknown"),"Warning","Clean"))</f>
        <v>Clean</v>
      </c>
      <c r="AK333" s="7" t="str">
        <f>IF(C333&lt;B333,"Ship Before Order","OK")</f>
        <v>OK</v>
      </c>
      <c r="AL333" s="7" t="str">
        <f>IF(ISNUMBER(B333),"Valid","Invalid")</f>
        <v>Valid</v>
      </c>
      <c r="AM333" s="7" t="str">
        <f t="shared" si="34"/>
        <v>Ok</v>
      </c>
      <c r="AN333" s="7" t="str">
        <f t="shared" si="35"/>
        <v>Ok</v>
      </c>
    </row>
    <row r="334" spans="1:40">
      <c r="A334" t="s">
        <v>1101</v>
      </c>
      <c r="B334" s="6">
        <v>45804</v>
      </c>
      <c r="C334" s="4">
        <v>45832</v>
      </c>
      <c r="D334" t="s">
        <v>1102</v>
      </c>
      <c r="E334" t="s">
        <v>128</v>
      </c>
      <c r="F334" t="s">
        <v>24</v>
      </c>
      <c r="G334" t="s">
        <v>54</v>
      </c>
      <c r="H334" t="s">
        <v>84</v>
      </c>
      <c r="I334" t="s">
        <v>85</v>
      </c>
      <c r="J334" t="s">
        <v>74</v>
      </c>
      <c r="K334" t="s">
        <v>274</v>
      </c>
      <c r="L334" t="s">
        <v>1103</v>
      </c>
      <c r="M334" t="s">
        <v>31</v>
      </c>
      <c r="N334">
        <v>2</v>
      </c>
      <c r="O334">
        <v>3911.96</v>
      </c>
      <c r="P334">
        <v>0</v>
      </c>
      <c r="Q334" s="7">
        <f>IF(P334="", 0, P334)</f>
        <v>0</v>
      </c>
      <c r="R334">
        <v>7823.92</v>
      </c>
      <c r="S334">
        <v>6034.63</v>
      </c>
      <c r="T334" s="7">
        <f>N334*O334*(1-Q334)</f>
        <v>7823.92</v>
      </c>
      <c r="U334" s="7">
        <f t="shared" si="30"/>
        <v>1789.29</v>
      </c>
      <c r="V334">
        <v>1789.29</v>
      </c>
      <c r="W334" s="12">
        <f t="shared" si="31"/>
        <v>0.22869482305545047</v>
      </c>
      <c r="X334" t="s">
        <v>32</v>
      </c>
      <c r="Y334" t="str">
        <f t="shared" si="32"/>
        <v>Paid</v>
      </c>
      <c r="Z334" t="s">
        <v>33</v>
      </c>
      <c r="AA334">
        <f>C334-B334</f>
        <v>28</v>
      </c>
      <c r="AB334" t="str">
        <f>IF(B334="","Missing Order Date",
IF(C334="","Missing Ship Date","OK"))</f>
        <v>OK</v>
      </c>
      <c r="AC334" s="7" t="str">
        <f>IF(C334&lt;B334, "Invalid", "Valid")</f>
        <v>Valid</v>
      </c>
      <c r="AD334" s="7" t="str">
        <f>IF(COUNTIF($A:$A, A334)&gt;1, "Duplicate", "Unique")</f>
        <v>Unique</v>
      </c>
      <c r="AE334" s="7" t="str">
        <f>IF(G334="","Unknown",G334)</f>
        <v>South</v>
      </c>
      <c r="AF334" s="7" t="str">
        <f>IF(M334="","Unknown",M334)</f>
        <v>Second Class</v>
      </c>
      <c r="AG334" s="7" t="str">
        <f>IF(P334&lt;0,"Invalid",
IF(P334&gt;1,"Invalid","Valid"))</f>
        <v>Valid</v>
      </c>
      <c r="AH334" s="7" t="str">
        <f>TEXT(B334,"mmmm")</f>
        <v>May</v>
      </c>
      <c r="AI334" s="7">
        <f t="shared" si="33"/>
        <v>2025</v>
      </c>
      <c r="AJ334" s="7" t="str">
        <f>IF(OR(R334&lt;0,C334&lt;B334),"Invalid",
IF(OR(G334="Unknown",M334="Unknown"),"Warning","Clean"))</f>
        <v>Clean</v>
      </c>
      <c r="AK334" s="7" t="str">
        <f>IF(C334&lt;B334,"Ship Before Order","OK")</f>
        <v>OK</v>
      </c>
      <c r="AL334" s="7" t="str">
        <f>IF(ISNUMBER(B334),"Valid","Invalid")</f>
        <v>Valid</v>
      </c>
      <c r="AM334" s="7" t="str">
        <f t="shared" si="34"/>
        <v>Ok</v>
      </c>
      <c r="AN334" s="7" t="str">
        <f t="shared" si="35"/>
        <v>Ok</v>
      </c>
    </row>
    <row r="335" spans="1:40">
      <c r="A335" t="s">
        <v>1104</v>
      </c>
      <c r="B335" s="6">
        <v>45830</v>
      </c>
      <c r="C335" s="4">
        <v>45833</v>
      </c>
      <c r="D335" t="s">
        <v>1105</v>
      </c>
      <c r="E335" t="s">
        <v>141</v>
      </c>
      <c r="F335" t="s">
        <v>95</v>
      </c>
      <c r="G335" t="s">
        <v>2785</v>
      </c>
      <c r="H335" t="s">
        <v>350</v>
      </c>
      <c r="I335" t="s">
        <v>351</v>
      </c>
      <c r="J335" t="s">
        <v>74</v>
      </c>
      <c r="K335" t="s">
        <v>171</v>
      </c>
      <c r="L335" t="s">
        <v>1106</v>
      </c>
      <c r="M335" t="s">
        <v>50</v>
      </c>
      <c r="N335">
        <v>2</v>
      </c>
      <c r="O335">
        <v>1468.05</v>
      </c>
      <c r="P335">
        <v>0</v>
      </c>
      <c r="Q335" s="7">
        <f>IF(P335="", 0, P335)</f>
        <v>0</v>
      </c>
      <c r="R335">
        <v>2936.1</v>
      </c>
      <c r="S335">
        <v>1923.1</v>
      </c>
      <c r="T335" s="7">
        <f>N335*O335*(1-Q335)</f>
        <v>2936.1</v>
      </c>
      <c r="U335" s="7">
        <f t="shared" si="30"/>
        <v>1013</v>
      </c>
      <c r="V335">
        <v>1013</v>
      </c>
      <c r="W335" s="12">
        <f t="shared" si="31"/>
        <v>0.34501549674738602</v>
      </c>
      <c r="X335" t="s">
        <v>32</v>
      </c>
      <c r="Y335" t="str">
        <f t="shared" si="32"/>
        <v>Paid</v>
      </c>
      <c r="Z335" t="s">
        <v>33</v>
      </c>
      <c r="AA335">
        <f>C335-B335</f>
        <v>3</v>
      </c>
      <c r="AB335" t="str">
        <f>IF(B335="","Missing Order Date",
IF(C335="","Missing Ship Date","OK"))</f>
        <v>OK</v>
      </c>
      <c r="AC335" s="7" t="str">
        <f>IF(C335&lt;B335, "Invalid", "Valid")</f>
        <v>Valid</v>
      </c>
      <c r="AD335" s="7" t="str">
        <f>IF(COUNTIF($A:$A, A335)&gt;1, "Duplicate", "Unique")</f>
        <v>Unique</v>
      </c>
      <c r="AE335" s="7" t="str">
        <f>IF(G335="","Unknown",G335)</f>
        <v>Unknown</v>
      </c>
      <c r="AF335" s="7" t="str">
        <f>IF(M335="","Unknown",M335)</f>
        <v>First Class</v>
      </c>
      <c r="AG335" s="7" t="str">
        <f>IF(P335&lt;0,"Invalid",
IF(P335&gt;1,"Invalid","Valid"))</f>
        <v>Valid</v>
      </c>
      <c r="AH335" s="7" t="str">
        <f>TEXT(B335,"mmmm")</f>
        <v>June</v>
      </c>
      <c r="AI335" s="7">
        <f t="shared" si="33"/>
        <v>2025</v>
      </c>
      <c r="AJ335" s="7" t="str">
        <f>IF(OR(R335&lt;0,C335&lt;B335),"Invalid",
IF(OR(G335="Unknown",M335="Unknown"),"Warning","Clean"))</f>
        <v>Clean</v>
      </c>
      <c r="AK335" s="7" t="str">
        <f>IF(C335&lt;B335,"Ship Before Order","OK")</f>
        <v>OK</v>
      </c>
      <c r="AL335" s="7" t="str">
        <f>IF(ISNUMBER(B335),"Valid","Invalid")</f>
        <v>Valid</v>
      </c>
      <c r="AM335" s="7" t="str">
        <f t="shared" si="34"/>
        <v>Ok</v>
      </c>
      <c r="AN335" s="7" t="str">
        <f t="shared" si="35"/>
        <v>Ok</v>
      </c>
    </row>
    <row r="336" spans="1:40">
      <c r="A336" t="s">
        <v>1107</v>
      </c>
      <c r="B336" s="6">
        <v>45635</v>
      </c>
      <c r="C336" s="4">
        <v>45834</v>
      </c>
      <c r="D336" t="s">
        <v>1108</v>
      </c>
      <c r="E336" t="s">
        <v>62</v>
      </c>
      <c r="F336" t="s">
        <v>24</v>
      </c>
      <c r="G336" t="s">
        <v>38</v>
      </c>
      <c r="H336" t="s">
        <v>228</v>
      </c>
      <c r="I336" t="s">
        <v>229</v>
      </c>
      <c r="J336" t="s">
        <v>28</v>
      </c>
      <c r="K336" t="s">
        <v>124</v>
      </c>
      <c r="L336" t="s">
        <v>1109</v>
      </c>
      <c r="M336" t="s">
        <v>50</v>
      </c>
      <c r="N336">
        <v>9</v>
      </c>
      <c r="O336">
        <v>1921.47</v>
      </c>
      <c r="P336">
        <v>0.25</v>
      </c>
      <c r="Q336" s="7">
        <f>IF(P336="", 0, P336)</f>
        <v>0.25</v>
      </c>
      <c r="R336">
        <v>12969.92</v>
      </c>
      <c r="S336">
        <v>9398.4599999999991</v>
      </c>
      <c r="T336" s="7">
        <f>N336*O336*(1-Q336)</f>
        <v>12969.922500000001</v>
      </c>
      <c r="U336" s="7">
        <f t="shared" si="30"/>
        <v>3571.4625000000015</v>
      </c>
      <c r="V336">
        <v>3571.46</v>
      </c>
      <c r="W336" s="12">
        <f t="shared" si="31"/>
        <v>0.27536498386941027</v>
      </c>
      <c r="X336" t="s">
        <v>32</v>
      </c>
      <c r="Y336" t="str">
        <f t="shared" si="32"/>
        <v>Paid</v>
      </c>
      <c r="Z336" t="s">
        <v>33</v>
      </c>
      <c r="AA336">
        <f>C336-B336</f>
        <v>199</v>
      </c>
      <c r="AB336" t="str">
        <f>IF(B336="","Missing Order Date",
IF(C336="","Missing Ship Date","OK"))</f>
        <v>OK</v>
      </c>
      <c r="AC336" s="7" t="str">
        <f>IF(C336&lt;B336, "Invalid", "Valid")</f>
        <v>Valid</v>
      </c>
      <c r="AD336" s="7" t="str">
        <f>IF(COUNTIF($A:$A, A336)&gt;1, "Duplicate", "Unique")</f>
        <v>Unique</v>
      </c>
      <c r="AE336" s="7" t="str">
        <f>IF(G336="","Unknown",G336)</f>
        <v>East</v>
      </c>
      <c r="AF336" s="7" t="str">
        <f>IF(M336="","Unknown",M336)</f>
        <v>First Class</v>
      </c>
      <c r="AG336" s="7" t="str">
        <f>IF(P336&lt;0,"Invalid",
IF(P336&gt;1,"Invalid","Valid"))</f>
        <v>Valid</v>
      </c>
      <c r="AH336" s="7" t="str">
        <f>TEXT(B336,"mmmm")</f>
        <v>December</v>
      </c>
      <c r="AI336" s="7">
        <f t="shared" si="33"/>
        <v>2024</v>
      </c>
      <c r="AJ336" s="7" t="str">
        <f>IF(OR(R336&lt;0,C336&lt;B336),"Invalid",
IF(OR(G336="Unknown",M336="Unknown"),"Warning","Clean"))</f>
        <v>Clean</v>
      </c>
      <c r="AK336" s="7" t="str">
        <f>IF(C336&lt;B336,"Ship Before Order","OK")</f>
        <v>OK</v>
      </c>
      <c r="AL336" s="7" t="str">
        <f>IF(ISNUMBER(B336),"Valid","Invalid")</f>
        <v>Valid</v>
      </c>
      <c r="AM336" s="7" t="str">
        <f t="shared" si="34"/>
        <v>Missmatched</v>
      </c>
      <c r="AN336" s="7" t="str">
        <f t="shared" si="35"/>
        <v>Missmatched</v>
      </c>
    </row>
    <row r="337" spans="1:40">
      <c r="A337" t="s">
        <v>1110</v>
      </c>
      <c r="B337" s="6">
        <v>45824</v>
      </c>
      <c r="C337" s="4">
        <v>45835</v>
      </c>
      <c r="D337" t="s">
        <v>1111</v>
      </c>
      <c r="E337" t="s">
        <v>118</v>
      </c>
      <c r="F337" t="s">
        <v>95</v>
      </c>
      <c r="G337" t="s">
        <v>63</v>
      </c>
      <c r="H337" t="s">
        <v>72</v>
      </c>
      <c r="I337" t="s">
        <v>73</v>
      </c>
      <c r="J337" t="s">
        <v>28</v>
      </c>
      <c r="K337" t="s">
        <v>29</v>
      </c>
      <c r="L337" t="s">
        <v>1112</v>
      </c>
      <c r="M337" t="s">
        <v>50</v>
      </c>
      <c r="N337">
        <v>3</v>
      </c>
      <c r="O337">
        <v>4289.37</v>
      </c>
      <c r="P337">
        <v>0.1</v>
      </c>
      <c r="Q337" s="7">
        <f>IF(P337="", 0, P337)</f>
        <v>0.1</v>
      </c>
      <c r="R337">
        <v>11581.3</v>
      </c>
      <c r="S337">
        <v>6829.43</v>
      </c>
      <c r="T337" s="7">
        <f>N337*O337*(1-Q337)</f>
        <v>11581.299000000001</v>
      </c>
      <c r="U337" s="7">
        <f t="shared" si="30"/>
        <v>4751.8690000000006</v>
      </c>
      <c r="V337">
        <v>4751.87</v>
      </c>
      <c r="W337" s="12">
        <f t="shared" si="31"/>
        <v>0.41030535521101735</v>
      </c>
      <c r="X337" t="s">
        <v>32</v>
      </c>
      <c r="Y337" t="str">
        <f t="shared" si="32"/>
        <v>Paid</v>
      </c>
      <c r="Z337" t="s">
        <v>33</v>
      </c>
      <c r="AA337">
        <f>C337-B337</f>
        <v>11</v>
      </c>
      <c r="AB337" t="str">
        <f>IF(B337="","Missing Order Date",
IF(C337="","Missing Ship Date","OK"))</f>
        <v>OK</v>
      </c>
      <c r="AC337" s="7" t="str">
        <f>IF(C337&lt;B337, "Invalid", "Valid")</f>
        <v>Valid</v>
      </c>
      <c r="AD337" s="7" t="str">
        <f>IF(COUNTIF($A:$A, A337)&gt;1, "Duplicate", "Unique")</f>
        <v>Duplicate</v>
      </c>
      <c r="AE337" s="7" t="str">
        <f>IF(G337="","Unknown",G337)</f>
        <v>West</v>
      </c>
      <c r="AF337" s="7" t="str">
        <f>IF(M337="","Unknown",M337)</f>
        <v>First Class</v>
      </c>
      <c r="AG337" s="7" t="str">
        <f>IF(P337&lt;0,"Invalid",
IF(P337&gt;1,"Invalid","Valid"))</f>
        <v>Valid</v>
      </c>
      <c r="AH337" s="7" t="str">
        <f>TEXT(B337,"mmmm")</f>
        <v>June</v>
      </c>
      <c r="AI337" s="7">
        <f t="shared" si="33"/>
        <v>2025</v>
      </c>
      <c r="AJ337" s="7" t="str">
        <f>IF(OR(R337&lt;0,C337&lt;B337),"Invalid",
IF(OR(G337="Unknown",M337="Unknown"),"Warning","Clean"))</f>
        <v>Clean</v>
      </c>
      <c r="AK337" s="7" t="str">
        <f>IF(C337&lt;B337,"Ship Before Order","OK")</f>
        <v>OK</v>
      </c>
      <c r="AL337" s="7" t="str">
        <f>IF(ISNUMBER(B337),"Valid","Invalid")</f>
        <v>Valid</v>
      </c>
      <c r="AM337" s="7" t="str">
        <f t="shared" si="34"/>
        <v>Missmatched</v>
      </c>
      <c r="AN337" s="7" t="str">
        <f t="shared" si="35"/>
        <v>Missmatched</v>
      </c>
    </row>
    <row r="338" spans="1:40">
      <c r="A338" t="s">
        <v>1113</v>
      </c>
      <c r="B338" s="6">
        <v>45368</v>
      </c>
      <c r="C338" s="4">
        <v>45836</v>
      </c>
      <c r="D338" t="s">
        <v>865</v>
      </c>
      <c r="E338" t="s">
        <v>128</v>
      </c>
      <c r="F338" t="s">
        <v>24</v>
      </c>
      <c r="G338" t="s">
        <v>25</v>
      </c>
      <c r="H338" t="s">
        <v>26</v>
      </c>
      <c r="I338" t="s">
        <v>27</v>
      </c>
      <c r="J338" t="s">
        <v>74</v>
      </c>
      <c r="K338" t="s">
        <v>80</v>
      </c>
      <c r="L338" t="s">
        <v>1114</v>
      </c>
      <c r="M338" t="s">
        <v>50</v>
      </c>
      <c r="N338">
        <v>8</v>
      </c>
      <c r="O338">
        <v>1992.57</v>
      </c>
      <c r="P338">
        <v>0</v>
      </c>
      <c r="Q338" s="7">
        <f>IF(P338="", 0, P338)</f>
        <v>0</v>
      </c>
      <c r="R338">
        <v>15940.56</v>
      </c>
      <c r="S338">
        <v>12347.15</v>
      </c>
      <c r="T338" s="7">
        <f>N338*O338*(1-Q338)</f>
        <v>15940.56</v>
      </c>
      <c r="U338" s="7">
        <f t="shared" si="30"/>
        <v>3593.41</v>
      </c>
      <c r="V338">
        <v>3593.41</v>
      </c>
      <c r="W338" s="12">
        <f t="shared" si="31"/>
        <v>0.2254255810335396</v>
      </c>
      <c r="X338" t="s">
        <v>32</v>
      </c>
      <c r="Y338" t="str">
        <f t="shared" si="32"/>
        <v>Paid</v>
      </c>
      <c r="Z338" t="s">
        <v>33</v>
      </c>
      <c r="AA338">
        <f>C338-B338</f>
        <v>468</v>
      </c>
      <c r="AB338" t="str">
        <f>IF(B338="","Missing Order Date",
IF(C338="","Missing Ship Date","OK"))</f>
        <v>OK</v>
      </c>
      <c r="AC338" s="7" t="str">
        <f>IF(C338&lt;B338, "Invalid", "Valid")</f>
        <v>Valid</v>
      </c>
      <c r="AD338" s="7" t="str">
        <f>IF(COUNTIF($A:$A, A338)&gt;1, "Duplicate", "Unique")</f>
        <v>Unique</v>
      </c>
      <c r="AE338" s="7" t="str">
        <f>IF(G338="","Unknown",G338)</f>
        <v>North</v>
      </c>
      <c r="AF338" s="7" t="str">
        <f>IF(M338="","Unknown",M338)</f>
        <v>First Class</v>
      </c>
      <c r="AG338" s="7" t="str">
        <f>IF(P338&lt;0,"Invalid",
IF(P338&gt;1,"Invalid","Valid"))</f>
        <v>Valid</v>
      </c>
      <c r="AH338" s="7" t="str">
        <f>TEXT(B338,"mmmm")</f>
        <v>March</v>
      </c>
      <c r="AI338" s="7">
        <f t="shared" si="33"/>
        <v>2024</v>
      </c>
      <c r="AJ338" s="7" t="str">
        <f>IF(OR(R338&lt;0,C338&lt;B338),"Invalid",
IF(OR(G338="Unknown",M338="Unknown"),"Warning","Clean"))</f>
        <v>Clean</v>
      </c>
      <c r="AK338" s="7" t="str">
        <f>IF(C338&lt;B338,"Ship Before Order","OK")</f>
        <v>OK</v>
      </c>
      <c r="AL338" s="7" t="str">
        <f>IF(ISNUMBER(B338),"Valid","Invalid")</f>
        <v>Valid</v>
      </c>
      <c r="AM338" s="7" t="str">
        <f t="shared" si="34"/>
        <v>Ok</v>
      </c>
      <c r="AN338" s="7" t="str">
        <f t="shared" si="35"/>
        <v>Ok</v>
      </c>
    </row>
    <row r="339" spans="1:40">
      <c r="A339" t="s">
        <v>1115</v>
      </c>
      <c r="B339" s="6">
        <v>45634</v>
      </c>
      <c r="C339" s="4">
        <v>45837</v>
      </c>
      <c r="D339" t="s">
        <v>1116</v>
      </c>
      <c r="E339" t="s">
        <v>62</v>
      </c>
      <c r="F339" t="s">
        <v>24</v>
      </c>
      <c r="G339" t="s">
        <v>38</v>
      </c>
      <c r="H339" t="s">
        <v>166</v>
      </c>
      <c r="I339" t="s">
        <v>167</v>
      </c>
      <c r="J339" t="s">
        <v>28</v>
      </c>
      <c r="K339" t="s">
        <v>91</v>
      </c>
      <c r="L339" t="s">
        <v>1117</v>
      </c>
      <c r="M339" t="s">
        <v>44</v>
      </c>
      <c r="N339">
        <v>6</v>
      </c>
      <c r="O339">
        <v>1181.74</v>
      </c>
      <c r="P339">
        <v>0</v>
      </c>
      <c r="Q339" s="7">
        <f>IF(P339="", 0, P339)</f>
        <v>0</v>
      </c>
      <c r="R339">
        <v>7090.44</v>
      </c>
      <c r="S339">
        <v>5672.27</v>
      </c>
      <c r="T339" s="7">
        <f>N339*O339*(1-Q339)</f>
        <v>7090.4400000000005</v>
      </c>
      <c r="U339" s="7">
        <f t="shared" si="30"/>
        <v>1418.17</v>
      </c>
      <c r="V339">
        <v>1262.8699999999999</v>
      </c>
      <c r="W339" s="12">
        <f t="shared" si="31"/>
        <v>0.20001156486762456</v>
      </c>
      <c r="X339" t="s">
        <v>32</v>
      </c>
      <c r="Y339" t="str">
        <f t="shared" si="32"/>
        <v>Paid</v>
      </c>
      <c r="Z339" t="s">
        <v>33</v>
      </c>
      <c r="AA339">
        <f>C339-B339</f>
        <v>203</v>
      </c>
      <c r="AB339" t="str">
        <f>IF(B339="","Missing Order Date",
IF(C339="","Missing Ship Date","OK"))</f>
        <v>OK</v>
      </c>
      <c r="AC339" s="7" t="str">
        <f>IF(C339&lt;B339, "Invalid", "Valid")</f>
        <v>Valid</v>
      </c>
      <c r="AD339" s="7" t="str">
        <f>IF(COUNTIF($A:$A, A339)&gt;1, "Duplicate", "Unique")</f>
        <v>Unique</v>
      </c>
      <c r="AE339" s="7" t="str">
        <f>IF(G339="","Unknown",G339)</f>
        <v>East</v>
      </c>
      <c r="AF339" s="7" t="str">
        <f>IF(M339="","Unknown",M339)</f>
        <v>Same Day</v>
      </c>
      <c r="AG339" s="7" t="str">
        <f>IF(P339&lt;0,"Invalid",
IF(P339&gt;1,"Invalid","Valid"))</f>
        <v>Valid</v>
      </c>
      <c r="AH339" s="7" t="str">
        <f>TEXT(B339,"mmmm")</f>
        <v>December</v>
      </c>
      <c r="AI339" s="7">
        <f t="shared" si="33"/>
        <v>2024</v>
      </c>
      <c r="AJ339" s="7" t="str">
        <f>IF(OR(R339&lt;0,C339&lt;B339),"Invalid",
IF(OR(G339="Unknown",M339="Unknown"),"Warning","Clean"))</f>
        <v>Clean</v>
      </c>
      <c r="AK339" s="7" t="str">
        <f>IF(C339&lt;B339,"Ship Before Order","OK")</f>
        <v>OK</v>
      </c>
      <c r="AL339" s="7" t="str">
        <f>IF(ISNUMBER(B339),"Valid","Invalid")</f>
        <v>Valid</v>
      </c>
      <c r="AM339" s="7" t="str">
        <f t="shared" si="34"/>
        <v>Ok</v>
      </c>
      <c r="AN339" s="7" t="str">
        <f t="shared" si="35"/>
        <v>Missmatched</v>
      </c>
    </row>
    <row r="340" spans="1:40">
      <c r="A340" t="s">
        <v>1118</v>
      </c>
      <c r="B340" s="6">
        <v>45634</v>
      </c>
      <c r="C340" s="4">
        <v>45838</v>
      </c>
      <c r="D340" t="s">
        <v>1119</v>
      </c>
      <c r="E340" t="s">
        <v>53</v>
      </c>
      <c r="F340" t="s">
        <v>37</v>
      </c>
      <c r="G340" t="s">
        <v>54</v>
      </c>
      <c r="H340" t="s">
        <v>84</v>
      </c>
      <c r="I340" t="s">
        <v>85</v>
      </c>
      <c r="J340" t="s">
        <v>74</v>
      </c>
      <c r="K340" t="s">
        <v>75</v>
      </c>
      <c r="L340" t="s">
        <v>1120</v>
      </c>
      <c r="M340" t="s">
        <v>50</v>
      </c>
      <c r="N340">
        <v>8</v>
      </c>
      <c r="O340">
        <v>4402.3599999999997</v>
      </c>
      <c r="P340">
        <v>0.25</v>
      </c>
      <c r="Q340" s="7">
        <f>IF(P340="", 0, P340)</f>
        <v>0.25</v>
      </c>
      <c r="R340">
        <v>26414.16</v>
      </c>
      <c r="S340">
        <v>21822.53</v>
      </c>
      <c r="T340" s="7">
        <f>N340*O340*(1-Q340)</f>
        <v>26414.159999999996</v>
      </c>
      <c r="U340" s="7">
        <f t="shared" si="30"/>
        <v>4591.6299999999974</v>
      </c>
      <c r="V340">
        <v>4591.63</v>
      </c>
      <c r="W340" s="12">
        <f t="shared" si="31"/>
        <v>0.17383214154832097</v>
      </c>
      <c r="X340" t="s">
        <v>32</v>
      </c>
      <c r="Y340" t="str">
        <f t="shared" si="32"/>
        <v>Paid</v>
      </c>
      <c r="Z340" t="s">
        <v>33</v>
      </c>
      <c r="AA340">
        <f>C340-B340</f>
        <v>204</v>
      </c>
      <c r="AB340" t="str">
        <f>IF(B340="","Missing Order Date",
IF(C340="","Missing Ship Date","OK"))</f>
        <v>OK</v>
      </c>
      <c r="AC340" s="7" t="str">
        <f>IF(C340&lt;B340, "Invalid", "Valid")</f>
        <v>Valid</v>
      </c>
      <c r="AD340" s="7" t="str">
        <f>IF(COUNTIF($A:$A, A340)&gt;1, "Duplicate", "Unique")</f>
        <v>Unique</v>
      </c>
      <c r="AE340" s="7" t="str">
        <f>IF(G340="","Unknown",G340)</f>
        <v>South</v>
      </c>
      <c r="AF340" s="7" t="str">
        <f>IF(M340="","Unknown",M340)</f>
        <v>First Class</v>
      </c>
      <c r="AG340" s="7" t="str">
        <f>IF(P340&lt;0,"Invalid",
IF(P340&gt;1,"Invalid","Valid"))</f>
        <v>Valid</v>
      </c>
      <c r="AH340" s="7" t="str">
        <f>TEXT(B340,"mmmm")</f>
        <v>December</v>
      </c>
      <c r="AI340" s="7">
        <f t="shared" si="33"/>
        <v>2024</v>
      </c>
      <c r="AJ340" s="7" t="str">
        <f>IF(OR(R340&lt;0,C340&lt;B340),"Invalid",
IF(OR(G340="Unknown",M340="Unknown"),"Warning","Clean"))</f>
        <v>Clean</v>
      </c>
      <c r="AK340" s="7" t="str">
        <f>IF(C340&lt;B340,"Ship Before Order","OK")</f>
        <v>OK</v>
      </c>
      <c r="AL340" s="7" t="str">
        <f>IF(ISNUMBER(B340),"Valid","Invalid")</f>
        <v>Valid</v>
      </c>
      <c r="AM340" s="7" t="str">
        <f t="shared" si="34"/>
        <v>Ok</v>
      </c>
      <c r="AN340" s="7" t="str">
        <f t="shared" si="35"/>
        <v>Ok</v>
      </c>
    </row>
    <row r="341" spans="1:40">
      <c r="A341" t="s">
        <v>1121</v>
      </c>
      <c r="B341" s="6">
        <v>45708</v>
      </c>
      <c r="C341" s="4">
        <v>45839</v>
      </c>
      <c r="D341" t="s">
        <v>1122</v>
      </c>
      <c r="E341" t="s">
        <v>79</v>
      </c>
      <c r="F341" t="s">
        <v>90</v>
      </c>
      <c r="G341" t="s">
        <v>38</v>
      </c>
      <c r="H341" t="s">
        <v>228</v>
      </c>
      <c r="I341" t="s">
        <v>229</v>
      </c>
      <c r="J341" t="s">
        <v>41</v>
      </c>
      <c r="K341" t="s">
        <v>158</v>
      </c>
      <c r="L341" t="s">
        <v>1123</v>
      </c>
      <c r="M341" t="s">
        <v>59</v>
      </c>
      <c r="N341">
        <v>8</v>
      </c>
      <c r="O341">
        <v>3265.76</v>
      </c>
      <c r="P341">
        <v>0.2</v>
      </c>
      <c r="Q341" s="7">
        <f>IF(P341="", 0, P341)</f>
        <v>0.2</v>
      </c>
      <c r="R341">
        <v>20900.86</v>
      </c>
      <c r="S341">
        <v>12513.14</v>
      </c>
      <c r="T341" s="7">
        <f>N341*O341*(1-Q341)</f>
        <v>20900.864000000001</v>
      </c>
      <c r="U341" s="7">
        <f t="shared" si="30"/>
        <v>8387.724000000002</v>
      </c>
      <c r="V341">
        <v>8387.7199999999993</v>
      </c>
      <c r="W341" s="12">
        <f t="shared" si="31"/>
        <v>0.40130991714026759</v>
      </c>
      <c r="X341" t="s">
        <v>32</v>
      </c>
      <c r="Y341" t="str">
        <f t="shared" si="32"/>
        <v>Paid</v>
      </c>
      <c r="Z341" t="s">
        <v>33</v>
      </c>
      <c r="AA341">
        <f>C341-B341</f>
        <v>131</v>
      </c>
      <c r="AB341" t="str">
        <f>IF(B341="","Missing Order Date",
IF(C341="","Missing Ship Date","OK"))</f>
        <v>OK</v>
      </c>
      <c r="AC341" s="7" t="str">
        <f>IF(C341&lt;B341, "Invalid", "Valid")</f>
        <v>Valid</v>
      </c>
      <c r="AD341" s="7" t="str">
        <f>IF(COUNTIF($A:$A, A341)&gt;1, "Duplicate", "Unique")</f>
        <v>Unique</v>
      </c>
      <c r="AE341" s="7" t="str">
        <f>IF(G341="","Unknown",G341)</f>
        <v>East</v>
      </c>
      <c r="AF341" s="7" t="str">
        <f>IF(M341="","Unknown",M341)</f>
        <v>Standard Class</v>
      </c>
      <c r="AG341" s="7" t="str">
        <f>IF(P341&lt;0,"Invalid",
IF(P341&gt;1,"Invalid","Valid"))</f>
        <v>Valid</v>
      </c>
      <c r="AH341" s="7" t="str">
        <f>TEXT(B341,"mmmm")</f>
        <v>February</v>
      </c>
      <c r="AI341" s="7">
        <f t="shared" si="33"/>
        <v>2025</v>
      </c>
      <c r="AJ341" s="7" t="str">
        <f>IF(OR(R341&lt;0,C341&lt;B341),"Invalid",
IF(OR(G341="Unknown",M341="Unknown"),"Warning","Clean"))</f>
        <v>Clean</v>
      </c>
      <c r="AK341" s="7" t="str">
        <f>IF(C341&lt;B341,"Ship Before Order","OK")</f>
        <v>OK</v>
      </c>
      <c r="AL341" s="7" t="str">
        <f>IF(ISNUMBER(B341),"Valid","Invalid")</f>
        <v>Valid</v>
      </c>
      <c r="AM341" s="7" t="str">
        <f t="shared" si="34"/>
        <v>Missmatched</v>
      </c>
      <c r="AN341" s="7" t="str">
        <f t="shared" si="35"/>
        <v>Missmatched</v>
      </c>
    </row>
    <row r="342" spans="1:40">
      <c r="A342" t="s">
        <v>1124</v>
      </c>
      <c r="B342" s="6">
        <v>45312</v>
      </c>
      <c r="C342" s="4">
        <v>45840</v>
      </c>
      <c r="D342" t="s">
        <v>1125</v>
      </c>
      <c r="E342" t="s">
        <v>79</v>
      </c>
      <c r="F342" t="s">
        <v>24</v>
      </c>
      <c r="G342" t="s">
        <v>54</v>
      </c>
      <c r="H342" t="s">
        <v>175</v>
      </c>
      <c r="I342" t="s">
        <v>176</v>
      </c>
      <c r="J342" t="s">
        <v>28</v>
      </c>
      <c r="K342" t="s">
        <v>153</v>
      </c>
      <c r="L342" t="s">
        <v>1126</v>
      </c>
      <c r="M342" t="s">
        <v>59</v>
      </c>
      <c r="N342">
        <v>5</v>
      </c>
      <c r="O342">
        <v>4058.08</v>
      </c>
      <c r="P342">
        <v>0.1</v>
      </c>
      <c r="Q342" s="7">
        <f>IF(P342="", 0, P342)</f>
        <v>0.1</v>
      </c>
      <c r="R342">
        <v>18261.36</v>
      </c>
      <c r="S342">
        <v>11399.94</v>
      </c>
      <c r="T342" s="7">
        <f>N342*O342*(1-Q342)</f>
        <v>18261.36</v>
      </c>
      <c r="U342" s="7">
        <f t="shared" si="30"/>
        <v>6861.42</v>
      </c>
      <c r="V342">
        <v>6861.42</v>
      </c>
      <c r="W342" s="12">
        <f t="shared" si="31"/>
        <v>0.3757343374206521</v>
      </c>
      <c r="X342" t="s">
        <v>32</v>
      </c>
      <c r="Y342" t="str">
        <f t="shared" si="32"/>
        <v>Paid</v>
      </c>
      <c r="Z342" t="s">
        <v>33</v>
      </c>
      <c r="AA342">
        <f>C342-B342</f>
        <v>528</v>
      </c>
      <c r="AB342" t="str">
        <f>IF(B342="","Missing Order Date",
IF(C342="","Missing Ship Date","OK"))</f>
        <v>OK</v>
      </c>
      <c r="AC342" s="7" t="str">
        <f>IF(C342&lt;B342, "Invalid", "Valid")</f>
        <v>Valid</v>
      </c>
      <c r="AD342" s="7" t="str">
        <f>IF(COUNTIF($A:$A, A342)&gt;1, "Duplicate", "Unique")</f>
        <v>Unique</v>
      </c>
      <c r="AE342" s="7" t="str">
        <f>IF(G342="","Unknown",G342)</f>
        <v>South</v>
      </c>
      <c r="AF342" s="7" t="str">
        <f>IF(M342="","Unknown",M342)</f>
        <v>Standard Class</v>
      </c>
      <c r="AG342" s="7" t="str">
        <f>IF(P342&lt;0,"Invalid",
IF(P342&gt;1,"Invalid","Valid"))</f>
        <v>Valid</v>
      </c>
      <c r="AH342" s="7" t="str">
        <f>TEXT(B342,"mmmm")</f>
        <v>January</v>
      </c>
      <c r="AI342" s="7">
        <f t="shared" si="33"/>
        <v>2024</v>
      </c>
      <c r="AJ342" s="7" t="str">
        <f>IF(OR(R342&lt;0,C342&lt;B342),"Invalid",
IF(OR(G342="Unknown",M342="Unknown"),"Warning","Clean"))</f>
        <v>Clean</v>
      </c>
      <c r="AK342" s="7" t="str">
        <f>IF(C342&lt;B342,"Ship Before Order","OK")</f>
        <v>OK</v>
      </c>
      <c r="AL342" s="7" t="str">
        <f>IF(ISNUMBER(B342),"Valid","Invalid")</f>
        <v>Valid</v>
      </c>
      <c r="AM342" s="7" t="str">
        <f t="shared" si="34"/>
        <v>Ok</v>
      </c>
      <c r="AN342" s="7" t="str">
        <f t="shared" si="35"/>
        <v>Ok</v>
      </c>
    </row>
    <row r="343" spans="1:40">
      <c r="A343" t="s">
        <v>1127</v>
      </c>
      <c r="B343" s="6">
        <v>45878</v>
      </c>
      <c r="C343" s="4">
        <v>45841</v>
      </c>
      <c r="D343" t="s">
        <v>1128</v>
      </c>
      <c r="E343" t="s">
        <v>141</v>
      </c>
      <c r="F343" t="s">
        <v>95</v>
      </c>
      <c r="G343" t="s">
        <v>63</v>
      </c>
      <c r="H343" t="s">
        <v>180</v>
      </c>
      <c r="I343" t="s">
        <v>181</v>
      </c>
      <c r="J343" t="s">
        <v>41</v>
      </c>
      <c r="K343" t="s">
        <v>66</v>
      </c>
      <c r="L343" t="s">
        <v>1129</v>
      </c>
      <c r="M343" t="s">
        <v>31</v>
      </c>
      <c r="N343">
        <v>2</v>
      </c>
      <c r="O343">
        <v>3960.33</v>
      </c>
      <c r="P343">
        <v>0.05</v>
      </c>
      <c r="Q343" s="7">
        <f>IF(P343="", 0, P343)</f>
        <v>0.05</v>
      </c>
      <c r="R343">
        <v>7524.63</v>
      </c>
      <c r="S343">
        <v>6229.6</v>
      </c>
      <c r="T343" s="7">
        <f>N343*O343*(1-Q343)</f>
        <v>7524.6269999999995</v>
      </c>
      <c r="U343" s="7">
        <f t="shared" si="30"/>
        <v>1295.0269999999991</v>
      </c>
      <c r="V343">
        <v>1295.03</v>
      </c>
      <c r="W343" s="12">
        <f t="shared" si="31"/>
        <v>0.17210514222166751</v>
      </c>
      <c r="X343" t="s">
        <v>32</v>
      </c>
      <c r="Y343" t="str">
        <f t="shared" si="32"/>
        <v>Paid</v>
      </c>
      <c r="Z343" t="s">
        <v>33</v>
      </c>
      <c r="AA343">
        <f>C343-B343</f>
        <v>-37</v>
      </c>
      <c r="AB343" t="str">
        <f>IF(B343="","Missing Order Date",
IF(C343="","Missing Ship Date","OK"))</f>
        <v>OK</v>
      </c>
      <c r="AC343" s="7" t="str">
        <f>IF(C343&lt;B343, "Invalid", "Valid")</f>
        <v>Invalid</v>
      </c>
      <c r="AD343" s="7" t="str">
        <f>IF(COUNTIF($A:$A, A343)&gt;1, "Duplicate", "Unique")</f>
        <v>Unique</v>
      </c>
      <c r="AE343" s="7" t="str">
        <f>IF(G343="","Unknown",G343)</f>
        <v>West</v>
      </c>
      <c r="AF343" s="7" t="str">
        <f>IF(M343="","Unknown",M343)</f>
        <v>Second Class</v>
      </c>
      <c r="AG343" s="7" t="str">
        <f>IF(P343&lt;0,"Invalid",
IF(P343&gt;1,"Invalid","Valid"))</f>
        <v>Valid</v>
      </c>
      <c r="AH343" s="7" t="str">
        <f>TEXT(B343,"mmmm")</f>
        <v>August</v>
      </c>
      <c r="AI343" s="7">
        <f t="shared" si="33"/>
        <v>2025</v>
      </c>
      <c r="AJ343" s="7" t="str">
        <f>IF(OR(R343&lt;0,C343&lt;B343),"Invalid",
IF(OR(G343="Unknown",M343="Unknown"),"Warning","Clean"))</f>
        <v>Invalid</v>
      </c>
      <c r="AK343" s="7" t="str">
        <f>IF(C343&lt;B343,"Ship Before Order","OK")</f>
        <v>Ship Before Order</v>
      </c>
      <c r="AL343" s="7" t="str">
        <f>IF(ISNUMBER(B343),"Valid","Invalid")</f>
        <v>Valid</v>
      </c>
      <c r="AM343" s="7" t="str">
        <f t="shared" si="34"/>
        <v>Missmatched</v>
      </c>
      <c r="AN343" s="7" t="str">
        <f t="shared" si="35"/>
        <v>Missmatched</v>
      </c>
    </row>
    <row r="344" spans="1:40">
      <c r="A344" t="s">
        <v>1130</v>
      </c>
      <c r="B344" s="6">
        <v>45862</v>
      </c>
      <c r="C344" s="4">
        <v>45842</v>
      </c>
      <c r="D344" t="s">
        <v>1131</v>
      </c>
      <c r="E344" t="s">
        <v>264</v>
      </c>
      <c r="F344" t="s">
        <v>37</v>
      </c>
      <c r="G344" t="s">
        <v>38</v>
      </c>
      <c r="H344" t="s">
        <v>228</v>
      </c>
      <c r="I344" t="s">
        <v>229</v>
      </c>
      <c r="J344" t="s">
        <v>28</v>
      </c>
      <c r="K344" t="s">
        <v>153</v>
      </c>
      <c r="L344" t="s">
        <v>1132</v>
      </c>
      <c r="M344" t="s">
        <v>50</v>
      </c>
      <c r="N344">
        <v>8</v>
      </c>
      <c r="O344">
        <v>1528.92</v>
      </c>
      <c r="P344">
        <v>0</v>
      </c>
      <c r="Q344" s="7">
        <f>IF(P344="", 0, P344)</f>
        <v>0</v>
      </c>
      <c r="R344">
        <v>12231.36</v>
      </c>
      <c r="S344">
        <v>8766.9</v>
      </c>
      <c r="T344" s="7">
        <f>N344*O344*(1-Q344)</f>
        <v>12231.36</v>
      </c>
      <c r="U344" s="7">
        <f t="shared" si="30"/>
        <v>3464.4600000000009</v>
      </c>
      <c r="V344">
        <v>3464.46</v>
      </c>
      <c r="W344" s="12">
        <f t="shared" si="31"/>
        <v>0.28324405462679547</v>
      </c>
      <c r="X344" t="s">
        <v>32</v>
      </c>
      <c r="Y344" t="str">
        <f t="shared" si="32"/>
        <v>Paid</v>
      </c>
      <c r="Z344" t="s">
        <v>33</v>
      </c>
      <c r="AA344">
        <f>C344-B344</f>
        <v>-20</v>
      </c>
      <c r="AB344" t="str">
        <f>IF(B344="","Missing Order Date",
IF(C344="","Missing Ship Date","OK"))</f>
        <v>OK</v>
      </c>
      <c r="AC344" s="7" t="str">
        <f>IF(C344&lt;B344, "Invalid", "Valid")</f>
        <v>Invalid</v>
      </c>
      <c r="AD344" s="7" t="str">
        <f>IF(COUNTIF($A:$A, A344)&gt;1, "Duplicate", "Unique")</f>
        <v>Unique</v>
      </c>
      <c r="AE344" s="7" t="str">
        <f>IF(G344="","Unknown",G344)</f>
        <v>East</v>
      </c>
      <c r="AF344" s="7" t="str">
        <f>IF(M344="","Unknown",M344)</f>
        <v>First Class</v>
      </c>
      <c r="AG344" s="7" t="str">
        <f>IF(P344&lt;0,"Invalid",
IF(P344&gt;1,"Invalid","Valid"))</f>
        <v>Valid</v>
      </c>
      <c r="AH344" s="7" t="str">
        <f>TEXT(B344,"mmmm")</f>
        <v>July</v>
      </c>
      <c r="AI344" s="7">
        <f t="shared" si="33"/>
        <v>2025</v>
      </c>
      <c r="AJ344" s="7" t="str">
        <f>IF(OR(R344&lt;0,C344&lt;B344),"Invalid",
IF(OR(G344="Unknown",M344="Unknown"),"Warning","Clean"))</f>
        <v>Invalid</v>
      </c>
      <c r="AK344" s="7" t="str">
        <f>IF(C344&lt;B344,"Ship Before Order","OK")</f>
        <v>Ship Before Order</v>
      </c>
      <c r="AL344" s="7" t="str">
        <f>IF(ISNUMBER(B344),"Valid","Invalid")</f>
        <v>Valid</v>
      </c>
      <c r="AM344" s="7" t="str">
        <f t="shared" si="34"/>
        <v>Ok</v>
      </c>
      <c r="AN344" s="7" t="str">
        <f t="shared" si="35"/>
        <v>Ok</v>
      </c>
    </row>
    <row r="345" spans="1:40">
      <c r="A345" t="s">
        <v>1133</v>
      </c>
      <c r="B345" s="6">
        <v>45726</v>
      </c>
      <c r="C345" s="4">
        <v>45843</v>
      </c>
      <c r="D345" t="s">
        <v>1134</v>
      </c>
      <c r="E345" t="s">
        <v>128</v>
      </c>
      <c r="F345" t="s">
        <v>90</v>
      </c>
      <c r="G345" t="s">
        <v>63</v>
      </c>
      <c r="H345" t="s">
        <v>72</v>
      </c>
      <c r="I345" t="s">
        <v>73</v>
      </c>
      <c r="J345" t="s">
        <v>74</v>
      </c>
      <c r="K345" t="s">
        <v>274</v>
      </c>
      <c r="L345" t="s">
        <v>1135</v>
      </c>
      <c r="M345" t="s">
        <v>44</v>
      </c>
      <c r="N345">
        <v>9</v>
      </c>
      <c r="O345">
        <v>3837</v>
      </c>
      <c r="P345">
        <v>0.1</v>
      </c>
      <c r="Q345" s="7">
        <f>IF(P345="", 0, P345)</f>
        <v>0.1</v>
      </c>
      <c r="R345">
        <v>31079.7</v>
      </c>
      <c r="S345">
        <v>17758.25</v>
      </c>
      <c r="T345" s="7">
        <f>N345*O345*(1-Q345)</f>
        <v>31079.7</v>
      </c>
      <c r="U345" s="7">
        <f t="shared" si="30"/>
        <v>13321.45</v>
      </c>
      <c r="V345">
        <v>13321.45</v>
      </c>
      <c r="W345" s="12">
        <f t="shared" si="31"/>
        <v>0.4286222196481948</v>
      </c>
      <c r="X345" t="s">
        <v>32</v>
      </c>
      <c r="Y345" t="str">
        <f t="shared" si="32"/>
        <v>Paid</v>
      </c>
      <c r="Z345" t="s">
        <v>33</v>
      </c>
      <c r="AA345">
        <f>C345-B345</f>
        <v>117</v>
      </c>
      <c r="AB345" t="str">
        <f>IF(B345="","Missing Order Date",
IF(C345="","Missing Ship Date","OK"))</f>
        <v>OK</v>
      </c>
      <c r="AC345" s="7" t="str">
        <f>IF(C345&lt;B345, "Invalid", "Valid")</f>
        <v>Valid</v>
      </c>
      <c r="AD345" s="7" t="str">
        <f>IF(COUNTIF($A:$A, A345)&gt;1, "Duplicate", "Unique")</f>
        <v>Unique</v>
      </c>
      <c r="AE345" s="7" t="str">
        <f>IF(G345="","Unknown",G345)</f>
        <v>West</v>
      </c>
      <c r="AF345" s="7" t="str">
        <f>IF(M345="","Unknown",M345)</f>
        <v>Same Day</v>
      </c>
      <c r="AG345" s="7" t="str">
        <f>IF(P345&lt;0,"Invalid",
IF(P345&gt;1,"Invalid","Valid"))</f>
        <v>Valid</v>
      </c>
      <c r="AH345" s="7" t="str">
        <f>TEXT(B345,"mmmm")</f>
        <v>March</v>
      </c>
      <c r="AI345" s="7">
        <f t="shared" si="33"/>
        <v>2025</v>
      </c>
      <c r="AJ345" s="7" t="str">
        <f>IF(OR(R345&lt;0,C345&lt;B345),"Invalid",
IF(OR(G345="Unknown",M345="Unknown"),"Warning","Clean"))</f>
        <v>Clean</v>
      </c>
      <c r="AK345" s="7" t="str">
        <f>IF(C345&lt;B345,"Ship Before Order","OK")</f>
        <v>OK</v>
      </c>
      <c r="AL345" s="7" t="str">
        <f>IF(ISNUMBER(B345),"Valid","Invalid")</f>
        <v>Valid</v>
      </c>
      <c r="AM345" s="7" t="str">
        <f t="shared" si="34"/>
        <v>Ok</v>
      </c>
      <c r="AN345" s="7" t="str">
        <f t="shared" si="35"/>
        <v>Ok</v>
      </c>
    </row>
    <row r="346" spans="1:40">
      <c r="A346" t="s">
        <v>1136</v>
      </c>
      <c r="B346" s="6">
        <v>45362</v>
      </c>
      <c r="C346" s="4">
        <v>45844</v>
      </c>
      <c r="D346" t="s">
        <v>1137</v>
      </c>
      <c r="E346" t="s">
        <v>114</v>
      </c>
      <c r="F346" t="s">
        <v>24</v>
      </c>
      <c r="G346" t="s">
        <v>25</v>
      </c>
      <c r="H346" t="s">
        <v>122</v>
      </c>
      <c r="I346" t="s">
        <v>123</v>
      </c>
      <c r="J346" t="s">
        <v>41</v>
      </c>
      <c r="K346" t="s">
        <v>158</v>
      </c>
      <c r="L346" t="s">
        <v>1138</v>
      </c>
      <c r="M346" t="s">
        <v>44</v>
      </c>
      <c r="N346">
        <v>9</v>
      </c>
      <c r="O346">
        <v>3456.38</v>
      </c>
      <c r="P346">
        <v>0</v>
      </c>
      <c r="Q346" s="7">
        <f>IF(P346="", 0, P346)</f>
        <v>0</v>
      </c>
      <c r="R346">
        <v>31107.42</v>
      </c>
      <c r="S346">
        <v>20146.66</v>
      </c>
      <c r="T346" s="7">
        <f>N346*O346*(1-Q346)</f>
        <v>31107.420000000002</v>
      </c>
      <c r="U346" s="7">
        <f t="shared" si="30"/>
        <v>10960.760000000002</v>
      </c>
      <c r="V346">
        <v>10960.76</v>
      </c>
      <c r="W346" s="12">
        <f t="shared" si="31"/>
        <v>0.3523519468988428</v>
      </c>
      <c r="X346" t="s">
        <v>111</v>
      </c>
      <c r="Y346" t="str">
        <f t="shared" si="32"/>
        <v>Pending</v>
      </c>
      <c r="Z346" t="s">
        <v>103</v>
      </c>
      <c r="AA346">
        <f>C346-B346</f>
        <v>482</v>
      </c>
      <c r="AB346" t="str">
        <f>IF(B346="","Missing Order Date",
IF(C346="","Missing Ship Date","OK"))</f>
        <v>OK</v>
      </c>
      <c r="AC346" s="7" t="str">
        <f>IF(C346&lt;B346, "Invalid", "Valid")</f>
        <v>Valid</v>
      </c>
      <c r="AD346" s="7" t="str">
        <f>IF(COUNTIF($A:$A, A346)&gt;1, "Duplicate", "Unique")</f>
        <v>Unique</v>
      </c>
      <c r="AE346" s="7" t="str">
        <f>IF(G346="","Unknown",G346)</f>
        <v>North</v>
      </c>
      <c r="AF346" s="7" t="str">
        <f>IF(M346="","Unknown",M346)</f>
        <v>Same Day</v>
      </c>
      <c r="AG346" s="7" t="str">
        <f>IF(P346&lt;0,"Invalid",
IF(P346&gt;1,"Invalid","Valid"))</f>
        <v>Valid</v>
      </c>
      <c r="AH346" s="7" t="str">
        <f>TEXT(B346,"mmmm")</f>
        <v>March</v>
      </c>
      <c r="AI346" s="7">
        <f t="shared" si="33"/>
        <v>2024</v>
      </c>
      <c r="AJ346" s="7" t="str">
        <f>IF(OR(R346&lt;0,C346&lt;B346),"Invalid",
IF(OR(G346="Unknown",M346="Unknown"),"Warning","Clean"))</f>
        <v>Clean</v>
      </c>
      <c r="AK346" s="7" t="str">
        <f>IF(C346&lt;B346,"Ship Before Order","OK")</f>
        <v>OK</v>
      </c>
      <c r="AL346" s="7" t="str">
        <f>IF(ISNUMBER(B346),"Valid","Invalid")</f>
        <v>Valid</v>
      </c>
      <c r="AM346" s="7" t="str">
        <f t="shared" si="34"/>
        <v>Ok</v>
      </c>
      <c r="AN346" s="7" t="str">
        <f t="shared" si="35"/>
        <v>Ok</v>
      </c>
    </row>
    <row r="347" spans="1:40">
      <c r="A347" t="s">
        <v>1139</v>
      </c>
      <c r="B347" s="6">
        <v>45549</v>
      </c>
      <c r="C347" s="4">
        <v>45845</v>
      </c>
      <c r="D347" t="s">
        <v>1140</v>
      </c>
      <c r="E347" t="s">
        <v>23</v>
      </c>
      <c r="F347" t="s">
        <v>24</v>
      </c>
      <c r="G347" t="s">
        <v>63</v>
      </c>
      <c r="H347" t="s">
        <v>72</v>
      </c>
      <c r="I347" t="s">
        <v>73</v>
      </c>
      <c r="J347" t="s">
        <v>41</v>
      </c>
      <c r="K347" t="s">
        <v>57</v>
      </c>
      <c r="L347" t="s">
        <v>1141</v>
      </c>
      <c r="M347" t="s">
        <v>31</v>
      </c>
      <c r="N347">
        <v>2</v>
      </c>
      <c r="O347">
        <v>2765.3</v>
      </c>
      <c r="P347">
        <v>0</v>
      </c>
      <c r="Q347" s="7">
        <f>IF(P347="", 0, P347)</f>
        <v>0</v>
      </c>
      <c r="R347">
        <v>5530.6</v>
      </c>
      <c r="S347">
        <v>4453.1099999999997</v>
      </c>
      <c r="T347" s="7">
        <f>N347*O347*(1-Q347)</f>
        <v>5530.6</v>
      </c>
      <c r="U347" s="7">
        <f t="shared" si="30"/>
        <v>1077.4900000000007</v>
      </c>
      <c r="V347">
        <v>1077.49</v>
      </c>
      <c r="W347" s="12">
        <f t="shared" si="31"/>
        <v>0.19482334647235391</v>
      </c>
      <c r="X347" t="s">
        <v>32</v>
      </c>
      <c r="Y347" t="str">
        <f t="shared" si="32"/>
        <v>Paid</v>
      </c>
      <c r="Z347" t="s">
        <v>33</v>
      </c>
      <c r="AA347">
        <f>C347-B347</f>
        <v>296</v>
      </c>
      <c r="AB347" t="str">
        <f>IF(B347="","Missing Order Date",
IF(C347="","Missing Ship Date","OK"))</f>
        <v>OK</v>
      </c>
      <c r="AC347" s="7" t="str">
        <f>IF(C347&lt;B347, "Invalid", "Valid")</f>
        <v>Valid</v>
      </c>
      <c r="AD347" s="7" t="str">
        <f>IF(COUNTIF($A:$A, A347)&gt;1, "Duplicate", "Unique")</f>
        <v>Unique</v>
      </c>
      <c r="AE347" s="7" t="str">
        <f>IF(G347="","Unknown",G347)</f>
        <v>West</v>
      </c>
      <c r="AF347" s="7" t="str">
        <f>IF(M347="","Unknown",M347)</f>
        <v>Second Class</v>
      </c>
      <c r="AG347" s="7" t="str">
        <f>IF(P347&lt;0,"Invalid",
IF(P347&gt;1,"Invalid","Valid"))</f>
        <v>Valid</v>
      </c>
      <c r="AH347" s="7" t="str">
        <f>TEXT(B347,"mmmm")</f>
        <v>September</v>
      </c>
      <c r="AI347" s="7">
        <f t="shared" si="33"/>
        <v>2024</v>
      </c>
      <c r="AJ347" s="7" t="str">
        <f>IF(OR(R347&lt;0,C347&lt;B347),"Invalid",
IF(OR(G347="Unknown",M347="Unknown"),"Warning","Clean"))</f>
        <v>Clean</v>
      </c>
      <c r="AK347" s="7" t="str">
        <f>IF(C347&lt;B347,"Ship Before Order","OK")</f>
        <v>OK</v>
      </c>
      <c r="AL347" s="7" t="str">
        <f>IF(ISNUMBER(B347),"Valid","Invalid")</f>
        <v>Valid</v>
      </c>
      <c r="AM347" s="7" t="str">
        <f t="shared" si="34"/>
        <v>Ok</v>
      </c>
      <c r="AN347" s="7" t="str">
        <f t="shared" si="35"/>
        <v>Ok</v>
      </c>
    </row>
    <row r="348" spans="1:40">
      <c r="A348" t="s">
        <v>1142</v>
      </c>
      <c r="B348" s="6">
        <v>45860</v>
      </c>
      <c r="C348" s="4">
        <v>45846</v>
      </c>
      <c r="D348" t="s">
        <v>1143</v>
      </c>
      <c r="E348" t="s">
        <v>118</v>
      </c>
      <c r="F348" t="s">
        <v>90</v>
      </c>
      <c r="G348" t="s">
        <v>54</v>
      </c>
      <c r="H348" t="s">
        <v>185</v>
      </c>
      <c r="I348" t="s">
        <v>186</v>
      </c>
      <c r="J348" t="s">
        <v>41</v>
      </c>
      <c r="K348" t="s">
        <v>66</v>
      </c>
      <c r="L348" t="s">
        <v>1144</v>
      </c>
      <c r="M348" t="s">
        <v>31</v>
      </c>
      <c r="N348">
        <v>6</v>
      </c>
      <c r="O348">
        <v>1607.46</v>
      </c>
      <c r="P348">
        <v>0.2</v>
      </c>
      <c r="Q348" s="7">
        <f>IF(P348="", 0, P348)</f>
        <v>0.2</v>
      </c>
      <c r="R348">
        <v>7715.81</v>
      </c>
      <c r="S348">
        <v>4258.42</v>
      </c>
      <c r="T348" s="7">
        <f>N348*O348*(1-Q348)</f>
        <v>7715.8080000000009</v>
      </c>
      <c r="U348" s="7">
        <f t="shared" si="30"/>
        <v>3457.3880000000008</v>
      </c>
      <c r="V348">
        <v>3457.39</v>
      </c>
      <c r="W348" s="12">
        <f t="shared" si="31"/>
        <v>0.4480915025360922</v>
      </c>
      <c r="X348" t="s">
        <v>32</v>
      </c>
      <c r="Y348" t="str">
        <f t="shared" si="32"/>
        <v>Paid</v>
      </c>
      <c r="Z348" t="s">
        <v>33</v>
      </c>
      <c r="AA348">
        <f>C348-B348</f>
        <v>-14</v>
      </c>
      <c r="AB348" t="str">
        <f>IF(B348="","Missing Order Date",
IF(C348="","Missing Ship Date","OK"))</f>
        <v>OK</v>
      </c>
      <c r="AC348" s="7" t="str">
        <f>IF(C348&lt;B348, "Invalid", "Valid")</f>
        <v>Invalid</v>
      </c>
      <c r="AD348" s="7" t="str">
        <f>IF(COUNTIF($A:$A, A348)&gt;1, "Duplicate", "Unique")</f>
        <v>Unique</v>
      </c>
      <c r="AE348" s="7" t="str">
        <f>IF(G348="","Unknown",G348)</f>
        <v>South</v>
      </c>
      <c r="AF348" s="7" t="str">
        <f>IF(M348="","Unknown",M348)</f>
        <v>Second Class</v>
      </c>
      <c r="AG348" s="7" t="str">
        <f>IF(P348&lt;0,"Invalid",
IF(P348&gt;1,"Invalid","Valid"))</f>
        <v>Valid</v>
      </c>
      <c r="AH348" s="7" t="str">
        <f>TEXT(B348,"mmmm")</f>
        <v>July</v>
      </c>
      <c r="AI348" s="7">
        <f t="shared" si="33"/>
        <v>2025</v>
      </c>
      <c r="AJ348" s="7" t="str">
        <f>IF(OR(R348&lt;0,C348&lt;B348),"Invalid",
IF(OR(G348="Unknown",M348="Unknown"),"Warning","Clean"))</f>
        <v>Invalid</v>
      </c>
      <c r="AK348" s="7" t="str">
        <f>IF(C348&lt;B348,"Ship Before Order","OK")</f>
        <v>Ship Before Order</v>
      </c>
      <c r="AL348" s="7" t="str">
        <f>IF(ISNUMBER(B348),"Valid","Invalid")</f>
        <v>Valid</v>
      </c>
      <c r="AM348" s="7" t="str">
        <f t="shared" si="34"/>
        <v>Missmatched</v>
      </c>
      <c r="AN348" s="7" t="str">
        <f t="shared" si="35"/>
        <v>Missmatched</v>
      </c>
    </row>
    <row r="349" spans="1:40">
      <c r="A349" t="s">
        <v>1145</v>
      </c>
      <c r="B349" s="6">
        <v>45627</v>
      </c>
      <c r="C349" s="4">
        <v>45847</v>
      </c>
      <c r="D349" t="s">
        <v>1146</v>
      </c>
      <c r="E349" t="s">
        <v>128</v>
      </c>
      <c r="F349" t="s">
        <v>37</v>
      </c>
      <c r="G349" t="s">
        <v>63</v>
      </c>
      <c r="H349" t="s">
        <v>190</v>
      </c>
      <c r="I349" t="s">
        <v>191</v>
      </c>
      <c r="J349" t="s">
        <v>41</v>
      </c>
      <c r="K349" t="s">
        <v>66</v>
      </c>
      <c r="L349" t="s">
        <v>1147</v>
      </c>
      <c r="M349" t="s">
        <v>31</v>
      </c>
      <c r="N349">
        <v>5</v>
      </c>
      <c r="O349">
        <v>2981.49</v>
      </c>
      <c r="P349">
        <v>0.2</v>
      </c>
      <c r="Q349" s="7">
        <f>IF(P349="", 0, P349)</f>
        <v>0.2</v>
      </c>
      <c r="R349">
        <v>11925.96</v>
      </c>
      <c r="S349">
        <v>10103.51</v>
      </c>
      <c r="T349" s="7">
        <f>N349*O349*(1-Q349)</f>
        <v>11925.96</v>
      </c>
      <c r="U349" s="7">
        <f t="shared" si="30"/>
        <v>1822.4499999999989</v>
      </c>
      <c r="V349">
        <v>1822.45</v>
      </c>
      <c r="W349" s="12">
        <f t="shared" si="31"/>
        <v>0.15281369382422874</v>
      </c>
      <c r="X349" t="s">
        <v>102</v>
      </c>
      <c r="Y349" t="str">
        <f t="shared" si="32"/>
        <v>Refunded</v>
      </c>
      <c r="Z349" t="s">
        <v>103</v>
      </c>
      <c r="AA349">
        <f>C349-B349</f>
        <v>220</v>
      </c>
      <c r="AB349" t="str">
        <f>IF(B349="","Missing Order Date",
IF(C349="","Missing Ship Date","OK"))</f>
        <v>OK</v>
      </c>
      <c r="AC349" s="7" t="str">
        <f>IF(C349&lt;B349, "Invalid", "Valid")</f>
        <v>Valid</v>
      </c>
      <c r="AD349" s="7" t="str">
        <f>IF(COUNTIF($A:$A, A349)&gt;1, "Duplicate", "Unique")</f>
        <v>Unique</v>
      </c>
      <c r="AE349" s="7" t="str">
        <f>IF(G349="","Unknown",G349)</f>
        <v>West</v>
      </c>
      <c r="AF349" s="7" t="str">
        <f>IF(M349="","Unknown",M349)</f>
        <v>Second Class</v>
      </c>
      <c r="AG349" s="7" t="str">
        <f>IF(P349&lt;0,"Invalid",
IF(P349&gt;1,"Invalid","Valid"))</f>
        <v>Valid</v>
      </c>
      <c r="AH349" s="7" t="str">
        <f>TEXT(B349,"mmmm")</f>
        <v>December</v>
      </c>
      <c r="AI349" s="7">
        <f t="shared" si="33"/>
        <v>2024</v>
      </c>
      <c r="AJ349" s="7" t="str">
        <f>IF(OR(R349&lt;0,C349&lt;B349),"Invalid",
IF(OR(G349="Unknown",M349="Unknown"),"Warning","Clean"))</f>
        <v>Clean</v>
      </c>
      <c r="AK349" s="7" t="str">
        <f>IF(C349&lt;B349,"Ship Before Order","OK")</f>
        <v>OK</v>
      </c>
      <c r="AL349" s="7" t="str">
        <f>IF(ISNUMBER(B349),"Valid","Invalid")</f>
        <v>Valid</v>
      </c>
      <c r="AM349" s="7" t="str">
        <f t="shared" si="34"/>
        <v>Ok</v>
      </c>
      <c r="AN349" s="7" t="str">
        <f t="shared" si="35"/>
        <v>Ok</v>
      </c>
    </row>
    <row r="350" spans="1:40">
      <c r="A350" t="s">
        <v>1148</v>
      </c>
      <c r="B350" s="6">
        <v>45328</v>
      </c>
      <c r="C350" s="4">
        <v>45848</v>
      </c>
      <c r="D350" t="s">
        <v>1149</v>
      </c>
      <c r="E350" t="s">
        <v>128</v>
      </c>
      <c r="F350" t="s">
        <v>90</v>
      </c>
      <c r="G350" t="s">
        <v>54</v>
      </c>
      <c r="H350" t="s">
        <v>175</v>
      </c>
      <c r="I350" t="s">
        <v>176</v>
      </c>
      <c r="J350" t="s">
        <v>74</v>
      </c>
      <c r="K350" t="s">
        <v>171</v>
      </c>
      <c r="L350" t="s">
        <v>1150</v>
      </c>
      <c r="M350" t="s">
        <v>44</v>
      </c>
      <c r="N350">
        <v>9</v>
      </c>
      <c r="O350">
        <v>2860.26</v>
      </c>
      <c r="P350">
        <v>0.25</v>
      </c>
      <c r="Q350" s="7">
        <f>IF(P350="", 0, P350)</f>
        <v>0.25</v>
      </c>
      <c r="R350">
        <v>19306.759999999998</v>
      </c>
      <c r="S350">
        <v>14442.38</v>
      </c>
      <c r="T350" s="7">
        <f>N350*O350*(1-Q350)</f>
        <v>19306.755000000005</v>
      </c>
      <c r="U350" s="7">
        <f t="shared" si="30"/>
        <v>4864.3750000000055</v>
      </c>
      <c r="V350">
        <v>4864.38</v>
      </c>
      <c r="W350" s="12">
        <f t="shared" si="31"/>
        <v>0.25195197225012717</v>
      </c>
      <c r="X350" t="s">
        <v>32</v>
      </c>
      <c r="Y350" t="str">
        <f t="shared" si="32"/>
        <v>Paid</v>
      </c>
      <c r="Z350" t="s">
        <v>33</v>
      </c>
      <c r="AA350">
        <f>C350-B350</f>
        <v>520</v>
      </c>
      <c r="AB350" t="str">
        <f>IF(B350="","Missing Order Date",
IF(C350="","Missing Ship Date","OK"))</f>
        <v>OK</v>
      </c>
      <c r="AC350" s="7" t="str">
        <f>IF(C350&lt;B350, "Invalid", "Valid")</f>
        <v>Valid</v>
      </c>
      <c r="AD350" s="7" t="str">
        <f>IF(COUNTIF($A:$A, A350)&gt;1, "Duplicate", "Unique")</f>
        <v>Unique</v>
      </c>
      <c r="AE350" s="7" t="str">
        <f>IF(G350="","Unknown",G350)</f>
        <v>South</v>
      </c>
      <c r="AF350" s="7" t="str">
        <f>IF(M350="","Unknown",M350)</f>
        <v>Same Day</v>
      </c>
      <c r="AG350" s="7" t="str">
        <f>IF(P350&lt;0,"Invalid",
IF(P350&gt;1,"Invalid","Valid"))</f>
        <v>Valid</v>
      </c>
      <c r="AH350" s="7" t="str">
        <f>TEXT(B350,"mmmm")</f>
        <v>February</v>
      </c>
      <c r="AI350" s="7">
        <f t="shared" si="33"/>
        <v>2024</v>
      </c>
      <c r="AJ350" s="7" t="str">
        <f>IF(OR(R350&lt;0,C350&lt;B350),"Invalid",
IF(OR(G350="Unknown",M350="Unknown"),"Warning","Clean"))</f>
        <v>Clean</v>
      </c>
      <c r="AK350" s="7" t="str">
        <f>IF(C350&lt;B350,"Ship Before Order","OK")</f>
        <v>OK</v>
      </c>
      <c r="AL350" s="7" t="str">
        <f>IF(ISNUMBER(B350),"Valid","Invalid")</f>
        <v>Valid</v>
      </c>
      <c r="AM350" s="7" t="str">
        <f t="shared" si="34"/>
        <v>Missmatched</v>
      </c>
      <c r="AN350" s="7" t="str">
        <f t="shared" si="35"/>
        <v>Missmatched</v>
      </c>
    </row>
    <row r="351" spans="1:40">
      <c r="A351" t="s">
        <v>1151</v>
      </c>
      <c r="B351" s="6">
        <v>45927</v>
      </c>
      <c r="C351" s="4">
        <v>45849</v>
      </c>
      <c r="D351" t="s">
        <v>1152</v>
      </c>
      <c r="E351" t="s">
        <v>264</v>
      </c>
      <c r="F351" t="s">
        <v>95</v>
      </c>
      <c r="G351" t="s">
        <v>38</v>
      </c>
      <c r="H351" t="s">
        <v>228</v>
      </c>
      <c r="I351" t="s">
        <v>229</v>
      </c>
      <c r="J351" t="s">
        <v>41</v>
      </c>
      <c r="K351" t="s">
        <v>57</v>
      </c>
      <c r="L351" t="s">
        <v>1153</v>
      </c>
      <c r="M351" t="s">
        <v>31</v>
      </c>
      <c r="N351">
        <v>9</v>
      </c>
      <c r="O351">
        <v>2867.55</v>
      </c>
      <c r="P351">
        <v>0.25</v>
      </c>
      <c r="Q351" s="7">
        <f>IF(P351="", 0, P351)</f>
        <v>0.25</v>
      </c>
      <c r="R351">
        <v>19355.96</v>
      </c>
      <c r="S351">
        <v>15012.45</v>
      </c>
      <c r="T351" s="7">
        <f>N351*O351*(1-Q351)</f>
        <v>19355.962500000001</v>
      </c>
      <c r="U351" s="7">
        <f t="shared" si="30"/>
        <v>4343.5125000000007</v>
      </c>
      <c r="V351">
        <v>4017.4</v>
      </c>
      <c r="W351" s="12">
        <f t="shared" si="31"/>
        <v>0.22440178317146461</v>
      </c>
      <c r="X351" t="s">
        <v>32</v>
      </c>
      <c r="Y351" t="str">
        <f t="shared" si="32"/>
        <v>Paid</v>
      </c>
      <c r="Z351" t="s">
        <v>33</v>
      </c>
      <c r="AA351">
        <f>C351-B351</f>
        <v>-78</v>
      </c>
      <c r="AB351" t="str">
        <f>IF(B351="","Missing Order Date",
IF(C351="","Missing Ship Date","OK"))</f>
        <v>OK</v>
      </c>
      <c r="AC351" s="7" t="str">
        <f>IF(C351&lt;B351, "Invalid", "Valid")</f>
        <v>Invalid</v>
      </c>
      <c r="AD351" s="7" t="str">
        <f>IF(COUNTIF($A:$A, A351)&gt;1, "Duplicate", "Unique")</f>
        <v>Unique</v>
      </c>
      <c r="AE351" s="7" t="str">
        <f>IF(G351="","Unknown",G351)</f>
        <v>East</v>
      </c>
      <c r="AF351" s="7" t="str">
        <f>IF(M351="","Unknown",M351)</f>
        <v>Second Class</v>
      </c>
      <c r="AG351" s="7" t="str">
        <f>IF(P351&lt;0,"Invalid",
IF(P351&gt;1,"Invalid","Valid"))</f>
        <v>Valid</v>
      </c>
      <c r="AH351" s="7" t="str">
        <f>TEXT(B351,"mmmm")</f>
        <v>September</v>
      </c>
      <c r="AI351" s="7">
        <f t="shared" si="33"/>
        <v>2025</v>
      </c>
      <c r="AJ351" s="7" t="str">
        <f>IF(OR(R351&lt;0,C351&lt;B351),"Invalid",
IF(OR(G351="Unknown",M351="Unknown"),"Warning","Clean"))</f>
        <v>Invalid</v>
      </c>
      <c r="AK351" s="7" t="str">
        <f>IF(C351&lt;B351,"Ship Before Order","OK")</f>
        <v>Ship Before Order</v>
      </c>
      <c r="AL351" s="7" t="str">
        <f>IF(ISNUMBER(B351),"Valid","Invalid")</f>
        <v>Valid</v>
      </c>
      <c r="AM351" s="7" t="str">
        <f t="shared" si="34"/>
        <v>Missmatched</v>
      </c>
      <c r="AN351" s="7" t="str">
        <f t="shared" si="35"/>
        <v>Missmatched</v>
      </c>
    </row>
    <row r="352" spans="1:40">
      <c r="A352" t="s">
        <v>1154</v>
      </c>
      <c r="B352" s="6">
        <v>45298</v>
      </c>
      <c r="C352" s="4">
        <v>45850</v>
      </c>
      <c r="D352" t="s">
        <v>1155</v>
      </c>
      <c r="E352" t="s">
        <v>132</v>
      </c>
      <c r="F352" t="s">
        <v>37</v>
      </c>
      <c r="G352" t="s">
        <v>38</v>
      </c>
      <c r="H352" t="s">
        <v>228</v>
      </c>
      <c r="I352" t="s">
        <v>229</v>
      </c>
      <c r="J352" t="s">
        <v>41</v>
      </c>
      <c r="K352" t="s">
        <v>57</v>
      </c>
      <c r="L352" t="s">
        <v>1156</v>
      </c>
      <c r="M352" t="s">
        <v>31</v>
      </c>
      <c r="N352">
        <v>4</v>
      </c>
      <c r="O352">
        <v>3309.54</v>
      </c>
      <c r="P352">
        <v>0.1</v>
      </c>
      <c r="Q352" s="7">
        <f>IF(P352="", 0, P352)</f>
        <v>0.1</v>
      </c>
      <c r="R352">
        <v>11914.34</v>
      </c>
      <c r="S352">
        <v>9771.24</v>
      </c>
      <c r="T352" s="7">
        <f>N352*O352*(1-Q352)</f>
        <v>11914.344000000001</v>
      </c>
      <c r="U352" s="7">
        <f t="shared" si="30"/>
        <v>2143.1040000000012</v>
      </c>
      <c r="V352">
        <v>2143.1</v>
      </c>
      <c r="W352" s="12">
        <f t="shared" si="31"/>
        <v>0.17987595456367561</v>
      </c>
      <c r="X352" t="s">
        <v>102</v>
      </c>
      <c r="Y352" t="str">
        <f t="shared" si="32"/>
        <v>Refunded</v>
      </c>
      <c r="Z352" t="s">
        <v>103</v>
      </c>
      <c r="AA352">
        <f>C352-B352</f>
        <v>552</v>
      </c>
      <c r="AB352" t="str">
        <f>IF(B352="","Missing Order Date",
IF(C352="","Missing Ship Date","OK"))</f>
        <v>OK</v>
      </c>
      <c r="AC352" s="7" t="str">
        <f>IF(C352&lt;B352, "Invalid", "Valid")</f>
        <v>Valid</v>
      </c>
      <c r="AD352" s="7" t="str">
        <f>IF(COUNTIF($A:$A, A352)&gt;1, "Duplicate", "Unique")</f>
        <v>Unique</v>
      </c>
      <c r="AE352" s="7" t="str">
        <f>IF(G352="","Unknown",G352)</f>
        <v>East</v>
      </c>
      <c r="AF352" s="7" t="str">
        <f>IF(M352="","Unknown",M352)</f>
        <v>Second Class</v>
      </c>
      <c r="AG352" s="7" t="str">
        <f>IF(P352&lt;0,"Invalid",
IF(P352&gt;1,"Invalid","Valid"))</f>
        <v>Valid</v>
      </c>
      <c r="AH352" s="7" t="str">
        <f>TEXT(B352,"mmmm")</f>
        <v>January</v>
      </c>
      <c r="AI352" s="7">
        <f t="shared" si="33"/>
        <v>2024</v>
      </c>
      <c r="AJ352" s="7" t="str">
        <f>IF(OR(R352&lt;0,C352&lt;B352),"Invalid",
IF(OR(G352="Unknown",M352="Unknown"),"Warning","Clean"))</f>
        <v>Clean</v>
      </c>
      <c r="AK352" s="7" t="str">
        <f>IF(C352&lt;B352,"Ship Before Order","OK")</f>
        <v>OK</v>
      </c>
      <c r="AL352" s="7" t="str">
        <f>IF(ISNUMBER(B352),"Valid","Invalid")</f>
        <v>Valid</v>
      </c>
      <c r="AM352" s="7" t="str">
        <f t="shared" si="34"/>
        <v>Missmatched</v>
      </c>
      <c r="AN352" s="7" t="str">
        <f t="shared" si="35"/>
        <v>Missmatched</v>
      </c>
    </row>
    <row r="353" spans="1:40">
      <c r="A353" t="s">
        <v>1157</v>
      </c>
      <c r="B353" s="6">
        <v>45800</v>
      </c>
      <c r="C353" s="4">
        <v>45851</v>
      </c>
      <c r="D353" t="s">
        <v>1158</v>
      </c>
      <c r="E353" t="s">
        <v>71</v>
      </c>
      <c r="F353" t="s">
        <v>37</v>
      </c>
      <c r="G353" t="s">
        <v>54</v>
      </c>
      <c r="H353" t="s">
        <v>55</v>
      </c>
      <c r="I353" t="s">
        <v>56</v>
      </c>
      <c r="J353" t="s">
        <v>28</v>
      </c>
      <c r="K353" t="s">
        <v>124</v>
      </c>
      <c r="L353" t="s">
        <v>1159</v>
      </c>
      <c r="M353" t="s">
        <v>50</v>
      </c>
      <c r="N353">
        <v>6</v>
      </c>
      <c r="O353">
        <v>719.44</v>
      </c>
      <c r="P353">
        <v>0.25</v>
      </c>
      <c r="Q353" s="7">
        <f>IF(P353="", 0, P353)</f>
        <v>0.25</v>
      </c>
      <c r="R353">
        <v>3237.48</v>
      </c>
      <c r="S353">
        <v>2118.34</v>
      </c>
      <c r="T353" s="7">
        <f>N353*O353*(1-Q353)</f>
        <v>3237.4800000000005</v>
      </c>
      <c r="U353" s="7">
        <f t="shared" si="30"/>
        <v>1119.1400000000003</v>
      </c>
      <c r="V353">
        <v>1119.1400000000001</v>
      </c>
      <c r="W353" s="12">
        <f t="shared" si="31"/>
        <v>0.34568244437031276</v>
      </c>
      <c r="X353" t="s">
        <v>111</v>
      </c>
      <c r="Y353" t="str">
        <f t="shared" si="32"/>
        <v>Pending</v>
      </c>
      <c r="Z353" t="s">
        <v>68</v>
      </c>
      <c r="AA353">
        <f>C353-B353</f>
        <v>51</v>
      </c>
      <c r="AB353" t="str">
        <f>IF(B353="","Missing Order Date",
IF(C353="","Missing Ship Date","OK"))</f>
        <v>OK</v>
      </c>
      <c r="AC353" s="7" t="str">
        <f>IF(C353&lt;B353, "Invalid", "Valid")</f>
        <v>Valid</v>
      </c>
      <c r="AD353" s="7" t="str">
        <f>IF(COUNTIF($A:$A, A353)&gt;1, "Duplicate", "Unique")</f>
        <v>Unique</v>
      </c>
      <c r="AE353" s="7" t="str">
        <f>IF(G353="","Unknown",G353)</f>
        <v>South</v>
      </c>
      <c r="AF353" s="7" t="str">
        <f>IF(M353="","Unknown",M353)</f>
        <v>First Class</v>
      </c>
      <c r="AG353" s="7" t="str">
        <f>IF(P353&lt;0,"Invalid",
IF(P353&gt;1,"Invalid","Valid"))</f>
        <v>Valid</v>
      </c>
      <c r="AH353" s="7" t="str">
        <f>TEXT(B353,"mmmm")</f>
        <v>May</v>
      </c>
      <c r="AI353" s="7">
        <f t="shared" si="33"/>
        <v>2025</v>
      </c>
      <c r="AJ353" s="7" t="str">
        <f>IF(OR(R353&lt;0,C353&lt;B353),"Invalid",
IF(OR(G353="Unknown",M353="Unknown"),"Warning","Clean"))</f>
        <v>Clean</v>
      </c>
      <c r="AK353" s="7" t="str">
        <f>IF(C353&lt;B353,"Ship Before Order","OK")</f>
        <v>OK</v>
      </c>
      <c r="AL353" s="7" t="str">
        <f>IF(ISNUMBER(B353),"Valid","Invalid")</f>
        <v>Valid</v>
      </c>
      <c r="AM353" s="7" t="str">
        <f t="shared" si="34"/>
        <v>Ok</v>
      </c>
      <c r="AN353" s="7" t="str">
        <f t="shared" si="35"/>
        <v>Ok</v>
      </c>
    </row>
    <row r="354" spans="1:40">
      <c r="A354" t="s">
        <v>1160</v>
      </c>
      <c r="B354" s="6">
        <v>45884</v>
      </c>
      <c r="C354" s="4">
        <v>45852</v>
      </c>
      <c r="D354" t="s">
        <v>1161</v>
      </c>
      <c r="E354" t="s">
        <v>162</v>
      </c>
      <c r="F354" t="s">
        <v>37</v>
      </c>
      <c r="G354" t="s">
        <v>38</v>
      </c>
      <c r="H354" t="s">
        <v>166</v>
      </c>
      <c r="I354" t="s">
        <v>167</v>
      </c>
      <c r="J354" t="s">
        <v>74</v>
      </c>
      <c r="K354" t="s">
        <v>80</v>
      </c>
      <c r="L354" t="s">
        <v>1162</v>
      </c>
      <c r="M354" t="s">
        <v>50</v>
      </c>
      <c r="N354">
        <v>5</v>
      </c>
      <c r="O354">
        <v>2862.6</v>
      </c>
      <c r="P354">
        <v>0.25</v>
      </c>
      <c r="Q354" s="7">
        <f>IF(P354="", 0, P354)</f>
        <v>0.25</v>
      </c>
      <c r="R354">
        <v>10734.75</v>
      </c>
      <c r="S354">
        <v>6475.73</v>
      </c>
      <c r="T354" s="7">
        <f>N354*O354*(1-Q354)</f>
        <v>10734.75</v>
      </c>
      <c r="U354" s="7">
        <f t="shared" si="30"/>
        <v>4259.0200000000004</v>
      </c>
      <c r="V354">
        <v>4259.0200000000004</v>
      </c>
      <c r="W354" s="12">
        <f t="shared" si="31"/>
        <v>0.39675073942103917</v>
      </c>
      <c r="X354" t="s">
        <v>32</v>
      </c>
      <c r="Y354" t="str">
        <f t="shared" si="32"/>
        <v>Paid</v>
      </c>
      <c r="Z354" t="s">
        <v>33</v>
      </c>
      <c r="AA354">
        <f>C354-B354</f>
        <v>-32</v>
      </c>
      <c r="AB354" t="str">
        <f>IF(B354="","Missing Order Date",
IF(C354="","Missing Ship Date","OK"))</f>
        <v>OK</v>
      </c>
      <c r="AC354" s="7" t="str">
        <f>IF(C354&lt;B354, "Invalid", "Valid")</f>
        <v>Invalid</v>
      </c>
      <c r="AD354" s="7" t="str">
        <f>IF(COUNTIF($A:$A, A354)&gt;1, "Duplicate", "Unique")</f>
        <v>Unique</v>
      </c>
      <c r="AE354" s="7" t="str">
        <f>IF(G354="","Unknown",G354)</f>
        <v>East</v>
      </c>
      <c r="AF354" s="7" t="str">
        <f>IF(M354="","Unknown",M354)</f>
        <v>First Class</v>
      </c>
      <c r="AG354" s="7" t="str">
        <f>IF(P354&lt;0,"Invalid",
IF(P354&gt;1,"Invalid","Valid"))</f>
        <v>Valid</v>
      </c>
      <c r="AH354" s="7" t="str">
        <f>TEXT(B354,"mmmm")</f>
        <v>August</v>
      </c>
      <c r="AI354" s="7">
        <f t="shared" si="33"/>
        <v>2025</v>
      </c>
      <c r="AJ354" s="7" t="str">
        <f>IF(OR(R354&lt;0,C354&lt;B354),"Invalid",
IF(OR(G354="Unknown",M354="Unknown"),"Warning","Clean"))</f>
        <v>Invalid</v>
      </c>
      <c r="AK354" s="7" t="str">
        <f>IF(C354&lt;B354,"Ship Before Order","OK")</f>
        <v>Ship Before Order</v>
      </c>
      <c r="AL354" s="7" t="str">
        <f>IF(ISNUMBER(B354),"Valid","Invalid")</f>
        <v>Valid</v>
      </c>
      <c r="AM354" s="7" t="str">
        <f t="shared" si="34"/>
        <v>Ok</v>
      </c>
      <c r="AN354" s="7" t="str">
        <f t="shared" si="35"/>
        <v>Ok</v>
      </c>
    </row>
    <row r="355" spans="1:40">
      <c r="A355" t="s">
        <v>1163</v>
      </c>
      <c r="B355" s="6">
        <v>45709</v>
      </c>
      <c r="C355" s="4">
        <v>45853</v>
      </c>
      <c r="D355" t="s">
        <v>1164</v>
      </c>
      <c r="E355" t="s">
        <v>62</v>
      </c>
      <c r="F355" t="s">
        <v>24</v>
      </c>
      <c r="G355" t="s">
        <v>25</v>
      </c>
      <c r="H355" t="s">
        <v>26</v>
      </c>
      <c r="I355" t="s">
        <v>27</v>
      </c>
      <c r="J355" t="s">
        <v>28</v>
      </c>
      <c r="K355" t="s">
        <v>48</v>
      </c>
      <c r="L355" t="s">
        <v>1165</v>
      </c>
      <c r="M355" t="s">
        <v>44</v>
      </c>
      <c r="N355">
        <v>9</v>
      </c>
      <c r="O355">
        <v>1431.67</v>
      </c>
      <c r="P355">
        <v>0.2</v>
      </c>
      <c r="Q355" s="7">
        <f>IF(P355="", 0, P355)</f>
        <v>0.2</v>
      </c>
      <c r="R355">
        <v>10308.02</v>
      </c>
      <c r="S355">
        <v>5822.31</v>
      </c>
      <c r="T355" s="7">
        <f>N355*O355*(1-Q355)</f>
        <v>10308.024000000001</v>
      </c>
      <c r="U355" s="7">
        <f t="shared" si="30"/>
        <v>4485.7140000000009</v>
      </c>
      <c r="V355">
        <v>4485.71</v>
      </c>
      <c r="W355" s="12">
        <f t="shared" si="31"/>
        <v>0.4351672056642476</v>
      </c>
      <c r="X355" t="s">
        <v>32</v>
      </c>
      <c r="Y355" t="str">
        <f t="shared" si="32"/>
        <v>Paid</v>
      </c>
      <c r="Z355" t="s">
        <v>33</v>
      </c>
      <c r="AA355">
        <f>C355-B355</f>
        <v>144</v>
      </c>
      <c r="AB355" t="str">
        <f>IF(B355="","Missing Order Date",
IF(C355="","Missing Ship Date","OK"))</f>
        <v>OK</v>
      </c>
      <c r="AC355" s="7" t="str">
        <f>IF(C355&lt;B355, "Invalid", "Valid")</f>
        <v>Valid</v>
      </c>
      <c r="AD355" s="7" t="str">
        <f>IF(COUNTIF($A:$A, A355)&gt;1, "Duplicate", "Unique")</f>
        <v>Unique</v>
      </c>
      <c r="AE355" s="7" t="str">
        <f>IF(G355="","Unknown",G355)</f>
        <v>North</v>
      </c>
      <c r="AF355" s="7" t="str">
        <f>IF(M355="","Unknown",M355)</f>
        <v>Same Day</v>
      </c>
      <c r="AG355" s="7" t="str">
        <f>IF(P355&lt;0,"Invalid",
IF(P355&gt;1,"Invalid","Valid"))</f>
        <v>Valid</v>
      </c>
      <c r="AH355" s="7" t="str">
        <f>TEXT(B355,"mmmm")</f>
        <v>February</v>
      </c>
      <c r="AI355" s="7">
        <f t="shared" si="33"/>
        <v>2025</v>
      </c>
      <c r="AJ355" s="7" t="str">
        <f>IF(OR(R355&lt;0,C355&lt;B355),"Invalid",
IF(OR(G355="Unknown",M355="Unknown"),"Warning","Clean"))</f>
        <v>Clean</v>
      </c>
      <c r="AK355" s="7" t="str">
        <f>IF(C355&lt;B355,"Ship Before Order","OK")</f>
        <v>OK</v>
      </c>
      <c r="AL355" s="7" t="str">
        <f>IF(ISNUMBER(B355),"Valid","Invalid")</f>
        <v>Valid</v>
      </c>
      <c r="AM355" s="7" t="str">
        <f t="shared" si="34"/>
        <v>Missmatched</v>
      </c>
      <c r="AN355" s="7" t="str">
        <f t="shared" si="35"/>
        <v>Missmatched</v>
      </c>
    </row>
    <row r="356" spans="1:40">
      <c r="A356" t="s">
        <v>1166</v>
      </c>
      <c r="B356" s="6">
        <v>45653</v>
      </c>
      <c r="C356" s="4">
        <v>45854</v>
      </c>
      <c r="D356" t="s">
        <v>1167</v>
      </c>
      <c r="E356" t="s">
        <v>264</v>
      </c>
      <c r="F356" t="s">
        <v>90</v>
      </c>
      <c r="G356" t="s">
        <v>25</v>
      </c>
      <c r="H356" t="s">
        <v>122</v>
      </c>
      <c r="I356" t="s">
        <v>123</v>
      </c>
      <c r="J356" t="s">
        <v>41</v>
      </c>
      <c r="K356" t="s">
        <v>57</v>
      </c>
      <c r="L356" t="s">
        <v>1168</v>
      </c>
      <c r="M356" t="s">
        <v>59</v>
      </c>
      <c r="N356">
        <v>6</v>
      </c>
      <c r="O356">
        <v>3346.78</v>
      </c>
      <c r="P356">
        <v>-0.06</v>
      </c>
      <c r="Q356" s="7">
        <f>IF(P356="", 0, P356)</f>
        <v>-0.06</v>
      </c>
      <c r="R356">
        <v>20080.68</v>
      </c>
      <c r="S356">
        <v>12908.84</v>
      </c>
      <c r="T356" s="7">
        <f>N356*O356*(1-Q356)</f>
        <v>21285.520800000002</v>
      </c>
      <c r="U356" s="7">
        <f t="shared" si="30"/>
        <v>8376.6808000000019</v>
      </c>
      <c r="V356">
        <v>7171.84</v>
      </c>
      <c r="W356" s="12">
        <f t="shared" si="31"/>
        <v>0.39353891683965753</v>
      </c>
      <c r="X356" t="s">
        <v>111</v>
      </c>
      <c r="Y356" t="str">
        <f t="shared" si="32"/>
        <v>Pending</v>
      </c>
      <c r="Z356" t="s">
        <v>68</v>
      </c>
      <c r="AA356">
        <f>C356-B356</f>
        <v>201</v>
      </c>
      <c r="AB356" t="str">
        <f>IF(B356="","Missing Order Date",
IF(C356="","Missing Ship Date","OK"))</f>
        <v>OK</v>
      </c>
      <c r="AC356" s="7" t="str">
        <f>IF(C356&lt;B356, "Invalid", "Valid")</f>
        <v>Valid</v>
      </c>
      <c r="AD356" s="7" t="str">
        <f>IF(COUNTIF($A:$A, A356)&gt;1, "Duplicate", "Unique")</f>
        <v>Unique</v>
      </c>
      <c r="AE356" s="7" t="str">
        <f>IF(G356="","Unknown",G356)</f>
        <v>North</v>
      </c>
      <c r="AF356" s="7" t="str">
        <f>IF(M356="","Unknown",M356)</f>
        <v>Standard Class</v>
      </c>
      <c r="AG356" s="7" t="str">
        <f>IF(P356&lt;0,"Invalid",
IF(P356&gt;1,"Invalid","Valid"))</f>
        <v>Invalid</v>
      </c>
      <c r="AH356" s="7" t="str">
        <f>TEXT(B356,"mmmm")</f>
        <v>December</v>
      </c>
      <c r="AI356" s="7">
        <f t="shared" si="33"/>
        <v>2024</v>
      </c>
      <c r="AJ356" s="7" t="str">
        <f>IF(OR(R356&lt;0,C356&lt;B356),"Invalid",
IF(OR(G356="Unknown",M356="Unknown"),"Warning","Clean"))</f>
        <v>Clean</v>
      </c>
      <c r="AK356" s="7" t="str">
        <f>IF(C356&lt;B356,"Ship Before Order","OK")</f>
        <v>OK</v>
      </c>
      <c r="AL356" s="7" t="str">
        <f>IF(ISNUMBER(B356),"Valid","Invalid")</f>
        <v>Valid</v>
      </c>
      <c r="AM356" s="7" t="str">
        <f t="shared" si="34"/>
        <v>Missmatched</v>
      </c>
      <c r="AN356" s="7" t="str">
        <f t="shared" si="35"/>
        <v>Missmatched</v>
      </c>
    </row>
    <row r="357" spans="1:40">
      <c r="A357" t="s">
        <v>1169</v>
      </c>
      <c r="B357" s="6">
        <v>45424</v>
      </c>
      <c r="C357" s="4">
        <v>45855</v>
      </c>
      <c r="D357" t="s">
        <v>1170</v>
      </c>
      <c r="E357" t="s">
        <v>114</v>
      </c>
      <c r="F357" t="s">
        <v>90</v>
      </c>
      <c r="G357" t="s">
        <v>63</v>
      </c>
      <c r="H357" t="s">
        <v>26</v>
      </c>
      <c r="I357" t="s">
        <v>109</v>
      </c>
      <c r="J357" t="s">
        <v>41</v>
      </c>
      <c r="K357" t="s">
        <v>42</v>
      </c>
      <c r="L357" t="s">
        <v>1171</v>
      </c>
      <c r="M357" t="s">
        <v>59</v>
      </c>
      <c r="N357">
        <v>5</v>
      </c>
      <c r="O357">
        <v>3203.48</v>
      </c>
      <c r="P357">
        <v>0</v>
      </c>
      <c r="Q357" s="7">
        <f>IF(P357="", 0, P357)</f>
        <v>0</v>
      </c>
      <c r="R357">
        <v>16017.4</v>
      </c>
      <c r="S357">
        <v>9557.7999999999993</v>
      </c>
      <c r="T357" s="7">
        <f>N357*O357*(1-Q357)</f>
        <v>16017.4</v>
      </c>
      <c r="U357" s="7">
        <f t="shared" si="30"/>
        <v>6459.6</v>
      </c>
      <c r="V357">
        <v>6459.6</v>
      </c>
      <c r="W357" s="12">
        <f t="shared" si="31"/>
        <v>0.40328642601171227</v>
      </c>
      <c r="X357" t="s">
        <v>111</v>
      </c>
      <c r="Y357" t="str">
        <f t="shared" si="32"/>
        <v>Pending</v>
      </c>
      <c r="Z357" t="s">
        <v>68</v>
      </c>
      <c r="AA357">
        <f>C357-B357</f>
        <v>431</v>
      </c>
      <c r="AB357" t="str">
        <f>IF(B357="","Missing Order Date",
IF(C357="","Missing Ship Date","OK"))</f>
        <v>OK</v>
      </c>
      <c r="AC357" s="7" t="str">
        <f>IF(C357&lt;B357, "Invalid", "Valid")</f>
        <v>Valid</v>
      </c>
      <c r="AD357" s="7" t="str">
        <f>IF(COUNTIF($A:$A, A357)&gt;1, "Duplicate", "Unique")</f>
        <v>Unique</v>
      </c>
      <c r="AE357" s="7" t="str">
        <f>IF(G357="","Unknown",G357)</f>
        <v>West</v>
      </c>
      <c r="AF357" s="7" t="str">
        <f>IF(M357="","Unknown",M357)</f>
        <v>Standard Class</v>
      </c>
      <c r="AG357" s="7" t="str">
        <f>IF(P357&lt;0,"Invalid",
IF(P357&gt;1,"Invalid","Valid"))</f>
        <v>Valid</v>
      </c>
      <c r="AH357" s="7" t="str">
        <f>TEXT(B357,"mmmm")</f>
        <v>May</v>
      </c>
      <c r="AI357" s="7">
        <f t="shared" si="33"/>
        <v>2024</v>
      </c>
      <c r="AJ357" s="7" t="str">
        <f>IF(OR(R357&lt;0,C357&lt;B357),"Invalid",
IF(OR(G357="Unknown",M357="Unknown"),"Warning","Clean"))</f>
        <v>Clean</v>
      </c>
      <c r="AK357" s="7" t="str">
        <f>IF(C357&lt;B357,"Ship Before Order","OK")</f>
        <v>OK</v>
      </c>
      <c r="AL357" s="7" t="str">
        <f>IF(ISNUMBER(B357),"Valid","Invalid")</f>
        <v>Valid</v>
      </c>
      <c r="AM357" s="7" t="str">
        <f t="shared" si="34"/>
        <v>Ok</v>
      </c>
      <c r="AN357" s="7" t="str">
        <f t="shared" si="35"/>
        <v>Ok</v>
      </c>
    </row>
    <row r="358" spans="1:40">
      <c r="A358" t="s">
        <v>1172</v>
      </c>
      <c r="B358" s="6">
        <v>45835</v>
      </c>
      <c r="C358" s="4">
        <v>45856</v>
      </c>
      <c r="D358" t="s">
        <v>1173</v>
      </c>
      <c r="E358" t="s">
        <v>141</v>
      </c>
      <c r="F358" t="s">
        <v>95</v>
      </c>
      <c r="G358" t="s">
        <v>54</v>
      </c>
      <c r="H358" t="s">
        <v>55</v>
      </c>
      <c r="I358" t="s">
        <v>56</v>
      </c>
      <c r="J358" t="s">
        <v>41</v>
      </c>
      <c r="K358" t="s">
        <v>66</v>
      </c>
      <c r="L358" t="s">
        <v>1174</v>
      </c>
      <c r="M358" t="s">
        <v>50</v>
      </c>
      <c r="N358">
        <v>5</v>
      </c>
      <c r="O358">
        <v>621.70000000000005</v>
      </c>
      <c r="P358">
        <v>0.2</v>
      </c>
      <c r="Q358" s="7">
        <f>IF(P358="", 0, P358)</f>
        <v>0.2</v>
      </c>
      <c r="R358">
        <v>2486.8000000000002</v>
      </c>
      <c r="S358">
        <v>2131.73</v>
      </c>
      <c r="T358" s="7">
        <f>N358*O358*(1-Q358)</f>
        <v>2486.8000000000002</v>
      </c>
      <c r="U358" s="7">
        <f t="shared" si="30"/>
        <v>355.07000000000016</v>
      </c>
      <c r="V358">
        <v>355.07</v>
      </c>
      <c r="W358" s="12">
        <f t="shared" si="31"/>
        <v>0.1427818883705968</v>
      </c>
      <c r="X358" t="s">
        <v>111</v>
      </c>
      <c r="Y358" t="str">
        <f t="shared" si="32"/>
        <v>Pending</v>
      </c>
      <c r="Z358" t="s">
        <v>103</v>
      </c>
      <c r="AA358">
        <f>C358-B358</f>
        <v>21</v>
      </c>
      <c r="AB358" t="str">
        <f>IF(B358="","Missing Order Date",
IF(C358="","Missing Ship Date","OK"))</f>
        <v>OK</v>
      </c>
      <c r="AC358" s="7" t="str">
        <f>IF(C358&lt;B358, "Invalid", "Valid")</f>
        <v>Valid</v>
      </c>
      <c r="AD358" s="7" t="str">
        <f>IF(COUNTIF($A:$A, A358)&gt;1, "Duplicate", "Unique")</f>
        <v>Unique</v>
      </c>
      <c r="AE358" s="7" t="str">
        <f>IF(G358="","Unknown",G358)</f>
        <v>South</v>
      </c>
      <c r="AF358" s="7" t="str">
        <f>IF(M358="","Unknown",M358)</f>
        <v>First Class</v>
      </c>
      <c r="AG358" s="7" t="str">
        <f>IF(P358&lt;0,"Invalid",
IF(P358&gt;1,"Invalid","Valid"))</f>
        <v>Valid</v>
      </c>
      <c r="AH358" s="7" t="str">
        <f>TEXT(B358,"mmmm")</f>
        <v>June</v>
      </c>
      <c r="AI358" s="7">
        <f t="shared" si="33"/>
        <v>2025</v>
      </c>
      <c r="AJ358" s="7" t="str">
        <f>IF(OR(R358&lt;0,C358&lt;B358),"Invalid",
IF(OR(G358="Unknown",M358="Unknown"),"Warning","Clean"))</f>
        <v>Clean</v>
      </c>
      <c r="AK358" s="7" t="str">
        <f>IF(C358&lt;B358,"Ship Before Order","OK")</f>
        <v>OK</v>
      </c>
      <c r="AL358" s="7" t="str">
        <f>IF(ISNUMBER(B358),"Valid","Invalid")</f>
        <v>Valid</v>
      </c>
      <c r="AM358" s="7" t="str">
        <f t="shared" si="34"/>
        <v>Ok</v>
      </c>
      <c r="AN358" s="7" t="str">
        <f t="shared" si="35"/>
        <v>Ok</v>
      </c>
    </row>
    <row r="359" spans="1:40">
      <c r="A359" t="s">
        <v>1175</v>
      </c>
      <c r="B359" s="6">
        <v>45678</v>
      </c>
      <c r="C359" s="4">
        <v>45857</v>
      </c>
      <c r="D359" t="s">
        <v>1176</v>
      </c>
      <c r="E359" t="s">
        <v>36</v>
      </c>
      <c r="F359" t="s">
        <v>95</v>
      </c>
      <c r="G359" t="s">
        <v>54</v>
      </c>
      <c r="H359" t="s">
        <v>84</v>
      </c>
      <c r="I359" t="s">
        <v>85</v>
      </c>
      <c r="J359" t="s">
        <v>74</v>
      </c>
      <c r="K359" t="s">
        <v>274</v>
      </c>
      <c r="L359" t="s">
        <v>1177</v>
      </c>
      <c r="M359" t="s">
        <v>31</v>
      </c>
      <c r="N359">
        <v>8</v>
      </c>
      <c r="O359">
        <v>546.13</v>
      </c>
      <c r="P359">
        <v>0</v>
      </c>
      <c r="Q359" s="7">
        <f>IF(P359="", 0, P359)</f>
        <v>0</v>
      </c>
      <c r="R359">
        <v>4369.04</v>
      </c>
      <c r="S359">
        <v>3716.88</v>
      </c>
      <c r="T359" s="7">
        <f>N359*O359*(1-Q359)</f>
        <v>4369.04</v>
      </c>
      <c r="U359" s="7">
        <f t="shared" si="30"/>
        <v>652.15999999999985</v>
      </c>
      <c r="V359">
        <v>652.16</v>
      </c>
      <c r="W359" s="12">
        <f t="shared" si="31"/>
        <v>0.14926848918755603</v>
      </c>
      <c r="X359" t="s">
        <v>32</v>
      </c>
      <c r="Y359" t="str">
        <f t="shared" si="32"/>
        <v>Paid</v>
      </c>
      <c r="Z359" t="s">
        <v>68</v>
      </c>
      <c r="AA359">
        <f>C359-B359</f>
        <v>179</v>
      </c>
      <c r="AB359" t="str">
        <f>IF(B359="","Missing Order Date",
IF(C359="","Missing Ship Date","OK"))</f>
        <v>OK</v>
      </c>
      <c r="AC359" s="7" t="str">
        <f>IF(C359&lt;B359, "Invalid", "Valid")</f>
        <v>Valid</v>
      </c>
      <c r="AD359" s="7" t="str">
        <f>IF(COUNTIF($A:$A, A359)&gt;1, "Duplicate", "Unique")</f>
        <v>Unique</v>
      </c>
      <c r="AE359" s="7" t="str">
        <f>IF(G359="","Unknown",G359)</f>
        <v>South</v>
      </c>
      <c r="AF359" s="7" t="str">
        <f>IF(M359="","Unknown",M359)</f>
        <v>Second Class</v>
      </c>
      <c r="AG359" s="7" t="str">
        <f>IF(P359&lt;0,"Invalid",
IF(P359&gt;1,"Invalid","Valid"))</f>
        <v>Valid</v>
      </c>
      <c r="AH359" s="7" t="str">
        <f>TEXT(B359,"mmmm")</f>
        <v>January</v>
      </c>
      <c r="AI359" s="7">
        <f t="shared" si="33"/>
        <v>2025</v>
      </c>
      <c r="AJ359" s="7" t="str">
        <f>IF(OR(R359&lt;0,C359&lt;B359),"Invalid",
IF(OR(G359="Unknown",M359="Unknown"),"Warning","Clean"))</f>
        <v>Clean</v>
      </c>
      <c r="AK359" s="7" t="str">
        <f>IF(C359&lt;B359,"Ship Before Order","OK")</f>
        <v>OK</v>
      </c>
      <c r="AL359" s="7" t="str">
        <f>IF(ISNUMBER(B359),"Valid","Invalid")</f>
        <v>Valid</v>
      </c>
      <c r="AM359" s="7" t="str">
        <f t="shared" si="34"/>
        <v>Ok</v>
      </c>
      <c r="AN359" s="7" t="str">
        <f t="shared" si="35"/>
        <v>Ok</v>
      </c>
    </row>
    <row r="360" spans="1:40">
      <c r="A360" t="s">
        <v>1178</v>
      </c>
      <c r="B360" s="6">
        <v>45908</v>
      </c>
      <c r="C360" s="4">
        <v>45858</v>
      </c>
      <c r="D360" t="s">
        <v>1179</v>
      </c>
      <c r="E360" t="s">
        <v>71</v>
      </c>
      <c r="F360" t="s">
        <v>95</v>
      </c>
      <c r="G360" t="s">
        <v>63</v>
      </c>
      <c r="H360" t="s">
        <v>180</v>
      </c>
      <c r="I360" t="s">
        <v>181</v>
      </c>
      <c r="J360" t="s">
        <v>41</v>
      </c>
      <c r="K360" t="s">
        <v>158</v>
      </c>
      <c r="L360" t="s">
        <v>1180</v>
      </c>
      <c r="M360" t="s">
        <v>31</v>
      </c>
      <c r="N360">
        <v>5</v>
      </c>
      <c r="O360">
        <v>1253.92</v>
      </c>
      <c r="P360">
        <v>0.05</v>
      </c>
      <c r="Q360" s="7">
        <f>IF(P360="", 0, P360)</f>
        <v>0.05</v>
      </c>
      <c r="R360">
        <v>5956.12</v>
      </c>
      <c r="S360">
        <v>4379.18</v>
      </c>
      <c r="T360" s="7">
        <f>N360*O360*(1-Q360)</f>
        <v>5956.12</v>
      </c>
      <c r="U360" s="7">
        <f t="shared" si="30"/>
        <v>1576.9399999999996</v>
      </c>
      <c r="V360">
        <v>1576.94</v>
      </c>
      <c r="W360" s="12">
        <f t="shared" si="31"/>
        <v>0.26475960860425907</v>
      </c>
      <c r="X360" t="s">
        <v>111</v>
      </c>
      <c r="Y360" t="str">
        <f t="shared" si="32"/>
        <v>Pending</v>
      </c>
      <c r="Z360" t="s">
        <v>103</v>
      </c>
      <c r="AA360">
        <f>C360-B360</f>
        <v>-50</v>
      </c>
      <c r="AB360" t="str">
        <f>IF(B360="","Missing Order Date",
IF(C360="","Missing Ship Date","OK"))</f>
        <v>OK</v>
      </c>
      <c r="AC360" s="7" t="str">
        <f>IF(C360&lt;B360, "Invalid", "Valid")</f>
        <v>Invalid</v>
      </c>
      <c r="AD360" s="7" t="str">
        <f>IF(COUNTIF($A:$A, A360)&gt;1, "Duplicate", "Unique")</f>
        <v>Unique</v>
      </c>
      <c r="AE360" s="7" t="str">
        <f>IF(G360="","Unknown",G360)</f>
        <v>West</v>
      </c>
      <c r="AF360" s="7" t="str">
        <f>IF(M360="","Unknown",M360)</f>
        <v>Second Class</v>
      </c>
      <c r="AG360" s="7" t="str">
        <f>IF(P360&lt;0,"Invalid",
IF(P360&gt;1,"Invalid","Valid"))</f>
        <v>Valid</v>
      </c>
      <c r="AH360" s="7" t="str">
        <f>TEXT(B360,"mmmm")</f>
        <v>September</v>
      </c>
      <c r="AI360" s="7">
        <f t="shared" si="33"/>
        <v>2025</v>
      </c>
      <c r="AJ360" s="7" t="str">
        <f>IF(OR(R360&lt;0,C360&lt;B360),"Invalid",
IF(OR(G360="Unknown",M360="Unknown"),"Warning","Clean"))</f>
        <v>Invalid</v>
      </c>
      <c r="AK360" s="7" t="str">
        <f>IF(C360&lt;B360,"Ship Before Order","OK")</f>
        <v>Ship Before Order</v>
      </c>
      <c r="AL360" s="7" t="str">
        <f>IF(ISNUMBER(B360),"Valid","Invalid")</f>
        <v>Valid</v>
      </c>
      <c r="AM360" s="7" t="str">
        <f t="shared" si="34"/>
        <v>Ok</v>
      </c>
      <c r="AN360" s="7" t="str">
        <f t="shared" si="35"/>
        <v>Ok</v>
      </c>
    </row>
    <row r="361" spans="1:40">
      <c r="A361" t="s">
        <v>1181</v>
      </c>
      <c r="B361" s="6">
        <v>45525</v>
      </c>
      <c r="C361" s="4">
        <v>45859</v>
      </c>
      <c r="D361" t="s">
        <v>1182</v>
      </c>
      <c r="E361" t="s">
        <v>47</v>
      </c>
      <c r="F361" t="s">
        <v>24</v>
      </c>
      <c r="G361" t="s">
        <v>54</v>
      </c>
      <c r="H361" t="s">
        <v>247</v>
      </c>
      <c r="I361" t="s">
        <v>248</v>
      </c>
      <c r="J361" t="s">
        <v>74</v>
      </c>
      <c r="K361" t="s">
        <v>171</v>
      </c>
      <c r="L361" t="s">
        <v>1183</v>
      </c>
      <c r="M361" t="s">
        <v>44</v>
      </c>
      <c r="N361">
        <v>9</v>
      </c>
      <c r="O361">
        <v>616.96</v>
      </c>
      <c r="P361">
        <v>0.1</v>
      </c>
      <c r="Q361" s="7">
        <f>IF(P361="", 0, P361)</f>
        <v>0.1</v>
      </c>
      <c r="R361">
        <v>4997.38</v>
      </c>
      <c r="S361">
        <v>2971.39</v>
      </c>
      <c r="T361" s="7">
        <f>N361*O361*(1-Q361)</f>
        <v>4997.3760000000002</v>
      </c>
      <c r="U361" s="7">
        <f t="shared" si="30"/>
        <v>2025.9860000000003</v>
      </c>
      <c r="V361">
        <v>2025.99</v>
      </c>
      <c r="W361" s="12">
        <f t="shared" si="31"/>
        <v>0.40540995914656014</v>
      </c>
      <c r="X361" t="s">
        <v>32</v>
      </c>
      <c r="Y361" t="str">
        <f t="shared" si="32"/>
        <v>Paid</v>
      </c>
      <c r="Z361" t="s">
        <v>33</v>
      </c>
      <c r="AA361">
        <f>C361-B361</f>
        <v>334</v>
      </c>
      <c r="AB361" t="str">
        <f>IF(B361="","Missing Order Date",
IF(C361="","Missing Ship Date","OK"))</f>
        <v>OK</v>
      </c>
      <c r="AC361" s="7" t="str">
        <f>IF(C361&lt;B361, "Invalid", "Valid")</f>
        <v>Valid</v>
      </c>
      <c r="AD361" s="7" t="str">
        <f>IF(COUNTIF($A:$A, A361)&gt;1, "Duplicate", "Unique")</f>
        <v>Unique</v>
      </c>
      <c r="AE361" s="7" t="str">
        <f>IF(G361="","Unknown",G361)</f>
        <v>South</v>
      </c>
      <c r="AF361" s="7" t="str">
        <f>IF(M361="","Unknown",M361)</f>
        <v>Same Day</v>
      </c>
      <c r="AG361" s="7" t="str">
        <f>IF(P361&lt;0,"Invalid",
IF(P361&gt;1,"Invalid","Valid"))</f>
        <v>Valid</v>
      </c>
      <c r="AH361" s="7" t="str">
        <f>TEXT(B361,"mmmm")</f>
        <v>August</v>
      </c>
      <c r="AI361" s="7">
        <f t="shared" si="33"/>
        <v>2024</v>
      </c>
      <c r="AJ361" s="7" t="str">
        <f>IF(OR(R361&lt;0,C361&lt;B361),"Invalid",
IF(OR(G361="Unknown",M361="Unknown"),"Warning","Clean"))</f>
        <v>Clean</v>
      </c>
      <c r="AK361" s="7" t="str">
        <f>IF(C361&lt;B361,"Ship Before Order","OK")</f>
        <v>OK</v>
      </c>
      <c r="AL361" s="7" t="str">
        <f>IF(ISNUMBER(B361),"Valid","Invalid")</f>
        <v>Valid</v>
      </c>
      <c r="AM361" s="7" t="str">
        <f t="shared" si="34"/>
        <v>Missmatched</v>
      </c>
      <c r="AN361" s="7" t="str">
        <f t="shared" si="35"/>
        <v>Missmatched</v>
      </c>
    </row>
    <row r="362" spans="1:40">
      <c r="A362" t="s">
        <v>1184</v>
      </c>
      <c r="B362" s="6">
        <v>45460</v>
      </c>
      <c r="C362" s="4">
        <v>45860</v>
      </c>
      <c r="D362" t="s">
        <v>1185</v>
      </c>
      <c r="E362" t="s">
        <v>132</v>
      </c>
      <c r="F362" t="s">
        <v>37</v>
      </c>
      <c r="G362" t="s">
        <v>63</v>
      </c>
      <c r="H362" t="s">
        <v>180</v>
      </c>
      <c r="I362" t="s">
        <v>181</v>
      </c>
      <c r="J362" t="s">
        <v>41</v>
      </c>
      <c r="K362" t="s">
        <v>57</v>
      </c>
      <c r="L362" t="s">
        <v>1186</v>
      </c>
      <c r="M362" t="s">
        <v>59</v>
      </c>
      <c r="N362">
        <v>7</v>
      </c>
      <c r="O362">
        <v>3155.25</v>
      </c>
      <c r="P362">
        <v>0.2</v>
      </c>
      <c r="Q362" s="7">
        <f>IF(P362="", 0, P362)</f>
        <v>0.2</v>
      </c>
      <c r="R362">
        <v>17669.400000000001</v>
      </c>
      <c r="S362">
        <v>13718.77</v>
      </c>
      <c r="T362" s="7">
        <f>N362*O362*(1-Q362)</f>
        <v>17669.400000000001</v>
      </c>
      <c r="U362" s="7">
        <f t="shared" si="30"/>
        <v>3950.630000000001</v>
      </c>
      <c r="V362">
        <v>3950.63</v>
      </c>
      <c r="W362" s="12">
        <f t="shared" si="31"/>
        <v>0.2235859734908939</v>
      </c>
      <c r="X362" t="s">
        <v>102</v>
      </c>
      <c r="Y362" t="str">
        <f t="shared" si="32"/>
        <v>Refunded</v>
      </c>
      <c r="Z362" t="s">
        <v>68</v>
      </c>
      <c r="AA362">
        <f>C362-B362</f>
        <v>400</v>
      </c>
      <c r="AB362" t="str">
        <f>IF(B362="","Missing Order Date",
IF(C362="","Missing Ship Date","OK"))</f>
        <v>OK</v>
      </c>
      <c r="AC362" s="7" t="str">
        <f>IF(C362&lt;B362, "Invalid", "Valid")</f>
        <v>Valid</v>
      </c>
      <c r="AD362" s="7" t="str">
        <f>IF(COUNTIF($A:$A, A362)&gt;1, "Duplicate", "Unique")</f>
        <v>Unique</v>
      </c>
      <c r="AE362" s="7" t="str">
        <f>IF(G362="","Unknown",G362)</f>
        <v>West</v>
      </c>
      <c r="AF362" s="7" t="str">
        <f>IF(M362="","Unknown",M362)</f>
        <v>Standard Class</v>
      </c>
      <c r="AG362" s="7" t="str">
        <f>IF(P362&lt;0,"Invalid",
IF(P362&gt;1,"Invalid","Valid"))</f>
        <v>Valid</v>
      </c>
      <c r="AH362" s="7" t="str">
        <f>TEXT(B362,"mmmm")</f>
        <v>June</v>
      </c>
      <c r="AI362" s="7">
        <f t="shared" si="33"/>
        <v>2024</v>
      </c>
      <c r="AJ362" s="7" t="str">
        <f>IF(OR(R362&lt;0,C362&lt;B362),"Invalid",
IF(OR(G362="Unknown",M362="Unknown"),"Warning","Clean"))</f>
        <v>Clean</v>
      </c>
      <c r="AK362" s="7" t="str">
        <f>IF(C362&lt;B362,"Ship Before Order","OK")</f>
        <v>OK</v>
      </c>
      <c r="AL362" s="7" t="str">
        <f>IF(ISNUMBER(B362),"Valid","Invalid")</f>
        <v>Valid</v>
      </c>
      <c r="AM362" s="7" t="str">
        <f t="shared" si="34"/>
        <v>Ok</v>
      </c>
      <c r="AN362" s="7" t="str">
        <f t="shared" si="35"/>
        <v>Ok</v>
      </c>
    </row>
    <row r="363" spans="1:40">
      <c r="A363" t="s">
        <v>1187</v>
      </c>
      <c r="B363" s="6">
        <v>45748</v>
      </c>
      <c r="C363" s="4">
        <v>45861</v>
      </c>
      <c r="D363" t="s">
        <v>1188</v>
      </c>
      <c r="E363" t="s">
        <v>141</v>
      </c>
      <c r="F363" t="s">
        <v>90</v>
      </c>
      <c r="G363" t="s">
        <v>38</v>
      </c>
      <c r="H363" t="s">
        <v>39</v>
      </c>
      <c r="I363" t="s">
        <v>40</v>
      </c>
      <c r="J363" t="s">
        <v>41</v>
      </c>
      <c r="K363" t="s">
        <v>66</v>
      </c>
      <c r="L363" t="s">
        <v>1189</v>
      </c>
      <c r="M363" t="s">
        <v>31</v>
      </c>
      <c r="N363">
        <v>9</v>
      </c>
      <c r="O363">
        <v>4165.58</v>
      </c>
      <c r="P363">
        <v>0.05</v>
      </c>
      <c r="Q363" s="7">
        <f>IF(P363="", 0, P363)</f>
        <v>0.05</v>
      </c>
      <c r="R363">
        <v>35615.71</v>
      </c>
      <c r="S363">
        <v>20389.71</v>
      </c>
      <c r="T363" s="7">
        <f>N363*O363*(1-Q363)</f>
        <v>35615.709000000003</v>
      </c>
      <c r="U363" s="7">
        <f t="shared" si="30"/>
        <v>15225.999000000003</v>
      </c>
      <c r="V363">
        <v>15226</v>
      </c>
      <c r="W363" s="12">
        <f t="shared" si="31"/>
        <v>0.42750795723314122</v>
      </c>
      <c r="X363" t="s">
        <v>111</v>
      </c>
      <c r="Y363" t="str">
        <f t="shared" si="32"/>
        <v>Pending</v>
      </c>
      <c r="Z363" t="s">
        <v>103</v>
      </c>
      <c r="AA363">
        <f>C363-B363</f>
        <v>113</v>
      </c>
      <c r="AB363" t="str">
        <f>IF(B363="","Missing Order Date",
IF(C363="","Missing Ship Date","OK"))</f>
        <v>OK</v>
      </c>
      <c r="AC363" s="7" t="str">
        <f>IF(C363&lt;B363, "Invalid", "Valid")</f>
        <v>Valid</v>
      </c>
      <c r="AD363" s="7" t="str">
        <f>IF(COUNTIF($A:$A, A363)&gt;1, "Duplicate", "Unique")</f>
        <v>Unique</v>
      </c>
      <c r="AE363" s="7" t="str">
        <f>IF(G363="","Unknown",G363)</f>
        <v>East</v>
      </c>
      <c r="AF363" s="7" t="str">
        <f>IF(M363="","Unknown",M363)</f>
        <v>Second Class</v>
      </c>
      <c r="AG363" s="7" t="str">
        <f>IF(P363&lt;0,"Invalid",
IF(P363&gt;1,"Invalid","Valid"))</f>
        <v>Valid</v>
      </c>
      <c r="AH363" s="7" t="str">
        <f>TEXT(B363,"mmmm")</f>
        <v>April</v>
      </c>
      <c r="AI363" s="7">
        <f t="shared" si="33"/>
        <v>2025</v>
      </c>
      <c r="AJ363" s="7" t="str">
        <f>IF(OR(R363&lt;0,C363&lt;B363),"Invalid",
IF(OR(G363="Unknown",M363="Unknown"),"Warning","Clean"))</f>
        <v>Clean</v>
      </c>
      <c r="AK363" s="7" t="str">
        <f>IF(C363&lt;B363,"Ship Before Order","OK")</f>
        <v>OK</v>
      </c>
      <c r="AL363" s="7" t="str">
        <f>IF(ISNUMBER(B363),"Valid","Invalid")</f>
        <v>Valid</v>
      </c>
      <c r="AM363" s="7" t="str">
        <f t="shared" si="34"/>
        <v>Missmatched</v>
      </c>
      <c r="AN363" s="7" t="str">
        <f t="shared" si="35"/>
        <v>Missmatched</v>
      </c>
    </row>
    <row r="364" spans="1:40">
      <c r="A364" t="s">
        <v>1190</v>
      </c>
      <c r="B364" s="6">
        <v>45527</v>
      </c>
      <c r="C364" s="4">
        <v>45862</v>
      </c>
      <c r="D364" t="s">
        <v>1191</v>
      </c>
      <c r="E364" t="s">
        <v>71</v>
      </c>
      <c r="F364" t="s">
        <v>24</v>
      </c>
      <c r="G364" t="s">
        <v>63</v>
      </c>
      <c r="H364" t="s">
        <v>190</v>
      </c>
      <c r="I364" t="s">
        <v>191</v>
      </c>
      <c r="J364" t="s">
        <v>74</v>
      </c>
      <c r="K364" t="s">
        <v>274</v>
      </c>
      <c r="L364" t="s">
        <v>1192</v>
      </c>
      <c r="M364" t="s">
        <v>44</v>
      </c>
      <c r="N364">
        <v>4</v>
      </c>
      <c r="O364">
        <v>491.16</v>
      </c>
      <c r="P364">
        <v>0.05</v>
      </c>
      <c r="Q364" s="7">
        <f>IF(P364="", 0, P364)</f>
        <v>0.05</v>
      </c>
      <c r="R364">
        <v>1866.41</v>
      </c>
      <c r="S364">
        <v>1576.49</v>
      </c>
      <c r="T364" s="7">
        <f>N364*O364*(1-Q364)</f>
        <v>1866.4079999999999</v>
      </c>
      <c r="U364" s="7">
        <f t="shared" si="30"/>
        <v>289.91799999999989</v>
      </c>
      <c r="V364">
        <v>289.92</v>
      </c>
      <c r="W364" s="12">
        <f t="shared" si="31"/>
        <v>0.15533473924243782</v>
      </c>
      <c r="X364" t="s">
        <v>32</v>
      </c>
      <c r="Y364" t="str">
        <f t="shared" si="32"/>
        <v>Paid</v>
      </c>
      <c r="Z364" t="s">
        <v>33</v>
      </c>
      <c r="AA364">
        <f>C364-B364</f>
        <v>335</v>
      </c>
      <c r="AB364" t="str">
        <f>IF(B364="","Missing Order Date",
IF(C364="","Missing Ship Date","OK"))</f>
        <v>OK</v>
      </c>
      <c r="AC364" s="7" t="str">
        <f>IF(C364&lt;B364, "Invalid", "Valid")</f>
        <v>Valid</v>
      </c>
      <c r="AD364" s="7" t="str">
        <f>IF(COUNTIF($A:$A, A364)&gt;1, "Duplicate", "Unique")</f>
        <v>Unique</v>
      </c>
      <c r="AE364" s="7" t="str">
        <f>IF(G364="","Unknown",G364)</f>
        <v>West</v>
      </c>
      <c r="AF364" s="7" t="str">
        <f>IF(M364="","Unknown",M364)</f>
        <v>Same Day</v>
      </c>
      <c r="AG364" s="7" t="str">
        <f>IF(P364&lt;0,"Invalid",
IF(P364&gt;1,"Invalid","Valid"))</f>
        <v>Valid</v>
      </c>
      <c r="AH364" s="7" t="str">
        <f>TEXT(B364,"mmmm")</f>
        <v>August</v>
      </c>
      <c r="AI364" s="7">
        <f t="shared" si="33"/>
        <v>2024</v>
      </c>
      <c r="AJ364" s="7" t="str">
        <f>IF(OR(R364&lt;0,C364&lt;B364),"Invalid",
IF(OR(G364="Unknown",M364="Unknown"),"Warning","Clean"))</f>
        <v>Clean</v>
      </c>
      <c r="AK364" s="7" t="str">
        <f>IF(C364&lt;B364,"Ship Before Order","OK")</f>
        <v>OK</v>
      </c>
      <c r="AL364" s="7" t="str">
        <f>IF(ISNUMBER(B364),"Valid","Invalid")</f>
        <v>Valid</v>
      </c>
      <c r="AM364" s="7" t="str">
        <f t="shared" si="34"/>
        <v>Missmatched</v>
      </c>
      <c r="AN364" s="7" t="str">
        <f t="shared" si="35"/>
        <v>Missmatched</v>
      </c>
    </row>
    <row r="365" spans="1:40">
      <c r="A365" t="s">
        <v>1193</v>
      </c>
      <c r="B365" s="6">
        <v>45845</v>
      </c>
      <c r="C365" s="4">
        <v>45863</v>
      </c>
      <c r="D365" t="s">
        <v>1194</v>
      </c>
      <c r="E365" t="s">
        <v>162</v>
      </c>
      <c r="F365" t="s">
        <v>90</v>
      </c>
      <c r="G365" t="s">
        <v>38</v>
      </c>
      <c r="H365" t="s">
        <v>99</v>
      </c>
      <c r="I365" t="s">
        <v>100</v>
      </c>
      <c r="J365" t="s">
        <v>41</v>
      </c>
      <c r="K365" t="s">
        <v>42</v>
      </c>
      <c r="L365" t="s">
        <v>1195</v>
      </c>
      <c r="M365" t="s">
        <v>31</v>
      </c>
      <c r="N365">
        <v>5</v>
      </c>
      <c r="O365">
        <v>1831.37</v>
      </c>
      <c r="P365">
        <v>0.25</v>
      </c>
      <c r="Q365" s="7">
        <f>IF(P365="", 0, P365)</f>
        <v>0.25</v>
      </c>
      <c r="R365">
        <v>6867.64</v>
      </c>
      <c r="S365">
        <v>5205.3599999999997</v>
      </c>
      <c r="T365" s="7">
        <f>N365*O365*(1-Q365)</f>
        <v>6867.6374999999989</v>
      </c>
      <c r="U365" s="7">
        <f t="shared" si="30"/>
        <v>1662.2774999999992</v>
      </c>
      <c r="V365">
        <v>1662.28</v>
      </c>
      <c r="W365" s="12">
        <f t="shared" si="31"/>
        <v>0.24204502640100028</v>
      </c>
      <c r="X365" t="s">
        <v>32</v>
      </c>
      <c r="Y365" t="str">
        <f t="shared" si="32"/>
        <v>Paid</v>
      </c>
      <c r="Z365" t="s">
        <v>33</v>
      </c>
      <c r="AA365">
        <f>C365-B365</f>
        <v>18</v>
      </c>
      <c r="AB365" t="str">
        <f>IF(B365="","Missing Order Date",
IF(C365="","Missing Ship Date","OK"))</f>
        <v>OK</v>
      </c>
      <c r="AC365" s="7" t="str">
        <f>IF(C365&lt;B365, "Invalid", "Valid")</f>
        <v>Valid</v>
      </c>
      <c r="AD365" s="7" t="str">
        <f>IF(COUNTIF($A:$A, A365)&gt;1, "Duplicate", "Unique")</f>
        <v>Unique</v>
      </c>
      <c r="AE365" s="7" t="str">
        <f>IF(G365="","Unknown",G365)</f>
        <v>East</v>
      </c>
      <c r="AF365" s="7" t="str">
        <f>IF(M365="","Unknown",M365)</f>
        <v>Second Class</v>
      </c>
      <c r="AG365" s="7" t="str">
        <f>IF(P365&lt;0,"Invalid",
IF(P365&gt;1,"Invalid","Valid"))</f>
        <v>Valid</v>
      </c>
      <c r="AH365" s="7" t="str">
        <f>TEXT(B365,"mmmm")</f>
        <v>July</v>
      </c>
      <c r="AI365" s="7">
        <f t="shared" si="33"/>
        <v>2025</v>
      </c>
      <c r="AJ365" s="7" t="str">
        <f>IF(OR(R365&lt;0,C365&lt;B365),"Invalid",
IF(OR(G365="Unknown",M365="Unknown"),"Warning","Clean"))</f>
        <v>Clean</v>
      </c>
      <c r="AK365" s="7" t="str">
        <f>IF(C365&lt;B365,"Ship Before Order","OK")</f>
        <v>OK</v>
      </c>
      <c r="AL365" s="7" t="str">
        <f>IF(ISNUMBER(B365),"Valid","Invalid")</f>
        <v>Valid</v>
      </c>
      <c r="AM365" s="7" t="str">
        <f t="shared" si="34"/>
        <v>Missmatched</v>
      </c>
      <c r="AN365" s="7" t="str">
        <f t="shared" si="35"/>
        <v>Missmatched</v>
      </c>
    </row>
    <row r="366" spans="1:40">
      <c r="A366" t="s">
        <v>1196</v>
      </c>
      <c r="B366" s="6">
        <v>45737</v>
      </c>
      <c r="C366" s="4">
        <v>45864</v>
      </c>
      <c r="D366" t="s">
        <v>1197</v>
      </c>
      <c r="E366" t="s">
        <v>128</v>
      </c>
      <c r="F366" t="s">
        <v>37</v>
      </c>
      <c r="G366" t="s">
        <v>54</v>
      </c>
      <c r="H366" t="s">
        <v>84</v>
      </c>
      <c r="I366" t="s">
        <v>85</v>
      </c>
      <c r="J366" t="s">
        <v>41</v>
      </c>
      <c r="K366" t="s">
        <v>66</v>
      </c>
      <c r="L366" t="s">
        <v>1198</v>
      </c>
      <c r="M366" t="s">
        <v>31</v>
      </c>
      <c r="N366">
        <v>5</v>
      </c>
      <c r="O366">
        <v>1239.1500000000001</v>
      </c>
      <c r="P366">
        <v>0</v>
      </c>
      <c r="Q366" s="7">
        <f>IF(P366="", 0, P366)</f>
        <v>0</v>
      </c>
      <c r="R366">
        <v>6195.75</v>
      </c>
      <c r="S366">
        <v>3967.02</v>
      </c>
      <c r="T366" s="7">
        <f>N366*O366*(1-Q366)</f>
        <v>6195.75</v>
      </c>
      <c r="U366" s="7">
        <f t="shared" si="30"/>
        <v>2228.73</v>
      </c>
      <c r="V366">
        <v>2228.73</v>
      </c>
      <c r="W366" s="12">
        <f t="shared" si="31"/>
        <v>0.35971916232901585</v>
      </c>
      <c r="X366" t="s">
        <v>32</v>
      </c>
      <c r="Y366" t="str">
        <f t="shared" si="32"/>
        <v>Paid</v>
      </c>
      <c r="Z366" t="s">
        <v>33</v>
      </c>
      <c r="AA366">
        <f>C366-B366</f>
        <v>127</v>
      </c>
      <c r="AB366" t="str">
        <f>IF(B366="","Missing Order Date",
IF(C366="","Missing Ship Date","OK"))</f>
        <v>OK</v>
      </c>
      <c r="AC366" s="7" t="str">
        <f>IF(C366&lt;B366, "Invalid", "Valid")</f>
        <v>Valid</v>
      </c>
      <c r="AD366" s="7" t="str">
        <f>IF(COUNTIF($A:$A, A366)&gt;1, "Duplicate", "Unique")</f>
        <v>Unique</v>
      </c>
      <c r="AE366" s="7" t="str">
        <f>IF(G366="","Unknown",G366)</f>
        <v>South</v>
      </c>
      <c r="AF366" s="7" t="str">
        <f>IF(M366="","Unknown",M366)</f>
        <v>Second Class</v>
      </c>
      <c r="AG366" s="7" t="str">
        <f>IF(P366&lt;0,"Invalid",
IF(P366&gt;1,"Invalid","Valid"))</f>
        <v>Valid</v>
      </c>
      <c r="AH366" s="7" t="str">
        <f>TEXT(B366,"mmmm")</f>
        <v>March</v>
      </c>
      <c r="AI366" s="7">
        <f t="shared" si="33"/>
        <v>2025</v>
      </c>
      <c r="AJ366" s="7" t="str">
        <f>IF(OR(R366&lt;0,C366&lt;B366),"Invalid",
IF(OR(G366="Unknown",M366="Unknown"),"Warning","Clean"))</f>
        <v>Clean</v>
      </c>
      <c r="AK366" s="7" t="str">
        <f>IF(C366&lt;B366,"Ship Before Order","OK")</f>
        <v>OK</v>
      </c>
      <c r="AL366" s="7" t="str">
        <f>IF(ISNUMBER(B366),"Valid","Invalid")</f>
        <v>Valid</v>
      </c>
      <c r="AM366" s="7" t="str">
        <f t="shared" si="34"/>
        <v>Ok</v>
      </c>
      <c r="AN366" s="7" t="str">
        <f t="shared" si="35"/>
        <v>Ok</v>
      </c>
    </row>
    <row r="367" spans="1:40">
      <c r="A367" t="s">
        <v>1199</v>
      </c>
      <c r="B367" s="6">
        <v>45458</v>
      </c>
      <c r="C367" s="4">
        <v>45865</v>
      </c>
      <c r="D367" t="s">
        <v>1200</v>
      </c>
      <c r="E367" t="s">
        <v>89</v>
      </c>
      <c r="F367" t="s">
        <v>90</v>
      </c>
      <c r="G367" t="s">
        <v>63</v>
      </c>
      <c r="H367" t="s">
        <v>190</v>
      </c>
      <c r="I367" t="s">
        <v>191</v>
      </c>
      <c r="J367" t="s">
        <v>74</v>
      </c>
      <c r="K367" t="s">
        <v>75</v>
      </c>
      <c r="L367" t="s">
        <v>1201</v>
      </c>
      <c r="M367" t="s">
        <v>50</v>
      </c>
      <c r="N367">
        <v>8</v>
      </c>
      <c r="O367">
        <v>1706.4</v>
      </c>
      <c r="Q367" s="7">
        <f>IF(P367="", 0, P367)</f>
        <v>0</v>
      </c>
      <c r="R367">
        <v>12968.64</v>
      </c>
      <c r="S367">
        <v>10119.61</v>
      </c>
      <c r="T367" s="7">
        <f>N367*O367*(1-Q367)</f>
        <v>13651.2</v>
      </c>
      <c r="U367" s="7">
        <f t="shared" si="30"/>
        <v>3531.59</v>
      </c>
      <c r="V367">
        <v>2849.03</v>
      </c>
      <c r="W367" s="12">
        <f t="shared" si="31"/>
        <v>0.2587017991092358</v>
      </c>
      <c r="X367" t="s">
        <v>32</v>
      </c>
      <c r="Y367" t="str">
        <f t="shared" si="32"/>
        <v>Paid</v>
      </c>
      <c r="Z367" t="s">
        <v>33</v>
      </c>
      <c r="AA367">
        <f>C367-B367</f>
        <v>407</v>
      </c>
      <c r="AB367" t="str">
        <f>IF(B367="","Missing Order Date",
IF(C367="","Missing Ship Date","OK"))</f>
        <v>OK</v>
      </c>
      <c r="AC367" s="7" t="str">
        <f>IF(C367&lt;B367, "Invalid", "Valid")</f>
        <v>Valid</v>
      </c>
      <c r="AD367" s="7" t="str">
        <f>IF(COUNTIF($A:$A, A367)&gt;1, "Duplicate", "Unique")</f>
        <v>Unique</v>
      </c>
      <c r="AE367" s="7" t="str">
        <f>IF(G367="","Unknown",G367)</f>
        <v>West</v>
      </c>
      <c r="AF367" s="7" t="str">
        <f>IF(M367="","Unknown",M367)</f>
        <v>First Class</v>
      </c>
      <c r="AG367" s="7" t="str">
        <f>IF(P367&lt;0,"Invalid",
IF(P367&gt;1,"Invalid","Valid"))</f>
        <v>Valid</v>
      </c>
      <c r="AH367" s="7" t="str">
        <f>TEXT(B367,"mmmm")</f>
        <v>June</v>
      </c>
      <c r="AI367" s="7">
        <f t="shared" si="33"/>
        <v>2024</v>
      </c>
      <c r="AJ367" s="7" t="str">
        <f>IF(OR(R367&lt;0,C367&lt;B367),"Invalid",
IF(OR(G367="Unknown",M367="Unknown"),"Warning","Clean"))</f>
        <v>Clean</v>
      </c>
      <c r="AK367" s="7" t="str">
        <f>IF(C367&lt;B367,"Ship Before Order","OK")</f>
        <v>OK</v>
      </c>
      <c r="AL367" s="7" t="str">
        <f>IF(ISNUMBER(B367),"Valid","Invalid")</f>
        <v>Valid</v>
      </c>
      <c r="AM367" s="7" t="str">
        <f t="shared" si="34"/>
        <v>Missmatched</v>
      </c>
      <c r="AN367" s="7" t="str">
        <f t="shared" si="35"/>
        <v>Missmatched</v>
      </c>
    </row>
    <row r="368" spans="1:40">
      <c r="A368" t="s">
        <v>1202</v>
      </c>
      <c r="B368" s="6">
        <v>45673</v>
      </c>
      <c r="C368" s="4">
        <v>45866</v>
      </c>
      <c r="D368" t="s">
        <v>1203</v>
      </c>
      <c r="E368" t="s">
        <v>132</v>
      </c>
      <c r="F368" t="s">
        <v>90</v>
      </c>
      <c r="G368" t="s">
        <v>25</v>
      </c>
      <c r="H368" t="s">
        <v>26</v>
      </c>
      <c r="I368" t="s">
        <v>27</v>
      </c>
      <c r="J368" t="s">
        <v>41</v>
      </c>
      <c r="K368" t="s">
        <v>42</v>
      </c>
      <c r="L368" t="s">
        <v>1204</v>
      </c>
      <c r="M368" t="s">
        <v>44</v>
      </c>
      <c r="N368">
        <v>2</v>
      </c>
      <c r="O368">
        <v>4418.28</v>
      </c>
      <c r="P368">
        <v>0</v>
      </c>
      <c r="Q368" s="7">
        <f>IF(P368="", 0, P368)</f>
        <v>0</v>
      </c>
      <c r="R368">
        <v>8836.56</v>
      </c>
      <c r="S368">
        <v>5867.75</v>
      </c>
      <c r="T368" s="7">
        <f>N368*O368*(1-Q368)</f>
        <v>8836.56</v>
      </c>
      <c r="U368" s="7">
        <f t="shared" si="30"/>
        <v>2968.8099999999995</v>
      </c>
      <c r="V368">
        <v>2968.81</v>
      </c>
      <c r="W368" s="12">
        <f t="shared" si="31"/>
        <v>0.33596897435201023</v>
      </c>
      <c r="X368" t="s">
        <v>32</v>
      </c>
      <c r="Y368" t="str">
        <f t="shared" si="32"/>
        <v>Paid</v>
      </c>
      <c r="Z368" t="s">
        <v>33</v>
      </c>
      <c r="AA368">
        <f>C368-B368</f>
        <v>193</v>
      </c>
      <c r="AB368" t="str">
        <f>IF(B368="","Missing Order Date",
IF(C368="","Missing Ship Date","OK"))</f>
        <v>OK</v>
      </c>
      <c r="AC368" s="7" t="str">
        <f>IF(C368&lt;B368, "Invalid", "Valid")</f>
        <v>Valid</v>
      </c>
      <c r="AD368" s="7" t="str">
        <f>IF(COUNTIF($A:$A, A368)&gt;1, "Duplicate", "Unique")</f>
        <v>Unique</v>
      </c>
      <c r="AE368" s="7" t="str">
        <f>IF(G368="","Unknown",G368)</f>
        <v>North</v>
      </c>
      <c r="AF368" s="7" t="str">
        <f>IF(M368="","Unknown",M368)</f>
        <v>Same Day</v>
      </c>
      <c r="AG368" s="7" t="str">
        <f>IF(P368&lt;0,"Invalid",
IF(P368&gt;1,"Invalid","Valid"))</f>
        <v>Valid</v>
      </c>
      <c r="AH368" s="7" t="str">
        <f>TEXT(B368,"mmmm")</f>
        <v>January</v>
      </c>
      <c r="AI368" s="7">
        <f t="shared" si="33"/>
        <v>2025</v>
      </c>
      <c r="AJ368" s="7" t="str">
        <f>IF(OR(R368&lt;0,C368&lt;B368),"Invalid",
IF(OR(G368="Unknown",M368="Unknown"),"Warning","Clean"))</f>
        <v>Clean</v>
      </c>
      <c r="AK368" s="7" t="str">
        <f>IF(C368&lt;B368,"Ship Before Order","OK")</f>
        <v>OK</v>
      </c>
      <c r="AL368" s="7" t="str">
        <f>IF(ISNUMBER(B368),"Valid","Invalid")</f>
        <v>Valid</v>
      </c>
      <c r="AM368" s="7" t="str">
        <f t="shared" si="34"/>
        <v>Ok</v>
      </c>
      <c r="AN368" s="7" t="str">
        <f t="shared" si="35"/>
        <v>Ok</v>
      </c>
    </row>
    <row r="369" spans="1:40">
      <c r="A369" t="s">
        <v>1205</v>
      </c>
      <c r="B369" s="6">
        <v>45366</v>
      </c>
      <c r="C369" s="4">
        <v>45867</v>
      </c>
      <c r="D369" t="s">
        <v>1206</v>
      </c>
      <c r="E369" t="s">
        <v>141</v>
      </c>
      <c r="F369" t="s">
        <v>24</v>
      </c>
      <c r="G369" t="s">
        <v>25</v>
      </c>
      <c r="H369" t="s">
        <v>350</v>
      </c>
      <c r="I369" t="s">
        <v>351</v>
      </c>
      <c r="J369" t="s">
        <v>28</v>
      </c>
      <c r="K369" t="s">
        <v>48</v>
      </c>
      <c r="L369" t="s">
        <v>1207</v>
      </c>
      <c r="M369" t="s">
        <v>59</v>
      </c>
      <c r="N369">
        <v>6</v>
      </c>
      <c r="O369">
        <v>3815.09</v>
      </c>
      <c r="P369">
        <v>0.15</v>
      </c>
      <c r="Q369" s="7">
        <f>IF(P369="", 0, P369)</f>
        <v>0.15</v>
      </c>
      <c r="R369">
        <v>19456.96</v>
      </c>
      <c r="S369">
        <v>14520.06</v>
      </c>
      <c r="T369" s="7">
        <f>N369*O369*(1-Q369)</f>
        <v>19456.958999999999</v>
      </c>
      <c r="U369" s="7">
        <f t="shared" si="30"/>
        <v>4936.8989999999994</v>
      </c>
      <c r="V369">
        <v>4936.8999999999996</v>
      </c>
      <c r="W369" s="12">
        <f t="shared" si="31"/>
        <v>0.25373435797443988</v>
      </c>
      <c r="X369" t="s">
        <v>155</v>
      </c>
      <c r="Y369" t="str">
        <f t="shared" si="32"/>
        <v>Failed</v>
      </c>
      <c r="Z369" t="s">
        <v>68</v>
      </c>
      <c r="AA369">
        <f>C369-B369</f>
        <v>501</v>
      </c>
      <c r="AB369" t="str">
        <f>IF(B369="","Missing Order Date",
IF(C369="","Missing Ship Date","OK"))</f>
        <v>OK</v>
      </c>
      <c r="AC369" s="7" t="str">
        <f>IF(C369&lt;B369, "Invalid", "Valid")</f>
        <v>Valid</v>
      </c>
      <c r="AD369" s="7" t="str">
        <f>IF(COUNTIF($A:$A, A369)&gt;1, "Duplicate", "Unique")</f>
        <v>Unique</v>
      </c>
      <c r="AE369" s="7" t="str">
        <f>IF(G369="","Unknown",G369)</f>
        <v>North</v>
      </c>
      <c r="AF369" s="7" t="str">
        <f>IF(M369="","Unknown",M369)</f>
        <v>Standard Class</v>
      </c>
      <c r="AG369" s="7" t="str">
        <f>IF(P369&lt;0,"Invalid",
IF(P369&gt;1,"Invalid","Valid"))</f>
        <v>Valid</v>
      </c>
      <c r="AH369" s="7" t="str">
        <f>TEXT(B369,"mmmm")</f>
        <v>March</v>
      </c>
      <c r="AI369" s="7">
        <f t="shared" si="33"/>
        <v>2024</v>
      </c>
      <c r="AJ369" s="7" t="str">
        <f>IF(OR(R369&lt;0,C369&lt;B369),"Invalid",
IF(OR(G369="Unknown",M369="Unknown"),"Warning","Clean"))</f>
        <v>Clean</v>
      </c>
      <c r="AK369" s="7" t="str">
        <f>IF(C369&lt;B369,"Ship Before Order","OK")</f>
        <v>OK</v>
      </c>
      <c r="AL369" s="7" t="str">
        <f>IF(ISNUMBER(B369),"Valid","Invalid")</f>
        <v>Valid</v>
      </c>
      <c r="AM369" s="7" t="str">
        <f t="shared" si="34"/>
        <v>Missmatched</v>
      </c>
      <c r="AN369" s="7" t="str">
        <f t="shared" si="35"/>
        <v>Missmatched</v>
      </c>
    </row>
    <row r="370" spans="1:40">
      <c r="A370" t="s">
        <v>1208</v>
      </c>
      <c r="B370" s="6">
        <v>45844</v>
      </c>
      <c r="C370" s="4">
        <v>45868</v>
      </c>
      <c r="D370" t="s">
        <v>1209</v>
      </c>
      <c r="E370" t="s">
        <v>128</v>
      </c>
      <c r="F370" t="s">
        <v>95</v>
      </c>
      <c r="G370" t="s">
        <v>25</v>
      </c>
      <c r="H370" t="s">
        <v>26</v>
      </c>
      <c r="I370" t="s">
        <v>27</v>
      </c>
      <c r="J370" t="s">
        <v>74</v>
      </c>
      <c r="K370" t="s">
        <v>75</v>
      </c>
      <c r="L370" t="s">
        <v>1210</v>
      </c>
      <c r="M370" t="s">
        <v>44</v>
      </c>
      <c r="N370">
        <v>9</v>
      </c>
      <c r="O370">
        <v>243.19</v>
      </c>
      <c r="P370">
        <v>0.05</v>
      </c>
      <c r="Q370" s="7">
        <f>IF(P370="", 0, P370)</f>
        <v>0.05</v>
      </c>
      <c r="R370">
        <v>2079.27</v>
      </c>
      <c r="S370">
        <v>1512.17</v>
      </c>
      <c r="T370" s="7">
        <f>N370*O370*(1-Q370)</f>
        <v>2079.2745</v>
      </c>
      <c r="U370" s="7">
        <f t="shared" si="30"/>
        <v>567.10449999999992</v>
      </c>
      <c r="V370">
        <v>567.1</v>
      </c>
      <c r="W370" s="12">
        <f t="shared" si="31"/>
        <v>0.27274152595051782</v>
      </c>
      <c r="X370" t="s">
        <v>102</v>
      </c>
      <c r="Y370" t="str">
        <f t="shared" si="32"/>
        <v>Refunded</v>
      </c>
      <c r="Z370" t="s">
        <v>103</v>
      </c>
      <c r="AA370">
        <f>C370-B370</f>
        <v>24</v>
      </c>
      <c r="AB370" t="str">
        <f>IF(B370="","Missing Order Date",
IF(C370="","Missing Ship Date","OK"))</f>
        <v>OK</v>
      </c>
      <c r="AC370" s="7" t="str">
        <f>IF(C370&lt;B370, "Invalid", "Valid")</f>
        <v>Valid</v>
      </c>
      <c r="AD370" s="7" t="str">
        <f>IF(COUNTIF($A:$A, A370)&gt;1, "Duplicate", "Unique")</f>
        <v>Unique</v>
      </c>
      <c r="AE370" s="7" t="str">
        <f>IF(G370="","Unknown",G370)</f>
        <v>North</v>
      </c>
      <c r="AF370" s="7" t="str">
        <f>IF(M370="","Unknown",M370)</f>
        <v>Same Day</v>
      </c>
      <c r="AG370" s="7" t="str">
        <f>IF(P370&lt;0,"Invalid",
IF(P370&gt;1,"Invalid","Valid"))</f>
        <v>Valid</v>
      </c>
      <c r="AH370" s="7" t="str">
        <f>TEXT(B370,"mmmm")</f>
        <v>July</v>
      </c>
      <c r="AI370" s="7">
        <f t="shared" si="33"/>
        <v>2025</v>
      </c>
      <c r="AJ370" s="7" t="str">
        <f>IF(OR(R370&lt;0,C370&lt;B370),"Invalid",
IF(OR(G370="Unknown",M370="Unknown"),"Warning","Clean"))</f>
        <v>Clean</v>
      </c>
      <c r="AK370" s="7" t="str">
        <f>IF(C370&lt;B370,"Ship Before Order","OK")</f>
        <v>OK</v>
      </c>
      <c r="AL370" s="7" t="str">
        <f>IF(ISNUMBER(B370),"Valid","Invalid")</f>
        <v>Valid</v>
      </c>
      <c r="AM370" s="7" t="str">
        <f t="shared" si="34"/>
        <v>Missmatched</v>
      </c>
      <c r="AN370" s="7" t="str">
        <f t="shared" si="35"/>
        <v>Missmatched</v>
      </c>
    </row>
    <row r="371" spans="1:40">
      <c r="A371" t="s">
        <v>1211</v>
      </c>
      <c r="B371" s="6">
        <v>45680</v>
      </c>
      <c r="C371" s="4">
        <v>45869</v>
      </c>
      <c r="D371" t="s">
        <v>1212</v>
      </c>
      <c r="E371" t="s">
        <v>114</v>
      </c>
      <c r="F371" t="s">
        <v>24</v>
      </c>
      <c r="G371" t="s">
        <v>25</v>
      </c>
      <c r="H371" t="s">
        <v>350</v>
      </c>
      <c r="I371" t="s">
        <v>351</v>
      </c>
      <c r="J371" t="s">
        <v>28</v>
      </c>
      <c r="K371" t="s">
        <v>91</v>
      </c>
      <c r="L371" t="s">
        <v>1213</v>
      </c>
      <c r="M371" t="s">
        <v>59</v>
      </c>
      <c r="N371">
        <v>9</v>
      </c>
      <c r="O371">
        <v>1169.3699999999999</v>
      </c>
      <c r="P371">
        <v>0.15</v>
      </c>
      <c r="Q371" s="7">
        <f>IF(P371="", 0, P371)</f>
        <v>0.15</v>
      </c>
      <c r="R371">
        <v>8945.68</v>
      </c>
      <c r="S371">
        <v>6740.35</v>
      </c>
      <c r="T371" s="7">
        <f>N371*O371*(1-Q371)</f>
        <v>8945.6804999999986</v>
      </c>
      <c r="U371" s="7">
        <f t="shared" si="30"/>
        <v>2205.3304999999982</v>
      </c>
      <c r="V371">
        <v>2205.33</v>
      </c>
      <c r="W371" s="12">
        <f t="shared" si="31"/>
        <v>0.24652462157574245</v>
      </c>
      <c r="X371" t="s">
        <v>32</v>
      </c>
      <c r="Y371" t="str">
        <f t="shared" si="32"/>
        <v>Paid</v>
      </c>
      <c r="Z371" t="s">
        <v>33</v>
      </c>
      <c r="AA371">
        <f>C371-B371</f>
        <v>189</v>
      </c>
      <c r="AB371" t="str">
        <f>IF(B371="","Missing Order Date",
IF(C371="","Missing Ship Date","OK"))</f>
        <v>OK</v>
      </c>
      <c r="AC371" s="7" t="str">
        <f>IF(C371&lt;B371, "Invalid", "Valid")</f>
        <v>Valid</v>
      </c>
      <c r="AD371" s="7" t="str">
        <f>IF(COUNTIF($A:$A, A371)&gt;1, "Duplicate", "Unique")</f>
        <v>Unique</v>
      </c>
      <c r="AE371" s="7" t="str">
        <f>IF(G371="","Unknown",G371)</f>
        <v>North</v>
      </c>
      <c r="AF371" s="7" t="str">
        <f>IF(M371="","Unknown",M371)</f>
        <v>Standard Class</v>
      </c>
      <c r="AG371" s="7" t="str">
        <f>IF(P371&lt;0,"Invalid",
IF(P371&gt;1,"Invalid","Valid"))</f>
        <v>Valid</v>
      </c>
      <c r="AH371" s="7" t="str">
        <f>TEXT(B371,"mmmm")</f>
        <v>January</v>
      </c>
      <c r="AI371" s="7">
        <f t="shared" si="33"/>
        <v>2025</v>
      </c>
      <c r="AJ371" s="7" t="str">
        <f>IF(OR(R371&lt;0,C371&lt;B371),"Invalid",
IF(OR(G371="Unknown",M371="Unknown"),"Warning","Clean"))</f>
        <v>Clean</v>
      </c>
      <c r="AK371" s="7" t="str">
        <f>IF(C371&lt;B371,"Ship Before Order","OK")</f>
        <v>OK</v>
      </c>
      <c r="AL371" s="7" t="str">
        <f>IF(ISNUMBER(B371),"Valid","Invalid")</f>
        <v>Valid</v>
      </c>
      <c r="AM371" s="7" t="str">
        <f t="shared" si="34"/>
        <v>Missmatched</v>
      </c>
      <c r="AN371" s="7" t="str">
        <f t="shared" si="35"/>
        <v>Missmatched</v>
      </c>
    </row>
    <row r="372" spans="1:40">
      <c r="A372" t="s">
        <v>1214</v>
      </c>
      <c r="B372" s="6">
        <v>45519</v>
      </c>
      <c r="C372" s="4">
        <v>45870</v>
      </c>
      <c r="D372" t="s">
        <v>1215</v>
      </c>
      <c r="E372" t="s">
        <v>62</v>
      </c>
      <c r="F372" t="s">
        <v>37</v>
      </c>
      <c r="G372" t="s">
        <v>63</v>
      </c>
      <c r="H372" t="s">
        <v>26</v>
      </c>
      <c r="I372" t="s">
        <v>109</v>
      </c>
      <c r="J372" t="s">
        <v>74</v>
      </c>
      <c r="K372" t="s">
        <v>80</v>
      </c>
      <c r="L372" t="s">
        <v>1216</v>
      </c>
      <c r="M372" t="s">
        <v>50</v>
      </c>
      <c r="N372">
        <v>7</v>
      </c>
      <c r="O372">
        <v>2333.81</v>
      </c>
      <c r="P372">
        <v>0.2</v>
      </c>
      <c r="Q372" s="7">
        <f>IF(P372="", 0, P372)</f>
        <v>0.2</v>
      </c>
      <c r="R372">
        <v>13069.34</v>
      </c>
      <c r="S372">
        <v>8768.59</v>
      </c>
      <c r="T372" s="7">
        <f>N372*O372*(1-Q372)</f>
        <v>13069.336000000001</v>
      </c>
      <c r="U372" s="7">
        <f t="shared" si="30"/>
        <v>4300.746000000001</v>
      </c>
      <c r="V372">
        <v>4300.75</v>
      </c>
      <c r="W372" s="12">
        <f t="shared" si="31"/>
        <v>0.32907149988339124</v>
      </c>
      <c r="X372" t="s">
        <v>32</v>
      </c>
      <c r="Y372" t="str">
        <f t="shared" si="32"/>
        <v>Paid</v>
      </c>
      <c r="Z372" t="s">
        <v>33</v>
      </c>
      <c r="AA372">
        <f>C372-B372</f>
        <v>351</v>
      </c>
      <c r="AB372" t="str">
        <f>IF(B372="","Missing Order Date",
IF(C372="","Missing Ship Date","OK"))</f>
        <v>OK</v>
      </c>
      <c r="AC372" s="7" t="str">
        <f>IF(C372&lt;B372, "Invalid", "Valid")</f>
        <v>Valid</v>
      </c>
      <c r="AD372" s="7" t="str">
        <f>IF(COUNTIF($A:$A, A372)&gt;1, "Duplicate", "Unique")</f>
        <v>Unique</v>
      </c>
      <c r="AE372" s="7" t="str">
        <f>IF(G372="","Unknown",G372)</f>
        <v>West</v>
      </c>
      <c r="AF372" s="7" t="str">
        <f>IF(M372="","Unknown",M372)</f>
        <v>First Class</v>
      </c>
      <c r="AG372" s="7" t="str">
        <f>IF(P372&lt;0,"Invalid",
IF(P372&gt;1,"Invalid","Valid"))</f>
        <v>Valid</v>
      </c>
      <c r="AH372" s="7" t="str">
        <f>TEXT(B372,"mmmm")</f>
        <v>August</v>
      </c>
      <c r="AI372" s="7">
        <f t="shared" si="33"/>
        <v>2024</v>
      </c>
      <c r="AJ372" s="7" t="str">
        <f>IF(OR(R372&lt;0,C372&lt;B372),"Invalid",
IF(OR(G372="Unknown",M372="Unknown"),"Warning","Clean"))</f>
        <v>Clean</v>
      </c>
      <c r="AK372" s="7" t="str">
        <f>IF(C372&lt;B372,"Ship Before Order","OK")</f>
        <v>OK</v>
      </c>
      <c r="AL372" s="7" t="str">
        <f>IF(ISNUMBER(B372),"Valid","Invalid")</f>
        <v>Valid</v>
      </c>
      <c r="AM372" s="7" t="str">
        <f t="shared" si="34"/>
        <v>Missmatched</v>
      </c>
      <c r="AN372" s="7" t="str">
        <f t="shared" si="35"/>
        <v>Missmatched</v>
      </c>
    </row>
    <row r="373" spans="1:40">
      <c r="A373" t="s">
        <v>1217</v>
      </c>
      <c r="B373" s="6">
        <v>45313</v>
      </c>
      <c r="C373" s="4">
        <v>45871</v>
      </c>
      <c r="D373" t="s">
        <v>1218</v>
      </c>
      <c r="E373" t="s">
        <v>162</v>
      </c>
      <c r="F373" t="s">
        <v>95</v>
      </c>
      <c r="G373" t="s">
        <v>63</v>
      </c>
      <c r="H373" t="s">
        <v>64</v>
      </c>
      <c r="I373" t="s">
        <v>65</v>
      </c>
      <c r="J373" t="s">
        <v>28</v>
      </c>
      <c r="K373" t="s">
        <v>48</v>
      </c>
      <c r="L373" t="s">
        <v>1219</v>
      </c>
      <c r="M373" t="s">
        <v>59</v>
      </c>
      <c r="N373">
        <v>6</v>
      </c>
      <c r="O373">
        <v>1026.06</v>
      </c>
      <c r="Q373" s="7">
        <f>IF(P373="", 0, P373)</f>
        <v>0</v>
      </c>
      <c r="R373">
        <v>4617.2700000000004</v>
      </c>
      <c r="S373">
        <v>2981.94</v>
      </c>
      <c r="T373" s="7">
        <f>N373*O373*(1-Q373)</f>
        <v>6156.36</v>
      </c>
      <c r="U373" s="7">
        <f t="shared" si="30"/>
        <v>3174.4199999999996</v>
      </c>
      <c r="V373">
        <v>1635.33</v>
      </c>
      <c r="W373" s="12">
        <f t="shared" si="31"/>
        <v>0.51563261407714944</v>
      </c>
      <c r="X373" t="s">
        <v>102</v>
      </c>
      <c r="Y373" t="str">
        <f t="shared" si="32"/>
        <v>Refunded</v>
      </c>
      <c r="Z373" t="s">
        <v>68</v>
      </c>
      <c r="AA373">
        <f>C373-B373</f>
        <v>558</v>
      </c>
      <c r="AB373" t="str">
        <f>IF(B373="","Missing Order Date",
IF(C373="","Missing Ship Date","OK"))</f>
        <v>OK</v>
      </c>
      <c r="AC373" s="7" t="str">
        <f>IF(C373&lt;B373, "Invalid", "Valid")</f>
        <v>Valid</v>
      </c>
      <c r="AD373" s="7" t="str">
        <f>IF(COUNTIF($A:$A, A373)&gt;1, "Duplicate", "Unique")</f>
        <v>Unique</v>
      </c>
      <c r="AE373" s="7" t="str">
        <f>IF(G373="","Unknown",G373)</f>
        <v>West</v>
      </c>
      <c r="AF373" s="7" t="str">
        <f>IF(M373="","Unknown",M373)</f>
        <v>Standard Class</v>
      </c>
      <c r="AG373" s="7" t="str">
        <f>IF(P373&lt;0,"Invalid",
IF(P373&gt;1,"Invalid","Valid"))</f>
        <v>Valid</v>
      </c>
      <c r="AH373" s="7" t="str">
        <f>TEXT(B373,"mmmm")</f>
        <v>January</v>
      </c>
      <c r="AI373" s="7">
        <f t="shared" si="33"/>
        <v>2024</v>
      </c>
      <c r="AJ373" s="7" t="str">
        <f>IF(OR(R373&lt;0,C373&lt;B373),"Invalid",
IF(OR(G373="Unknown",M373="Unknown"),"Warning","Clean"))</f>
        <v>Clean</v>
      </c>
      <c r="AK373" s="7" t="str">
        <f>IF(C373&lt;B373,"Ship Before Order","OK")</f>
        <v>OK</v>
      </c>
      <c r="AL373" s="7" t="str">
        <f>IF(ISNUMBER(B373),"Valid","Invalid")</f>
        <v>Valid</v>
      </c>
      <c r="AM373" s="7" t="str">
        <f t="shared" si="34"/>
        <v>Missmatched</v>
      </c>
      <c r="AN373" s="7" t="str">
        <f t="shared" si="35"/>
        <v>Missmatched</v>
      </c>
    </row>
    <row r="374" spans="1:40">
      <c r="A374" t="s">
        <v>1220</v>
      </c>
      <c r="B374" s="6">
        <v>45885</v>
      </c>
      <c r="C374" s="4">
        <v>45872</v>
      </c>
      <c r="D374" t="s">
        <v>641</v>
      </c>
      <c r="E374" t="s">
        <v>264</v>
      </c>
      <c r="F374" t="s">
        <v>24</v>
      </c>
      <c r="G374" t="s">
        <v>38</v>
      </c>
      <c r="H374" t="s">
        <v>228</v>
      </c>
      <c r="I374" t="s">
        <v>229</v>
      </c>
      <c r="J374" t="s">
        <v>41</v>
      </c>
      <c r="K374" t="s">
        <v>66</v>
      </c>
      <c r="L374" t="s">
        <v>1221</v>
      </c>
      <c r="M374" t="s">
        <v>44</v>
      </c>
      <c r="N374">
        <v>5</v>
      </c>
      <c r="O374">
        <v>1530.36</v>
      </c>
      <c r="P374">
        <v>0</v>
      </c>
      <c r="Q374" s="7">
        <f>IF(P374="", 0, P374)</f>
        <v>0</v>
      </c>
      <c r="R374">
        <v>7651.8</v>
      </c>
      <c r="S374">
        <v>5171.78</v>
      </c>
      <c r="T374" s="7">
        <f>N374*O374*(1-Q374)</f>
        <v>7651.7999999999993</v>
      </c>
      <c r="U374" s="7">
        <f t="shared" si="30"/>
        <v>2480.0199999999995</v>
      </c>
      <c r="V374">
        <v>2480.02</v>
      </c>
      <c r="W374" s="12">
        <f t="shared" si="31"/>
        <v>0.32410935988917638</v>
      </c>
      <c r="X374" t="s">
        <v>32</v>
      </c>
      <c r="Y374" t="str">
        <f t="shared" si="32"/>
        <v>Paid</v>
      </c>
      <c r="Z374" t="s">
        <v>33</v>
      </c>
      <c r="AA374">
        <f>C374-B374</f>
        <v>-13</v>
      </c>
      <c r="AB374" t="str">
        <f>IF(B374="","Missing Order Date",
IF(C374="","Missing Ship Date","OK"))</f>
        <v>OK</v>
      </c>
      <c r="AC374" s="7" t="str">
        <f>IF(C374&lt;B374, "Invalid", "Valid")</f>
        <v>Invalid</v>
      </c>
      <c r="AD374" s="7" t="str">
        <f>IF(COUNTIF($A:$A, A374)&gt;1, "Duplicate", "Unique")</f>
        <v>Unique</v>
      </c>
      <c r="AE374" s="7" t="str">
        <f>IF(G374="","Unknown",G374)</f>
        <v>East</v>
      </c>
      <c r="AF374" s="7" t="str">
        <f>IF(M374="","Unknown",M374)</f>
        <v>Same Day</v>
      </c>
      <c r="AG374" s="7" t="str">
        <f>IF(P374&lt;0,"Invalid",
IF(P374&gt;1,"Invalid","Valid"))</f>
        <v>Valid</v>
      </c>
      <c r="AH374" s="7" t="str">
        <f>TEXT(B374,"mmmm")</f>
        <v>August</v>
      </c>
      <c r="AI374" s="7">
        <f t="shared" si="33"/>
        <v>2025</v>
      </c>
      <c r="AJ374" s="7" t="str">
        <f>IF(OR(R374&lt;0,C374&lt;B374),"Invalid",
IF(OR(G374="Unknown",M374="Unknown"),"Warning","Clean"))</f>
        <v>Invalid</v>
      </c>
      <c r="AK374" s="7" t="str">
        <f>IF(C374&lt;B374,"Ship Before Order","OK")</f>
        <v>Ship Before Order</v>
      </c>
      <c r="AL374" s="7" t="str">
        <f>IF(ISNUMBER(B374),"Valid","Invalid")</f>
        <v>Valid</v>
      </c>
      <c r="AM374" s="7" t="str">
        <f t="shared" si="34"/>
        <v>Ok</v>
      </c>
      <c r="AN374" s="7" t="str">
        <f t="shared" si="35"/>
        <v>Ok</v>
      </c>
    </row>
    <row r="375" spans="1:40">
      <c r="A375" t="s">
        <v>1222</v>
      </c>
      <c r="B375" s="6">
        <v>45760</v>
      </c>
      <c r="C375" s="4">
        <v>45873</v>
      </c>
      <c r="D375" t="s">
        <v>1223</v>
      </c>
      <c r="E375" t="s">
        <v>132</v>
      </c>
      <c r="F375" t="s">
        <v>37</v>
      </c>
      <c r="G375" t="s">
        <v>25</v>
      </c>
      <c r="H375" t="s">
        <v>136</v>
      </c>
      <c r="I375" t="s">
        <v>137</v>
      </c>
      <c r="J375" t="s">
        <v>28</v>
      </c>
      <c r="K375" t="s">
        <v>124</v>
      </c>
      <c r="L375" t="s">
        <v>1224</v>
      </c>
      <c r="M375" t="s">
        <v>31</v>
      </c>
      <c r="N375">
        <v>9</v>
      </c>
      <c r="O375">
        <v>1118.68</v>
      </c>
      <c r="P375">
        <v>0</v>
      </c>
      <c r="Q375" s="7">
        <f>IF(P375="", 0, P375)</f>
        <v>0</v>
      </c>
      <c r="R375">
        <v>10068.120000000001</v>
      </c>
      <c r="S375">
        <v>8595.3700000000008</v>
      </c>
      <c r="T375" s="7">
        <f>N375*O375*(1-Q375)</f>
        <v>10068.120000000001</v>
      </c>
      <c r="U375" s="7">
        <f t="shared" si="30"/>
        <v>1472.75</v>
      </c>
      <c r="V375">
        <v>1472.75</v>
      </c>
      <c r="W375" s="12">
        <f t="shared" si="31"/>
        <v>0.14627855051389932</v>
      </c>
      <c r="X375" t="s">
        <v>32</v>
      </c>
      <c r="Y375" t="str">
        <f t="shared" si="32"/>
        <v>Paid</v>
      </c>
      <c r="Z375" t="s">
        <v>33</v>
      </c>
      <c r="AA375">
        <f>C375-B375</f>
        <v>113</v>
      </c>
      <c r="AB375" t="str">
        <f>IF(B375="","Missing Order Date",
IF(C375="","Missing Ship Date","OK"))</f>
        <v>OK</v>
      </c>
      <c r="AC375" s="7" t="str">
        <f>IF(C375&lt;B375, "Invalid", "Valid")</f>
        <v>Valid</v>
      </c>
      <c r="AD375" s="7" t="str">
        <f>IF(COUNTIF($A:$A, A375)&gt;1, "Duplicate", "Unique")</f>
        <v>Duplicate</v>
      </c>
      <c r="AE375" s="7" t="str">
        <f>IF(G375="","Unknown",G375)</f>
        <v>North</v>
      </c>
      <c r="AF375" s="7" t="str">
        <f>IF(M375="","Unknown",M375)</f>
        <v>Second Class</v>
      </c>
      <c r="AG375" s="7" t="str">
        <f>IF(P375&lt;0,"Invalid",
IF(P375&gt;1,"Invalid","Valid"))</f>
        <v>Valid</v>
      </c>
      <c r="AH375" s="7" t="str">
        <f>TEXT(B375,"mmmm")</f>
        <v>April</v>
      </c>
      <c r="AI375" s="7">
        <f t="shared" si="33"/>
        <v>2025</v>
      </c>
      <c r="AJ375" s="7" t="str">
        <f>IF(OR(R375&lt;0,C375&lt;B375),"Invalid",
IF(OR(G375="Unknown",M375="Unknown"),"Warning","Clean"))</f>
        <v>Clean</v>
      </c>
      <c r="AK375" s="7" t="str">
        <f>IF(C375&lt;B375,"Ship Before Order","OK")</f>
        <v>OK</v>
      </c>
      <c r="AL375" s="7" t="str">
        <f>IF(ISNUMBER(B375),"Valid","Invalid")</f>
        <v>Valid</v>
      </c>
      <c r="AM375" s="7" t="str">
        <f t="shared" si="34"/>
        <v>Ok</v>
      </c>
      <c r="AN375" s="7" t="str">
        <f t="shared" si="35"/>
        <v>Ok</v>
      </c>
    </row>
    <row r="376" spans="1:40">
      <c r="A376" t="s">
        <v>1225</v>
      </c>
      <c r="B376" s="6">
        <v>45715</v>
      </c>
      <c r="C376" s="4">
        <v>45874</v>
      </c>
      <c r="D376" t="s">
        <v>1226</v>
      </c>
      <c r="E376" t="s">
        <v>89</v>
      </c>
      <c r="F376" t="s">
        <v>37</v>
      </c>
      <c r="G376" t="s">
        <v>25</v>
      </c>
      <c r="H376" t="s">
        <v>136</v>
      </c>
      <c r="I376" t="s">
        <v>137</v>
      </c>
      <c r="J376" t="s">
        <v>28</v>
      </c>
      <c r="K376" t="s">
        <v>91</v>
      </c>
      <c r="L376" t="s">
        <v>1227</v>
      </c>
      <c r="M376" t="s">
        <v>59</v>
      </c>
      <c r="N376">
        <v>6</v>
      </c>
      <c r="O376">
        <v>2393.25</v>
      </c>
      <c r="P376">
        <v>0</v>
      </c>
      <c r="Q376" s="7">
        <f>IF(P376="", 0, P376)</f>
        <v>0</v>
      </c>
      <c r="R376">
        <v>14359.5</v>
      </c>
      <c r="S376">
        <v>8117.71</v>
      </c>
      <c r="T376" s="7">
        <f>N376*O376*(1-Q376)</f>
        <v>14359.5</v>
      </c>
      <c r="U376" s="7">
        <f t="shared" si="30"/>
        <v>6241.79</v>
      </c>
      <c r="V376">
        <v>6241.79</v>
      </c>
      <c r="W376" s="12">
        <f t="shared" si="31"/>
        <v>0.43468017688638183</v>
      </c>
      <c r="X376" t="s">
        <v>32</v>
      </c>
      <c r="Y376" t="str">
        <f t="shared" si="32"/>
        <v>Paid</v>
      </c>
      <c r="Z376" t="s">
        <v>33</v>
      </c>
      <c r="AA376">
        <f>C376-B376</f>
        <v>159</v>
      </c>
      <c r="AB376" t="str">
        <f>IF(B376="","Missing Order Date",
IF(C376="","Missing Ship Date","OK"))</f>
        <v>OK</v>
      </c>
      <c r="AC376" s="7" t="str">
        <f>IF(C376&lt;B376, "Invalid", "Valid")</f>
        <v>Valid</v>
      </c>
      <c r="AD376" s="7" t="str">
        <f>IF(COUNTIF($A:$A, A376)&gt;1, "Duplicate", "Unique")</f>
        <v>Unique</v>
      </c>
      <c r="AE376" s="7" t="str">
        <f>IF(G376="","Unknown",G376)</f>
        <v>North</v>
      </c>
      <c r="AF376" s="7" t="str">
        <f>IF(M376="","Unknown",M376)</f>
        <v>Standard Class</v>
      </c>
      <c r="AG376" s="7" t="str">
        <f>IF(P376&lt;0,"Invalid",
IF(P376&gt;1,"Invalid","Valid"))</f>
        <v>Valid</v>
      </c>
      <c r="AH376" s="7" t="str">
        <f>TEXT(B376,"mmmm")</f>
        <v>February</v>
      </c>
      <c r="AI376" s="7">
        <f t="shared" si="33"/>
        <v>2025</v>
      </c>
      <c r="AJ376" s="7" t="str">
        <f>IF(OR(R376&lt;0,C376&lt;B376),"Invalid",
IF(OR(G376="Unknown",M376="Unknown"),"Warning","Clean"))</f>
        <v>Clean</v>
      </c>
      <c r="AK376" s="7" t="str">
        <f>IF(C376&lt;B376,"Ship Before Order","OK")</f>
        <v>OK</v>
      </c>
      <c r="AL376" s="7" t="str">
        <f>IF(ISNUMBER(B376),"Valid","Invalid")</f>
        <v>Valid</v>
      </c>
      <c r="AM376" s="7" t="str">
        <f t="shared" si="34"/>
        <v>Ok</v>
      </c>
      <c r="AN376" s="7" t="str">
        <f t="shared" si="35"/>
        <v>Ok</v>
      </c>
    </row>
    <row r="377" spans="1:40">
      <c r="A377" t="s">
        <v>1228</v>
      </c>
      <c r="B377" s="6">
        <v>45657</v>
      </c>
      <c r="C377" s="4">
        <v>45875</v>
      </c>
      <c r="D377" t="s">
        <v>1229</v>
      </c>
      <c r="E377" t="s">
        <v>71</v>
      </c>
      <c r="F377" t="s">
        <v>24</v>
      </c>
      <c r="G377" t="s">
        <v>25</v>
      </c>
      <c r="H377" t="s">
        <v>350</v>
      </c>
      <c r="I377" t="s">
        <v>351</v>
      </c>
      <c r="J377" t="s">
        <v>41</v>
      </c>
      <c r="K377" t="s">
        <v>66</v>
      </c>
      <c r="L377" t="s">
        <v>1230</v>
      </c>
      <c r="M377" t="s">
        <v>44</v>
      </c>
      <c r="N377">
        <v>3</v>
      </c>
      <c r="O377">
        <v>1166.6099999999999</v>
      </c>
      <c r="P377">
        <v>0.25</v>
      </c>
      <c r="Q377" s="7">
        <f>IF(P377="", 0, P377)</f>
        <v>0.25</v>
      </c>
      <c r="R377">
        <v>2624.87</v>
      </c>
      <c r="S377">
        <v>2253.88</v>
      </c>
      <c r="T377" s="7">
        <f>N377*O377*(1-Q377)</f>
        <v>2624.8724999999999</v>
      </c>
      <c r="U377" s="7">
        <f t="shared" si="30"/>
        <v>370.99249999999984</v>
      </c>
      <c r="V377">
        <v>370.99</v>
      </c>
      <c r="W377" s="12">
        <f t="shared" si="31"/>
        <v>0.14133734114704613</v>
      </c>
      <c r="X377" t="s">
        <v>32</v>
      </c>
      <c r="Y377" t="str">
        <f t="shared" si="32"/>
        <v>Paid</v>
      </c>
      <c r="Z377" t="s">
        <v>33</v>
      </c>
      <c r="AA377">
        <f>C377-B377</f>
        <v>218</v>
      </c>
      <c r="AB377" t="str">
        <f>IF(B377="","Missing Order Date",
IF(C377="","Missing Ship Date","OK"))</f>
        <v>OK</v>
      </c>
      <c r="AC377" s="7" t="str">
        <f>IF(C377&lt;B377, "Invalid", "Valid")</f>
        <v>Valid</v>
      </c>
      <c r="AD377" s="7" t="str">
        <f>IF(COUNTIF($A:$A, A377)&gt;1, "Duplicate", "Unique")</f>
        <v>Unique</v>
      </c>
      <c r="AE377" s="7" t="str">
        <f>IF(G377="","Unknown",G377)</f>
        <v>North</v>
      </c>
      <c r="AF377" s="7" t="str">
        <f>IF(M377="","Unknown",M377)</f>
        <v>Same Day</v>
      </c>
      <c r="AG377" s="7" t="str">
        <f>IF(P377&lt;0,"Invalid",
IF(P377&gt;1,"Invalid","Valid"))</f>
        <v>Valid</v>
      </c>
      <c r="AH377" s="7" t="str">
        <f>TEXT(B377,"mmmm")</f>
        <v>December</v>
      </c>
      <c r="AI377" s="7">
        <f t="shared" si="33"/>
        <v>2024</v>
      </c>
      <c r="AJ377" s="7" t="str">
        <f>IF(OR(R377&lt;0,C377&lt;B377),"Invalid",
IF(OR(G377="Unknown",M377="Unknown"),"Warning","Clean"))</f>
        <v>Clean</v>
      </c>
      <c r="AK377" s="7" t="str">
        <f>IF(C377&lt;B377,"Ship Before Order","OK")</f>
        <v>OK</v>
      </c>
      <c r="AL377" s="7" t="str">
        <f>IF(ISNUMBER(B377),"Valid","Invalid")</f>
        <v>Valid</v>
      </c>
      <c r="AM377" s="7" t="str">
        <f t="shared" si="34"/>
        <v>Missmatched</v>
      </c>
      <c r="AN377" s="7" t="str">
        <f t="shared" si="35"/>
        <v>Missmatched</v>
      </c>
    </row>
    <row r="378" spans="1:40">
      <c r="A378" t="s">
        <v>1231</v>
      </c>
      <c r="B378" s="6">
        <v>45655</v>
      </c>
      <c r="C378" s="4">
        <v>45876</v>
      </c>
      <c r="D378" t="s">
        <v>1232</v>
      </c>
      <c r="E378" t="s">
        <v>47</v>
      </c>
      <c r="F378" t="s">
        <v>37</v>
      </c>
      <c r="G378" t="s">
        <v>38</v>
      </c>
      <c r="H378" t="s">
        <v>145</v>
      </c>
      <c r="I378" t="s">
        <v>146</v>
      </c>
      <c r="J378" t="s">
        <v>41</v>
      </c>
      <c r="K378" t="s">
        <v>66</v>
      </c>
      <c r="L378" t="s">
        <v>1233</v>
      </c>
      <c r="M378" t="s">
        <v>50</v>
      </c>
      <c r="N378">
        <v>6</v>
      </c>
      <c r="O378">
        <v>1844.78</v>
      </c>
      <c r="P378">
        <v>0.2</v>
      </c>
      <c r="Q378" s="7">
        <f>IF(P378="", 0, P378)</f>
        <v>0.2</v>
      </c>
      <c r="R378">
        <v>8854.94</v>
      </c>
      <c r="S378">
        <v>7433.95</v>
      </c>
      <c r="T378" s="7">
        <f>N378*O378*(1-Q378)</f>
        <v>8854.9440000000013</v>
      </c>
      <c r="U378" s="7">
        <f t="shared" si="30"/>
        <v>1420.9940000000015</v>
      </c>
      <c r="V378">
        <v>1420.99</v>
      </c>
      <c r="W378" s="12">
        <f t="shared" si="31"/>
        <v>0.1604746455765278</v>
      </c>
      <c r="X378" t="s">
        <v>32</v>
      </c>
      <c r="Y378" t="str">
        <f t="shared" si="32"/>
        <v>Paid</v>
      </c>
      <c r="Z378" t="s">
        <v>33</v>
      </c>
      <c r="AA378">
        <f>C378-B378</f>
        <v>221</v>
      </c>
      <c r="AB378" t="str">
        <f>IF(B378="","Missing Order Date",
IF(C378="","Missing Ship Date","OK"))</f>
        <v>OK</v>
      </c>
      <c r="AC378" s="7" t="str">
        <f>IF(C378&lt;B378, "Invalid", "Valid")</f>
        <v>Valid</v>
      </c>
      <c r="AD378" s="7" t="str">
        <f>IF(COUNTIF($A:$A, A378)&gt;1, "Duplicate", "Unique")</f>
        <v>Unique</v>
      </c>
      <c r="AE378" s="7" t="str">
        <f>IF(G378="","Unknown",G378)</f>
        <v>East</v>
      </c>
      <c r="AF378" s="7" t="str">
        <f>IF(M378="","Unknown",M378)</f>
        <v>First Class</v>
      </c>
      <c r="AG378" s="7" t="str">
        <f>IF(P378&lt;0,"Invalid",
IF(P378&gt;1,"Invalid","Valid"))</f>
        <v>Valid</v>
      </c>
      <c r="AH378" s="7" t="str">
        <f>TEXT(B378,"mmmm")</f>
        <v>December</v>
      </c>
      <c r="AI378" s="7">
        <f t="shared" si="33"/>
        <v>2024</v>
      </c>
      <c r="AJ378" s="7" t="str">
        <f>IF(OR(R378&lt;0,C378&lt;B378),"Invalid",
IF(OR(G378="Unknown",M378="Unknown"),"Warning","Clean"))</f>
        <v>Clean</v>
      </c>
      <c r="AK378" s="7" t="str">
        <f>IF(C378&lt;B378,"Ship Before Order","OK")</f>
        <v>OK</v>
      </c>
      <c r="AL378" s="7" t="str">
        <f>IF(ISNUMBER(B378),"Valid","Invalid")</f>
        <v>Valid</v>
      </c>
      <c r="AM378" s="7" t="str">
        <f t="shared" si="34"/>
        <v>Missmatched</v>
      </c>
      <c r="AN378" s="7" t="str">
        <f t="shared" si="35"/>
        <v>Missmatched</v>
      </c>
    </row>
    <row r="379" spans="1:40">
      <c r="A379" t="s">
        <v>1234</v>
      </c>
      <c r="B379" s="6">
        <v>45801</v>
      </c>
      <c r="C379" s="4">
        <v>45877</v>
      </c>
      <c r="D379" t="s">
        <v>1235</v>
      </c>
      <c r="E379" t="s">
        <v>264</v>
      </c>
      <c r="F379" t="s">
        <v>37</v>
      </c>
      <c r="G379" t="s">
        <v>38</v>
      </c>
      <c r="H379" t="s">
        <v>39</v>
      </c>
      <c r="I379" t="s">
        <v>40</v>
      </c>
      <c r="J379" t="s">
        <v>28</v>
      </c>
      <c r="K379" t="s">
        <v>124</v>
      </c>
      <c r="L379" t="s">
        <v>1236</v>
      </c>
      <c r="M379" t="s">
        <v>44</v>
      </c>
      <c r="N379">
        <v>1</v>
      </c>
      <c r="O379">
        <v>2564.7399999999998</v>
      </c>
      <c r="P379">
        <v>0</v>
      </c>
      <c r="Q379" s="7">
        <f>IF(P379="", 0, P379)</f>
        <v>0</v>
      </c>
      <c r="R379">
        <v>2564.7399999999998</v>
      </c>
      <c r="S379">
        <v>1754.58</v>
      </c>
      <c r="T379" s="7">
        <f>N379*O379*(1-Q379)</f>
        <v>2564.7399999999998</v>
      </c>
      <c r="U379" s="7">
        <f t="shared" si="30"/>
        <v>810.15999999999985</v>
      </c>
      <c r="V379">
        <v>810.16</v>
      </c>
      <c r="W379" s="12">
        <f t="shared" si="31"/>
        <v>0.31588387126960232</v>
      </c>
      <c r="X379" t="s">
        <v>32</v>
      </c>
      <c r="Y379" t="str">
        <f t="shared" si="32"/>
        <v>Paid</v>
      </c>
      <c r="Z379" t="s">
        <v>33</v>
      </c>
      <c r="AA379">
        <f>C379-B379</f>
        <v>76</v>
      </c>
      <c r="AB379" t="str">
        <f>IF(B379="","Missing Order Date",
IF(C379="","Missing Ship Date","OK"))</f>
        <v>OK</v>
      </c>
      <c r="AC379" s="7" t="str">
        <f>IF(C379&lt;B379, "Invalid", "Valid")</f>
        <v>Valid</v>
      </c>
      <c r="AD379" s="7" t="str">
        <f>IF(COUNTIF($A:$A, A379)&gt;1, "Duplicate", "Unique")</f>
        <v>Duplicate</v>
      </c>
      <c r="AE379" s="7" t="str">
        <f>IF(G379="","Unknown",G379)</f>
        <v>East</v>
      </c>
      <c r="AF379" s="7" t="str">
        <f>IF(M379="","Unknown",M379)</f>
        <v>Same Day</v>
      </c>
      <c r="AG379" s="7" t="str">
        <f>IF(P379&lt;0,"Invalid",
IF(P379&gt;1,"Invalid","Valid"))</f>
        <v>Valid</v>
      </c>
      <c r="AH379" s="7" t="str">
        <f>TEXT(B379,"mmmm")</f>
        <v>May</v>
      </c>
      <c r="AI379" s="7">
        <f t="shared" si="33"/>
        <v>2025</v>
      </c>
      <c r="AJ379" s="7" t="str">
        <f>IF(OR(R379&lt;0,C379&lt;B379),"Invalid",
IF(OR(G379="Unknown",M379="Unknown"),"Warning","Clean"))</f>
        <v>Clean</v>
      </c>
      <c r="AK379" s="7" t="str">
        <f>IF(C379&lt;B379,"Ship Before Order","OK")</f>
        <v>OK</v>
      </c>
      <c r="AL379" s="7" t="str">
        <f>IF(ISNUMBER(B379),"Valid","Invalid")</f>
        <v>Valid</v>
      </c>
      <c r="AM379" s="7" t="str">
        <f t="shared" si="34"/>
        <v>Ok</v>
      </c>
      <c r="AN379" s="7" t="str">
        <f t="shared" si="35"/>
        <v>Ok</v>
      </c>
    </row>
    <row r="380" spans="1:40">
      <c r="A380" t="s">
        <v>1237</v>
      </c>
      <c r="B380" s="6">
        <v>45799</v>
      </c>
      <c r="C380" s="4">
        <v>45878</v>
      </c>
      <c r="D380" t="s">
        <v>1238</v>
      </c>
      <c r="E380" t="s">
        <v>36</v>
      </c>
      <c r="F380" t="s">
        <v>24</v>
      </c>
      <c r="G380" t="s">
        <v>63</v>
      </c>
      <c r="H380" t="s">
        <v>190</v>
      </c>
      <c r="I380" t="s">
        <v>191</v>
      </c>
      <c r="J380" t="s">
        <v>74</v>
      </c>
      <c r="K380" t="s">
        <v>75</v>
      </c>
      <c r="L380" t="s">
        <v>1239</v>
      </c>
      <c r="M380" t="s">
        <v>59</v>
      </c>
      <c r="N380">
        <v>2</v>
      </c>
      <c r="O380">
        <v>3910.61</v>
      </c>
      <c r="P380">
        <v>0</v>
      </c>
      <c r="Q380" s="7">
        <f>IF(P380="", 0, P380)</f>
        <v>0</v>
      </c>
      <c r="R380">
        <v>7821.22</v>
      </c>
      <c r="S380">
        <v>4994.46</v>
      </c>
      <c r="T380" s="7">
        <f>N380*O380*(1-Q380)</f>
        <v>7821.22</v>
      </c>
      <c r="U380" s="7">
        <f t="shared" si="30"/>
        <v>2826.76</v>
      </c>
      <c r="V380">
        <v>2826.76</v>
      </c>
      <c r="W380" s="12">
        <f t="shared" si="31"/>
        <v>0.36142187535959863</v>
      </c>
      <c r="X380" t="s">
        <v>32</v>
      </c>
      <c r="Y380" t="str">
        <f t="shared" si="32"/>
        <v>Paid</v>
      </c>
      <c r="Z380" t="s">
        <v>33</v>
      </c>
      <c r="AA380">
        <f>C380-B380</f>
        <v>79</v>
      </c>
      <c r="AB380" t="str">
        <f>IF(B380="","Missing Order Date",
IF(C380="","Missing Ship Date","OK"))</f>
        <v>OK</v>
      </c>
      <c r="AC380" s="7" t="str">
        <f>IF(C380&lt;B380, "Invalid", "Valid")</f>
        <v>Valid</v>
      </c>
      <c r="AD380" s="7" t="str">
        <f>IF(COUNTIF($A:$A, A380)&gt;1, "Duplicate", "Unique")</f>
        <v>Unique</v>
      </c>
      <c r="AE380" s="7" t="str">
        <f>IF(G380="","Unknown",G380)</f>
        <v>West</v>
      </c>
      <c r="AF380" s="7" t="str">
        <f>IF(M380="","Unknown",M380)</f>
        <v>Standard Class</v>
      </c>
      <c r="AG380" s="7" t="str">
        <f>IF(P380&lt;0,"Invalid",
IF(P380&gt;1,"Invalid","Valid"))</f>
        <v>Valid</v>
      </c>
      <c r="AH380" s="7" t="str">
        <f>TEXT(B380,"mmmm")</f>
        <v>May</v>
      </c>
      <c r="AI380" s="7">
        <f t="shared" si="33"/>
        <v>2025</v>
      </c>
      <c r="AJ380" s="7" t="str">
        <f>IF(OR(R380&lt;0,C380&lt;B380),"Invalid",
IF(OR(G380="Unknown",M380="Unknown"),"Warning","Clean"))</f>
        <v>Clean</v>
      </c>
      <c r="AK380" s="7" t="str">
        <f>IF(C380&lt;B380,"Ship Before Order","OK")</f>
        <v>OK</v>
      </c>
      <c r="AL380" s="7" t="str">
        <f>IF(ISNUMBER(B380),"Valid","Invalid")</f>
        <v>Valid</v>
      </c>
      <c r="AM380" s="7" t="str">
        <f t="shared" si="34"/>
        <v>Ok</v>
      </c>
      <c r="AN380" s="7" t="str">
        <f t="shared" si="35"/>
        <v>Ok</v>
      </c>
    </row>
    <row r="381" spans="1:40">
      <c r="A381" t="s">
        <v>1240</v>
      </c>
      <c r="B381" s="6">
        <v>45554</v>
      </c>
      <c r="C381" s="4">
        <v>45879</v>
      </c>
      <c r="D381" t="s">
        <v>1241</v>
      </c>
      <c r="E381" t="s">
        <v>36</v>
      </c>
      <c r="F381" t="s">
        <v>37</v>
      </c>
      <c r="G381" t="s">
        <v>54</v>
      </c>
      <c r="H381" t="s">
        <v>185</v>
      </c>
      <c r="I381" t="s">
        <v>186</v>
      </c>
      <c r="J381" t="s">
        <v>28</v>
      </c>
      <c r="K381" t="s">
        <v>29</v>
      </c>
      <c r="L381" t="s">
        <v>1242</v>
      </c>
      <c r="M381" t="s">
        <v>59</v>
      </c>
      <c r="N381">
        <v>7</v>
      </c>
      <c r="O381">
        <v>1136.68</v>
      </c>
      <c r="Q381" s="7">
        <f>IF(P381="", 0, P381)</f>
        <v>0</v>
      </c>
      <c r="R381">
        <v>7956.76</v>
      </c>
      <c r="S381">
        <v>4799.54</v>
      </c>
      <c r="T381" s="7">
        <f>N381*O381*(1-Q381)</f>
        <v>7956.76</v>
      </c>
      <c r="U381" s="7">
        <f t="shared" si="30"/>
        <v>3157.2200000000003</v>
      </c>
      <c r="V381">
        <v>3157.22</v>
      </c>
      <c r="W381" s="12">
        <f t="shared" si="31"/>
        <v>0.39679718880549369</v>
      </c>
      <c r="X381" t="s">
        <v>32</v>
      </c>
      <c r="Y381" t="str">
        <f t="shared" si="32"/>
        <v>Paid</v>
      </c>
      <c r="Z381" t="s">
        <v>33</v>
      </c>
      <c r="AA381">
        <f>C381-B381</f>
        <v>325</v>
      </c>
      <c r="AB381" t="str">
        <f>IF(B381="","Missing Order Date",
IF(C381="","Missing Ship Date","OK"))</f>
        <v>OK</v>
      </c>
      <c r="AC381" s="7" t="str">
        <f>IF(C381&lt;B381, "Invalid", "Valid")</f>
        <v>Valid</v>
      </c>
      <c r="AD381" s="7" t="str">
        <f>IF(COUNTIF($A:$A, A381)&gt;1, "Duplicate", "Unique")</f>
        <v>Unique</v>
      </c>
      <c r="AE381" s="7" t="str">
        <f>IF(G381="","Unknown",G381)</f>
        <v>South</v>
      </c>
      <c r="AF381" s="7" t="str">
        <f>IF(M381="","Unknown",M381)</f>
        <v>Standard Class</v>
      </c>
      <c r="AG381" s="7" t="str">
        <f>IF(P381&lt;0,"Invalid",
IF(P381&gt;1,"Invalid","Valid"))</f>
        <v>Valid</v>
      </c>
      <c r="AH381" s="7" t="str">
        <f>TEXT(B381,"mmmm")</f>
        <v>September</v>
      </c>
      <c r="AI381" s="7">
        <f t="shared" si="33"/>
        <v>2024</v>
      </c>
      <c r="AJ381" s="7" t="str">
        <f>IF(OR(R381&lt;0,C381&lt;B381),"Invalid",
IF(OR(G381="Unknown",M381="Unknown"),"Warning","Clean"))</f>
        <v>Clean</v>
      </c>
      <c r="AK381" s="7" t="str">
        <f>IF(C381&lt;B381,"Ship Before Order","OK")</f>
        <v>OK</v>
      </c>
      <c r="AL381" s="7" t="str">
        <f>IF(ISNUMBER(B381),"Valid","Invalid")</f>
        <v>Valid</v>
      </c>
      <c r="AM381" s="7" t="str">
        <f t="shared" si="34"/>
        <v>Ok</v>
      </c>
      <c r="AN381" s="7" t="str">
        <f t="shared" si="35"/>
        <v>Ok</v>
      </c>
    </row>
    <row r="382" spans="1:40">
      <c r="A382" t="s">
        <v>1243</v>
      </c>
      <c r="B382" s="6">
        <v>45477</v>
      </c>
      <c r="C382" s="4">
        <v>45880</v>
      </c>
      <c r="D382" t="s">
        <v>1244</v>
      </c>
      <c r="E382" t="s">
        <v>71</v>
      </c>
      <c r="F382" t="s">
        <v>24</v>
      </c>
      <c r="G382" t="s">
        <v>63</v>
      </c>
      <c r="H382" t="s">
        <v>64</v>
      </c>
      <c r="I382" t="s">
        <v>65</v>
      </c>
      <c r="J382" t="s">
        <v>41</v>
      </c>
      <c r="K382" t="s">
        <v>158</v>
      </c>
      <c r="L382" t="s">
        <v>1245</v>
      </c>
      <c r="M382" t="s">
        <v>44</v>
      </c>
      <c r="N382">
        <v>5</v>
      </c>
      <c r="O382">
        <v>2235.85</v>
      </c>
      <c r="P382">
        <v>0.25</v>
      </c>
      <c r="Q382" s="7">
        <f>IF(P382="", 0, P382)</f>
        <v>0.25</v>
      </c>
      <c r="R382">
        <v>8384.44</v>
      </c>
      <c r="S382">
        <v>4765.96</v>
      </c>
      <c r="T382" s="7">
        <f>N382*O382*(1-Q382)</f>
        <v>8384.4375</v>
      </c>
      <c r="U382" s="7">
        <f t="shared" si="30"/>
        <v>3618.4775</v>
      </c>
      <c r="V382">
        <v>3618.48</v>
      </c>
      <c r="W382" s="12">
        <f t="shared" si="31"/>
        <v>0.43157069272685256</v>
      </c>
      <c r="X382" t="s">
        <v>32</v>
      </c>
      <c r="Y382" t="str">
        <f t="shared" si="32"/>
        <v>Paid</v>
      </c>
      <c r="Z382" t="s">
        <v>103</v>
      </c>
      <c r="AA382">
        <f>C382-B382</f>
        <v>403</v>
      </c>
      <c r="AB382" t="str">
        <f>IF(B382="","Missing Order Date",
IF(C382="","Missing Ship Date","OK"))</f>
        <v>OK</v>
      </c>
      <c r="AC382" s="7" t="str">
        <f>IF(C382&lt;B382, "Invalid", "Valid")</f>
        <v>Valid</v>
      </c>
      <c r="AD382" s="7" t="str">
        <f>IF(COUNTIF($A:$A, A382)&gt;1, "Duplicate", "Unique")</f>
        <v>Unique</v>
      </c>
      <c r="AE382" s="7" t="str">
        <f>IF(G382="","Unknown",G382)</f>
        <v>West</v>
      </c>
      <c r="AF382" s="7" t="str">
        <f>IF(M382="","Unknown",M382)</f>
        <v>Same Day</v>
      </c>
      <c r="AG382" s="7" t="str">
        <f>IF(P382&lt;0,"Invalid",
IF(P382&gt;1,"Invalid","Valid"))</f>
        <v>Valid</v>
      </c>
      <c r="AH382" s="7" t="str">
        <f>TEXT(B382,"mmmm")</f>
        <v>July</v>
      </c>
      <c r="AI382" s="7">
        <f t="shared" si="33"/>
        <v>2024</v>
      </c>
      <c r="AJ382" s="7" t="str">
        <f>IF(OR(R382&lt;0,C382&lt;B382),"Invalid",
IF(OR(G382="Unknown",M382="Unknown"),"Warning","Clean"))</f>
        <v>Clean</v>
      </c>
      <c r="AK382" s="7" t="str">
        <f>IF(C382&lt;B382,"Ship Before Order","OK")</f>
        <v>OK</v>
      </c>
      <c r="AL382" s="7" t="str">
        <f>IF(ISNUMBER(B382),"Valid","Invalid")</f>
        <v>Valid</v>
      </c>
      <c r="AM382" s="7" t="str">
        <f t="shared" si="34"/>
        <v>Missmatched</v>
      </c>
      <c r="AN382" s="7" t="str">
        <f t="shared" si="35"/>
        <v>Missmatched</v>
      </c>
    </row>
    <row r="383" spans="1:40">
      <c r="A383" t="s">
        <v>1246</v>
      </c>
      <c r="B383" s="6">
        <v>45919</v>
      </c>
      <c r="C383" s="4">
        <v>45881</v>
      </c>
      <c r="D383" t="s">
        <v>1247</v>
      </c>
      <c r="E383" t="s">
        <v>53</v>
      </c>
      <c r="F383" t="s">
        <v>95</v>
      </c>
      <c r="G383" t="s">
        <v>25</v>
      </c>
      <c r="H383" t="s">
        <v>350</v>
      </c>
      <c r="I383" t="s">
        <v>351</v>
      </c>
      <c r="J383" t="s">
        <v>28</v>
      </c>
      <c r="K383" t="s">
        <v>153</v>
      </c>
      <c r="L383" t="s">
        <v>1248</v>
      </c>
      <c r="M383" t="s">
        <v>59</v>
      </c>
      <c r="N383">
        <v>4</v>
      </c>
      <c r="O383">
        <v>4387.1499999999996</v>
      </c>
      <c r="P383">
        <v>0.05</v>
      </c>
      <c r="Q383" s="7">
        <f>IF(P383="", 0, P383)</f>
        <v>0.05</v>
      </c>
      <c r="R383">
        <v>16671.169999999998</v>
      </c>
      <c r="S383">
        <v>10833.19</v>
      </c>
      <c r="T383" s="7">
        <f>N383*O383*(1-Q383)</f>
        <v>16671.169999999998</v>
      </c>
      <c r="U383" s="7">
        <f t="shared" si="30"/>
        <v>5837.9799999999977</v>
      </c>
      <c r="V383">
        <v>5837.98</v>
      </c>
      <c r="W383" s="12">
        <f t="shared" si="31"/>
        <v>0.35018418023450054</v>
      </c>
      <c r="X383" t="s">
        <v>155</v>
      </c>
      <c r="Y383" t="str">
        <f t="shared" si="32"/>
        <v>Failed</v>
      </c>
      <c r="Z383" t="s">
        <v>68</v>
      </c>
      <c r="AA383">
        <f>C383-B383</f>
        <v>-38</v>
      </c>
      <c r="AB383" t="str">
        <f>IF(B383="","Missing Order Date",
IF(C383="","Missing Ship Date","OK"))</f>
        <v>OK</v>
      </c>
      <c r="AC383" s="7" t="str">
        <f>IF(C383&lt;B383, "Invalid", "Valid")</f>
        <v>Invalid</v>
      </c>
      <c r="AD383" s="7" t="str">
        <f>IF(COUNTIF($A:$A, A383)&gt;1, "Duplicate", "Unique")</f>
        <v>Unique</v>
      </c>
      <c r="AE383" s="7" t="str">
        <f>IF(G383="","Unknown",G383)</f>
        <v>North</v>
      </c>
      <c r="AF383" s="7" t="str">
        <f>IF(M383="","Unknown",M383)</f>
        <v>Standard Class</v>
      </c>
      <c r="AG383" s="7" t="str">
        <f>IF(P383&lt;0,"Invalid",
IF(P383&gt;1,"Invalid","Valid"))</f>
        <v>Valid</v>
      </c>
      <c r="AH383" s="7" t="str">
        <f>TEXT(B383,"mmmm")</f>
        <v>September</v>
      </c>
      <c r="AI383" s="7">
        <f t="shared" si="33"/>
        <v>2025</v>
      </c>
      <c r="AJ383" s="7" t="str">
        <f>IF(OR(R383&lt;0,C383&lt;B383),"Invalid",
IF(OR(G383="Unknown",M383="Unknown"),"Warning","Clean"))</f>
        <v>Invalid</v>
      </c>
      <c r="AK383" s="7" t="str">
        <f>IF(C383&lt;B383,"Ship Before Order","OK")</f>
        <v>Ship Before Order</v>
      </c>
      <c r="AL383" s="7" t="str">
        <f>IF(ISNUMBER(B383),"Valid","Invalid")</f>
        <v>Valid</v>
      </c>
      <c r="AM383" s="7" t="str">
        <f t="shared" si="34"/>
        <v>Ok</v>
      </c>
      <c r="AN383" s="7" t="str">
        <f t="shared" si="35"/>
        <v>Ok</v>
      </c>
    </row>
    <row r="384" spans="1:40">
      <c r="A384" t="s">
        <v>1249</v>
      </c>
      <c r="B384" s="6">
        <v>45750</v>
      </c>
      <c r="C384" s="4">
        <v>45882</v>
      </c>
      <c r="D384" t="s">
        <v>157</v>
      </c>
      <c r="E384" t="s">
        <v>53</v>
      </c>
      <c r="F384" t="s">
        <v>37</v>
      </c>
      <c r="G384" t="s">
        <v>38</v>
      </c>
      <c r="H384" t="s">
        <v>145</v>
      </c>
      <c r="I384" t="s">
        <v>146</v>
      </c>
      <c r="J384" t="s">
        <v>74</v>
      </c>
      <c r="K384" t="s">
        <v>171</v>
      </c>
      <c r="L384" t="s">
        <v>1250</v>
      </c>
      <c r="M384" t="s">
        <v>50</v>
      </c>
      <c r="N384">
        <v>3</v>
      </c>
      <c r="O384">
        <v>4361.8500000000004</v>
      </c>
      <c r="P384">
        <v>0.2</v>
      </c>
      <c r="Q384" s="7">
        <f>IF(P384="", 0, P384)</f>
        <v>0.2</v>
      </c>
      <c r="R384">
        <v>10468.44</v>
      </c>
      <c r="S384">
        <v>8399.8700000000008</v>
      </c>
      <c r="T384" s="7">
        <f>N384*O384*(1-Q384)</f>
        <v>10468.440000000002</v>
      </c>
      <c r="U384" s="7">
        <f t="shared" si="30"/>
        <v>2068.5700000000015</v>
      </c>
      <c r="V384">
        <v>2068.5700000000002</v>
      </c>
      <c r="W384" s="12">
        <f t="shared" si="31"/>
        <v>0.19760059760575607</v>
      </c>
      <c r="X384" t="s">
        <v>32</v>
      </c>
      <c r="Y384" t="str">
        <f t="shared" si="32"/>
        <v>Paid</v>
      </c>
      <c r="Z384" t="s">
        <v>33</v>
      </c>
      <c r="AA384">
        <f>C384-B384</f>
        <v>132</v>
      </c>
      <c r="AB384" t="str">
        <f>IF(B384="","Missing Order Date",
IF(C384="","Missing Ship Date","OK"))</f>
        <v>OK</v>
      </c>
      <c r="AC384" s="7" t="str">
        <f>IF(C384&lt;B384, "Invalid", "Valid")</f>
        <v>Valid</v>
      </c>
      <c r="AD384" s="7" t="str">
        <f>IF(COUNTIF($A:$A, A384)&gt;1, "Duplicate", "Unique")</f>
        <v>Unique</v>
      </c>
      <c r="AE384" s="7" t="str">
        <f>IF(G384="","Unknown",G384)</f>
        <v>East</v>
      </c>
      <c r="AF384" s="7" t="str">
        <f>IF(M384="","Unknown",M384)</f>
        <v>First Class</v>
      </c>
      <c r="AG384" s="7" t="str">
        <f>IF(P384&lt;0,"Invalid",
IF(P384&gt;1,"Invalid","Valid"))</f>
        <v>Valid</v>
      </c>
      <c r="AH384" s="7" t="str">
        <f>TEXT(B384,"mmmm")</f>
        <v>April</v>
      </c>
      <c r="AI384" s="7">
        <f t="shared" si="33"/>
        <v>2025</v>
      </c>
      <c r="AJ384" s="7" t="str">
        <f>IF(OR(R384&lt;0,C384&lt;B384),"Invalid",
IF(OR(G384="Unknown",M384="Unknown"),"Warning","Clean"))</f>
        <v>Clean</v>
      </c>
      <c r="AK384" s="7" t="str">
        <f>IF(C384&lt;B384,"Ship Before Order","OK")</f>
        <v>OK</v>
      </c>
      <c r="AL384" s="7" t="str">
        <f>IF(ISNUMBER(B384),"Valid","Invalid")</f>
        <v>Valid</v>
      </c>
      <c r="AM384" s="7" t="str">
        <f t="shared" si="34"/>
        <v>Ok</v>
      </c>
      <c r="AN384" s="7" t="str">
        <f t="shared" si="35"/>
        <v>Ok</v>
      </c>
    </row>
    <row r="385" spans="1:40">
      <c r="A385" t="s">
        <v>1251</v>
      </c>
      <c r="B385" s="6">
        <v>45836</v>
      </c>
      <c r="C385" s="4">
        <v>45883</v>
      </c>
      <c r="D385" t="s">
        <v>1252</v>
      </c>
      <c r="E385" t="s">
        <v>71</v>
      </c>
      <c r="F385" t="s">
        <v>90</v>
      </c>
      <c r="G385" t="s">
        <v>38</v>
      </c>
      <c r="H385" t="s">
        <v>99</v>
      </c>
      <c r="I385" t="s">
        <v>100</v>
      </c>
      <c r="J385" t="s">
        <v>28</v>
      </c>
      <c r="K385" t="s">
        <v>48</v>
      </c>
      <c r="L385" t="s">
        <v>1253</v>
      </c>
      <c r="M385" t="s">
        <v>50</v>
      </c>
      <c r="N385">
        <v>2</v>
      </c>
      <c r="O385">
        <v>2242.75</v>
      </c>
      <c r="P385">
        <v>0</v>
      </c>
      <c r="Q385" s="7">
        <f>IF(P385="", 0, P385)</f>
        <v>0</v>
      </c>
      <c r="R385">
        <v>4485.5</v>
      </c>
      <c r="S385">
        <v>3131.86</v>
      </c>
      <c r="T385" s="7">
        <f>N385*O385*(1-Q385)</f>
        <v>4485.5</v>
      </c>
      <c r="U385" s="7">
        <f t="shared" si="30"/>
        <v>1353.6399999999999</v>
      </c>
      <c r="V385">
        <v>1353.64</v>
      </c>
      <c r="W385" s="12">
        <f t="shared" si="31"/>
        <v>0.30178129528480657</v>
      </c>
      <c r="X385" t="s">
        <v>32</v>
      </c>
      <c r="Y385" t="str">
        <f t="shared" si="32"/>
        <v>Paid</v>
      </c>
      <c r="Z385" t="s">
        <v>68</v>
      </c>
      <c r="AA385">
        <f>C385-B385</f>
        <v>47</v>
      </c>
      <c r="AB385" t="str">
        <f>IF(B385="","Missing Order Date",
IF(C385="","Missing Ship Date","OK"))</f>
        <v>OK</v>
      </c>
      <c r="AC385" s="7" t="str">
        <f>IF(C385&lt;B385, "Invalid", "Valid")</f>
        <v>Valid</v>
      </c>
      <c r="AD385" s="7" t="str">
        <f>IF(COUNTIF($A:$A, A385)&gt;1, "Duplicate", "Unique")</f>
        <v>Unique</v>
      </c>
      <c r="AE385" s="7" t="str">
        <f>IF(G385="","Unknown",G385)</f>
        <v>East</v>
      </c>
      <c r="AF385" s="7" t="str">
        <f>IF(M385="","Unknown",M385)</f>
        <v>First Class</v>
      </c>
      <c r="AG385" s="7" t="str">
        <f>IF(P385&lt;0,"Invalid",
IF(P385&gt;1,"Invalid","Valid"))</f>
        <v>Valid</v>
      </c>
      <c r="AH385" s="7" t="str">
        <f>TEXT(B385,"mmmm")</f>
        <v>June</v>
      </c>
      <c r="AI385" s="7">
        <f t="shared" si="33"/>
        <v>2025</v>
      </c>
      <c r="AJ385" s="7" t="str">
        <f>IF(OR(R385&lt;0,C385&lt;B385),"Invalid",
IF(OR(G385="Unknown",M385="Unknown"),"Warning","Clean"))</f>
        <v>Clean</v>
      </c>
      <c r="AK385" s="7" t="str">
        <f>IF(C385&lt;B385,"Ship Before Order","OK")</f>
        <v>OK</v>
      </c>
      <c r="AL385" s="7" t="str">
        <f>IF(ISNUMBER(B385),"Valid","Invalid")</f>
        <v>Valid</v>
      </c>
      <c r="AM385" s="7" t="str">
        <f t="shared" si="34"/>
        <v>Ok</v>
      </c>
      <c r="AN385" s="7" t="str">
        <f t="shared" si="35"/>
        <v>Ok</v>
      </c>
    </row>
    <row r="386" spans="1:40">
      <c r="A386" t="s">
        <v>1254</v>
      </c>
      <c r="B386" s="6">
        <v>45366</v>
      </c>
      <c r="C386" s="4">
        <v>45884</v>
      </c>
      <c r="D386" t="s">
        <v>1255</v>
      </c>
      <c r="E386" t="s">
        <v>141</v>
      </c>
      <c r="F386" t="s">
        <v>24</v>
      </c>
      <c r="G386" t="s">
        <v>38</v>
      </c>
      <c r="H386" t="s">
        <v>228</v>
      </c>
      <c r="I386" t="s">
        <v>229</v>
      </c>
      <c r="J386" t="s">
        <v>74</v>
      </c>
      <c r="K386" t="s">
        <v>80</v>
      </c>
      <c r="L386" t="s">
        <v>1256</v>
      </c>
      <c r="M386" t="s">
        <v>59</v>
      </c>
      <c r="N386">
        <v>2</v>
      </c>
      <c r="O386">
        <v>1881.4</v>
      </c>
      <c r="P386">
        <v>0.25</v>
      </c>
      <c r="Q386" s="7">
        <f>IF(P386="", 0, P386)</f>
        <v>0.25</v>
      </c>
      <c r="R386">
        <v>2822.1</v>
      </c>
      <c r="S386">
        <v>1624.57</v>
      </c>
      <c r="T386" s="7">
        <f>N386*O386*(1-Q386)</f>
        <v>2822.1000000000004</v>
      </c>
      <c r="U386" s="7">
        <f t="shared" ref="U386:U449" si="36">T386-S386</f>
        <v>1197.5300000000004</v>
      </c>
      <c r="V386">
        <v>1197.53</v>
      </c>
      <c r="W386" s="12">
        <f t="shared" ref="W386:W449" si="37">IF(T386=0,0,U386/T386)</f>
        <v>0.42434003047376079</v>
      </c>
      <c r="X386" t="s">
        <v>32</v>
      </c>
      <c r="Y386" t="str">
        <f t="shared" ref="Y386:Y449" si="38">PROPER(TRIM(X386))</f>
        <v>Paid</v>
      </c>
      <c r="Z386" t="s">
        <v>103</v>
      </c>
      <c r="AA386">
        <f>C386-B386</f>
        <v>518</v>
      </c>
      <c r="AB386" t="str">
        <f>IF(B386="","Missing Order Date",
IF(C386="","Missing Ship Date","OK"))</f>
        <v>OK</v>
      </c>
      <c r="AC386" s="7" t="str">
        <f>IF(C386&lt;B386, "Invalid", "Valid")</f>
        <v>Valid</v>
      </c>
      <c r="AD386" s="7" t="str">
        <f>IF(COUNTIF($A:$A, A386)&gt;1, "Duplicate", "Unique")</f>
        <v>Unique</v>
      </c>
      <c r="AE386" s="7" t="str">
        <f>IF(G386="","Unknown",G386)</f>
        <v>East</v>
      </c>
      <c r="AF386" s="7" t="str">
        <f>IF(M386="","Unknown",M386)</f>
        <v>Standard Class</v>
      </c>
      <c r="AG386" s="7" t="str">
        <f>IF(P386&lt;0,"Invalid",
IF(P386&gt;1,"Invalid","Valid"))</f>
        <v>Valid</v>
      </c>
      <c r="AH386" s="7" t="str">
        <f>TEXT(B386,"mmmm")</f>
        <v>March</v>
      </c>
      <c r="AI386" s="7">
        <f t="shared" ref="AI386:AI449" si="39">YEAR(B386)</f>
        <v>2024</v>
      </c>
      <c r="AJ386" s="7" t="str">
        <f>IF(OR(R386&lt;0,C386&lt;B386),"Invalid",
IF(OR(G386="Unknown",M386="Unknown"),"Warning","Clean"))</f>
        <v>Clean</v>
      </c>
      <c r="AK386" s="7" t="str">
        <f>IF(C386&lt;B386,"Ship Before Order","OK")</f>
        <v>OK</v>
      </c>
      <c r="AL386" s="7" t="str">
        <f>IF(ISNUMBER(B386),"Valid","Invalid")</f>
        <v>Valid</v>
      </c>
      <c r="AM386" s="7" t="str">
        <f t="shared" ref="AM386:AM449" si="40">IF(R386&lt;&gt;T386, "Missmatched", "Ok")</f>
        <v>Ok</v>
      </c>
      <c r="AN386" s="7" t="str">
        <f t="shared" ref="AN386:AN449" si="41">IF(V386&lt;&gt;U386, "Missmatched", "Ok")</f>
        <v>Ok</v>
      </c>
    </row>
    <row r="387" spans="1:40">
      <c r="A387" t="s">
        <v>1257</v>
      </c>
      <c r="B387" s="6">
        <v>45832</v>
      </c>
      <c r="C387" s="4">
        <v>45885</v>
      </c>
      <c r="D387" t="s">
        <v>1258</v>
      </c>
      <c r="E387" t="s">
        <v>53</v>
      </c>
      <c r="F387" t="s">
        <v>24</v>
      </c>
      <c r="G387" t="s">
        <v>25</v>
      </c>
      <c r="H387" t="s">
        <v>236</v>
      </c>
      <c r="I387" t="s">
        <v>237</v>
      </c>
      <c r="J387" t="s">
        <v>28</v>
      </c>
      <c r="K387" t="s">
        <v>91</v>
      </c>
      <c r="L387" t="s">
        <v>1259</v>
      </c>
      <c r="M387" t="s">
        <v>59</v>
      </c>
      <c r="N387">
        <v>6</v>
      </c>
      <c r="O387">
        <v>365.76</v>
      </c>
      <c r="P387">
        <v>0.1</v>
      </c>
      <c r="Q387" s="7">
        <f>IF(P387="", 0, P387)</f>
        <v>0.1</v>
      </c>
      <c r="R387">
        <v>1975.1</v>
      </c>
      <c r="S387">
        <v>1115.3499999999999</v>
      </c>
      <c r="T387" s="7">
        <f>N387*O387*(1-Q387)</f>
        <v>1975.104</v>
      </c>
      <c r="U387" s="7">
        <f t="shared" si="36"/>
        <v>859.75400000000013</v>
      </c>
      <c r="V387">
        <v>859.75</v>
      </c>
      <c r="W387" s="12">
        <f t="shared" si="37"/>
        <v>0.4352955591199249</v>
      </c>
      <c r="X387" t="s">
        <v>32</v>
      </c>
      <c r="Y387" t="str">
        <f t="shared" si="38"/>
        <v>Paid</v>
      </c>
      <c r="Z387" t="s">
        <v>33</v>
      </c>
      <c r="AA387">
        <f>C387-B387</f>
        <v>53</v>
      </c>
      <c r="AB387" t="str">
        <f>IF(B387="","Missing Order Date",
IF(C387="","Missing Ship Date","OK"))</f>
        <v>OK</v>
      </c>
      <c r="AC387" s="7" t="str">
        <f>IF(C387&lt;B387, "Invalid", "Valid")</f>
        <v>Valid</v>
      </c>
      <c r="AD387" s="7" t="str">
        <f>IF(COUNTIF($A:$A, A387)&gt;1, "Duplicate", "Unique")</f>
        <v>Unique</v>
      </c>
      <c r="AE387" s="7" t="str">
        <f>IF(G387="","Unknown",G387)</f>
        <v>North</v>
      </c>
      <c r="AF387" s="7" t="str">
        <f>IF(M387="","Unknown",M387)</f>
        <v>Standard Class</v>
      </c>
      <c r="AG387" s="7" t="str">
        <f>IF(P387&lt;0,"Invalid",
IF(P387&gt;1,"Invalid","Valid"))</f>
        <v>Valid</v>
      </c>
      <c r="AH387" s="7" t="str">
        <f>TEXT(B387,"mmmm")</f>
        <v>June</v>
      </c>
      <c r="AI387" s="7">
        <f t="shared" si="39"/>
        <v>2025</v>
      </c>
      <c r="AJ387" s="7" t="str">
        <f>IF(OR(R387&lt;0,C387&lt;B387),"Invalid",
IF(OR(G387="Unknown",M387="Unknown"),"Warning","Clean"))</f>
        <v>Clean</v>
      </c>
      <c r="AK387" s="7" t="str">
        <f>IF(C387&lt;B387,"Ship Before Order","OK")</f>
        <v>OK</v>
      </c>
      <c r="AL387" s="7" t="str">
        <f>IF(ISNUMBER(B387),"Valid","Invalid")</f>
        <v>Valid</v>
      </c>
      <c r="AM387" s="7" t="str">
        <f t="shared" si="40"/>
        <v>Missmatched</v>
      </c>
      <c r="AN387" s="7" t="str">
        <f t="shared" si="41"/>
        <v>Missmatched</v>
      </c>
    </row>
    <row r="388" spans="1:40">
      <c r="A388" t="s">
        <v>1260</v>
      </c>
      <c r="B388" s="6">
        <v>45993</v>
      </c>
      <c r="C388" s="4">
        <v>45886</v>
      </c>
      <c r="D388" t="s">
        <v>1261</v>
      </c>
      <c r="E388" t="s">
        <v>132</v>
      </c>
      <c r="F388" t="s">
        <v>24</v>
      </c>
      <c r="G388" t="s">
        <v>63</v>
      </c>
      <c r="H388" t="s">
        <v>64</v>
      </c>
      <c r="I388" t="s">
        <v>65</v>
      </c>
      <c r="J388" t="s">
        <v>41</v>
      </c>
      <c r="K388" t="s">
        <v>57</v>
      </c>
      <c r="L388" t="s">
        <v>1262</v>
      </c>
      <c r="M388" t="s">
        <v>31</v>
      </c>
      <c r="N388">
        <v>8</v>
      </c>
      <c r="O388">
        <v>2786.66</v>
      </c>
      <c r="P388">
        <v>0.1</v>
      </c>
      <c r="Q388" s="7">
        <f>IF(P388="", 0, P388)</f>
        <v>0.1</v>
      </c>
      <c r="R388">
        <v>20063.95</v>
      </c>
      <c r="S388">
        <v>14363.38</v>
      </c>
      <c r="T388" s="7">
        <f>N388*O388*(1-Q388)</f>
        <v>20063.952000000001</v>
      </c>
      <c r="U388" s="7">
        <f t="shared" si="36"/>
        <v>5700.5720000000019</v>
      </c>
      <c r="V388">
        <v>5700.57</v>
      </c>
      <c r="W388" s="12">
        <f t="shared" si="37"/>
        <v>0.2841200975759911</v>
      </c>
      <c r="X388" t="s">
        <v>32</v>
      </c>
      <c r="Y388" t="str">
        <f t="shared" si="38"/>
        <v>Paid</v>
      </c>
      <c r="Z388" t="s">
        <v>33</v>
      </c>
      <c r="AA388">
        <f>C388-B388</f>
        <v>-107</v>
      </c>
      <c r="AB388" t="str">
        <f>IF(B388="","Missing Order Date",
IF(C388="","Missing Ship Date","OK"))</f>
        <v>OK</v>
      </c>
      <c r="AC388" s="7" t="str">
        <f>IF(C388&lt;B388, "Invalid", "Valid")</f>
        <v>Invalid</v>
      </c>
      <c r="AD388" s="7" t="str">
        <f>IF(COUNTIF($A:$A, A388)&gt;1, "Duplicate", "Unique")</f>
        <v>Unique</v>
      </c>
      <c r="AE388" s="7" t="str">
        <f>IF(G388="","Unknown",G388)</f>
        <v>West</v>
      </c>
      <c r="AF388" s="7" t="str">
        <f>IF(M388="","Unknown",M388)</f>
        <v>Second Class</v>
      </c>
      <c r="AG388" s="7" t="str">
        <f>IF(P388&lt;0,"Invalid",
IF(P388&gt;1,"Invalid","Valid"))</f>
        <v>Valid</v>
      </c>
      <c r="AH388" s="7" t="str">
        <f>TEXT(B388,"mmmm")</f>
        <v>December</v>
      </c>
      <c r="AI388" s="7">
        <f t="shared" si="39"/>
        <v>2025</v>
      </c>
      <c r="AJ388" s="7" t="str">
        <f>IF(OR(R388&lt;0,C388&lt;B388),"Invalid",
IF(OR(G388="Unknown",M388="Unknown"),"Warning","Clean"))</f>
        <v>Invalid</v>
      </c>
      <c r="AK388" s="7" t="str">
        <f>IF(C388&lt;B388,"Ship Before Order","OK")</f>
        <v>Ship Before Order</v>
      </c>
      <c r="AL388" s="7" t="str">
        <f>IF(ISNUMBER(B388),"Valid","Invalid")</f>
        <v>Valid</v>
      </c>
      <c r="AM388" s="7" t="str">
        <f t="shared" si="40"/>
        <v>Missmatched</v>
      </c>
      <c r="AN388" s="7" t="str">
        <f t="shared" si="41"/>
        <v>Missmatched</v>
      </c>
    </row>
    <row r="389" spans="1:40">
      <c r="A389" t="s">
        <v>1263</v>
      </c>
      <c r="B389" s="6">
        <v>45879</v>
      </c>
      <c r="C389" s="4">
        <v>45887</v>
      </c>
      <c r="D389" t="s">
        <v>1264</v>
      </c>
      <c r="E389" t="s">
        <v>114</v>
      </c>
      <c r="F389" t="s">
        <v>37</v>
      </c>
      <c r="G389" t="s">
        <v>63</v>
      </c>
      <c r="H389" t="s">
        <v>72</v>
      </c>
      <c r="I389" t="s">
        <v>73</v>
      </c>
      <c r="J389" t="s">
        <v>41</v>
      </c>
      <c r="K389" t="s">
        <v>66</v>
      </c>
      <c r="L389" t="s">
        <v>1265</v>
      </c>
      <c r="M389" t="s">
        <v>59</v>
      </c>
      <c r="N389">
        <v>5</v>
      </c>
      <c r="O389">
        <v>352.86</v>
      </c>
      <c r="P389">
        <v>0</v>
      </c>
      <c r="Q389" s="7">
        <f>IF(P389="", 0, P389)</f>
        <v>0</v>
      </c>
      <c r="R389">
        <v>1764.3</v>
      </c>
      <c r="S389">
        <v>1332.49</v>
      </c>
      <c r="T389" s="7">
        <f>N389*O389*(1-Q389)</f>
        <v>1764.3000000000002</v>
      </c>
      <c r="U389" s="7">
        <f t="shared" si="36"/>
        <v>431.81000000000017</v>
      </c>
      <c r="V389">
        <v>431.81</v>
      </c>
      <c r="W389" s="12">
        <f t="shared" si="37"/>
        <v>0.24474862551720236</v>
      </c>
      <c r="X389" t="s">
        <v>111</v>
      </c>
      <c r="Y389" t="str">
        <f t="shared" si="38"/>
        <v>Pending</v>
      </c>
      <c r="Z389" t="s">
        <v>68</v>
      </c>
      <c r="AA389">
        <f>C389-B389</f>
        <v>8</v>
      </c>
      <c r="AB389" t="str">
        <f>IF(B389="","Missing Order Date",
IF(C389="","Missing Ship Date","OK"))</f>
        <v>OK</v>
      </c>
      <c r="AC389" s="7" t="str">
        <f>IF(C389&lt;B389, "Invalid", "Valid")</f>
        <v>Valid</v>
      </c>
      <c r="AD389" s="7" t="str">
        <f>IF(COUNTIF($A:$A, A389)&gt;1, "Duplicate", "Unique")</f>
        <v>Unique</v>
      </c>
      <c r="AE389" s="7" t="str">
        <f>IF(G389="","Unknown",G389)</f>
        <v>West</v>
      </c>
      <c r="AF389" s="7" t="str">
        <f>IF(M389="","Unknown",M389)</f>
        <v>Standard Class</v>
      </c>
      <c r="AG389" s="7" t="str">
        <f>IF(P389&lt;0,"Invalid",
IF(P389&gt;1,"Invalid","Valid"))</f>
        <v>Valid</v>
      </c>
      <c r="AH389" s="7" t="str">
        <f>TEXT(B389,"mmmm")</f>
        <v>August</v>
      </c>
      <c r="AI389" s="7">
        <f t="shared" si="39"/>
        <v>2025</v>
      </c>
      <c r="AJ389" s="7" t="str">
        <f>IF(OR(R389&lt;0,C389&lt;B389),"Invalid",
IF(OR(G389="Unknown",M389="Unknown"),"Warning","Clean"))</f>
        <v>Clean</v>
      </c>
      <c r="AK389" s="7" t="str">
        <f>IF(C389&lt;B389,"Ship Before Order","OK")</f>
        <v>OK</v>
      </c>
      <c r="AL389" s="7" t="str">
        <f>IF(ISNUMBER(B389),"Valid","Invalid")</f>
        <v>Valid</v>
      </c>
      <c r="AM389" s="7" t="str">
        <f t="shared" si="40"/>
        <v>Ok</v>
      </c>
      <c r="AN389" s="7" t="str">
        <f t="shared" si="41"/>
        <v>Ok</v>
      </c>
    </row>
    <row r="390" spans="1:40">
      <c r="A390" t="s">
        <v>1266</v>
      </c>
      <c r="B390" s="6">
        <v>45425</v>
      </c>
      <c r="C390" s="4">
        <v>45888</v>
      </c>
      <c r="D390" t="s">
        <v>1267</v>
      </c>
      <c r="E390" t="s">
        <v>47</v>
      </c>
      <c r="F390" t="s">
        <v>37</v>
      </c>
      <c r="G390" t="s">
        <v>63</v>
      </c>
      <c r="H390" t="s">
        <v>180</v>
      </c>
      <c r="I390" t="s">
        <v>181</v>
      </c>
      <c r="J390" t="s">
        <v>41</v>
      </c>
      <c r="K390" t="s">
        <v>66</v>
      </c>
      <c r="L390" t="s">
        <v>1268</v>
      </c>
      <c r="M390" t="s">
        <v>59</v>
      </c>
      <c r="N390">
        <v>3</v>
      </c>
      <c r="O390">
        <v>3128.59</v>
      </c>
      <c r="P390">
        <v>0</v>
      </c>
      <c r="Q390" s="7">
        <f>IF(P390="", 0, P390)</f>
        <v>0</v>
      </c>
      <c r="R390">
        <v>9385.77</v>
      </c>
      <c r="S390">
        <v>6872.44</v>
      </c>
      <c r="T390" s="7">
        <f>N390*O390*(1-Q390)</f>
        <v>9385.77</v>
      </c>
      <c r="U390" s="7">
        <f t="shared" si="36"/>
        <v>2513.3300000000008</v>
      </c>
      <c r="V390">
        <v>2783.66</v>
      </c>
      <c r="W390" s="12">
        <f t="shared" si="37"/>
        <v>0.26778090662779941</v>
      </c>
      <c r="X390" t="s">
        <v>32</v>
      </c>
      <c r="Y390" t="str">
        <f t="shared" si="38"/>
        <v>Paid</v>
      </c>
      <c r="Z390" t="s">
        <v>33</v>
      </c>
      <c r="AA390">
        <f>C390-B390</f>
        <v>463</v>
      </c>
      <c r="AB390" t="str">
        <f>IF(B390="","Missing Order Date",
IF(C390="","Missing Ship Date","OK"))</f>
        <v>OK</v>
      </c>
      <c r="AC390" s="7" t="str">
        <f>IF(C390&lt;B390, "Invalid", "Valid")</f>
        <v>Valid</v>
      </c>
      <c r="AD390" s="7" t="str">
        <f>IF(COUNTIF($A:$A, A390)&gt;1, "Duplicate", "Unique")</f>
        <v>Unique</v>
      </c>
      <c r="AE390" s="7" t="str">
        <f>IF(G390="","Unknown",G390)</f>
        <v>West</v>
      </c>
      <c r="AF390" s="7" t="str">
        <f>IF(M390="","Unknown",M390)</f>
        <v>Standard Class</v>
      </c>
      <c r="AG390" s="7" t="str">
        <f>IF(P390&lt;0,"Invalid",
IF(P390&gt;1,"Invalid","Valid"))</f>
        <v>Valid</v>
      </c>
      <c r="AH390" s="7" t="str">
        <f>TEXT(B390,"mmmm")</f>
        <v>May</v>
      </c>
      <c r="AI390" s="7">
        <f t="shared" si="39"/>
        <v>2024</v>
      </c>
      <c r="AJ390" s="7" t="str">
        <f>IF(OR(R390&lt;0,C390&lt;B390),"Invalid",
IF(OR(G390="Unknown",M390="Unknown"),"Warning","Clean"))</f>
        <v>Clean</v>
      </c>
      <c r="AK390" s="7" t="str">
        <f>IF(C390&lt;B390,"Ship Before Order","OK")</f>
        <v>OK</v>
      </c>
      <c r="AL390" s="7" t="str">
        <f>IF(ISNUMBER(B390),"Valid","Invalid")</f>
        <v>Valid</v>
      </c>
      <c r="AM390" s="7" t="str">
        <f t="shared" si="40"/>
        <v>Ok</v>
      </c>
      <c r="AN390" s="7" t="str">
        <f t="shared" si="41"/>
        <v>Missmatched</v>
      </c>
    </row>
    <row r="391" spans="1:40">
      <c r="A391" t="s">
        <v>1269</v>
      </c>
      <c r="B391" s="6">
        <v>45416</v>
      </c>
      <c r="C391" s="4">
        <v>45889</v>
      </c>
      <c r="D391" t="s">
        <v>1270</v>
      </c>
      <c r="E391" t="s">
        <v>162</v>
      </c>
      <c r="F391" t="s">
        <v>90</v>
      </c>
      <c r="G391" t="s">
        <v>63</v>
      </c>
      <c r="H391" t="s">
        <v>180</v>
      </c>
      <c r="I391" t="s">
        <v>181</v>
      </c>
      <c r="J391" t="s">
        <v>74</v>
      </c>
      <c r="K391" t="s">
        <v>274</v>
      </c>
      <c r="L391" t="s">
        <v>1271</v>
      </c>
      <c r="M391" t="s">
        <v>31</v>
      </c>
      <c r="N391">
        <v>5</v>
      </c>
      <c r="O391">
        <v>1937.54</v>
      </c>
      <c r="P391">
        <v>0.2</v>
      </c>
      <c r="Q391" s="7">
        <f>IF(P391="", 0, P391)</f>
        <v>0.2</v>
      </c>
      <c r="R391">
        <v>7750.16</v>
      </c>
      <c r="S391">
        <v>5434.3</v>
      </c>
      <c r="T391" s="7">
        <f>N391*O391*(1-Q391)</f>
        <v>7750.1600000000008</v>
      </c>
      <c r="U391" s="7">
        <f t="shared" si="36"/>
        <v>2315.8600000000006</v>
      </c>
      <c r="V391">
        <v>2315.86</v>
      </c>
      <c r="W391" s="12">
        <f t="shared" si="37"/>
        <v>0.29881447608823564</v>
      </c>
      <c r="X391" t="s">
        <v>111</v>
      </c>
      <c r="Y391" t="str">
        <f t="shared" si="38"/>
        <v>Pending</v>
      </c>
      <c r="Z391" t="s">
        <v>68</v>
      </c>
      <c r="AA391">
        <f>C391-B391</f>
        <v>473</v>
      </c>
      <c r="AB391" t="str">
        <f>IF(B391="","Missing Order Date",
IF(C391="","Missing Ship Date","OK"))</f>
        <v>OK</v>
      </c>
      <c r="AC391" s="7" t="str">
        <f>IF(C391&lt;B391, "Invalid", "Valid")</f>
        <v>Valid</v>
      </c>
      <c r="AD391" s="7" t="str">
        <f>IF(COUNTIF($A:$A, A391)&gt;1, "Duplicate", "Unique")</f>
        <v>Unique</v>
      </c>
      <c r="AE391" s="7" t="str">
        <f>IF(G391="","Unknown",G391)</f>
        <v>West</v>
      </c>
      <c r="AF391" s="7" t="str">
        <f>IF(M391="","Unknown",M391)</f>
        <v>Second Class</v>
      </c>
      <c r="AG391" s="7" t="str">
        <f>IF(P391&lt;0,"Invalid",
IF(P391&gt;1,"Invalid","Valid"))</f>
        <v>Valid</v>
      </c>
      <c r="AH391" s="7" t="str">
        <f>TEXT(B391,"mmmm")</f>
        <v>May</v>
      </c>
      <c r="AI391" s="7">
        <f t="shared" si="39"/>
        <v>2024</v>
      </c>
      <c r="AJ391" s="7" t="str">
        <f>IF(OR(R391&lt;0,C391&lt;B391),"Invalid",
IF(OR(G391="Unknown",M391="Unknown"),"Warning","Clean"))</f>
        <v>Clean</v>
      </c>
      <c r="AK391" s="7" t="str">
        <f>IF(C391&lt;B391,"Ship Before Order","OK")</f>
        <v>OK</v>
      </c>
      <c r="AL391" s="7" t="str">
        <f>IF(ISNUMBER(B391),"Valid","Invalid")</f>
        <v>Valid</v>
      </c>
      <c r="AM391" s="7" t="str">
        <f t="shared" si="40"/>
        <v>Ok</v>
      </c>
      <c r="AN391" s="7" t="str">
        <f t="shared" si="41"/>
        <v>Ok</v>
      </c>
    </row>
    <row r="392" spans="1:40">
      <c r="A392" t="s">
        <v>1272</v>
      </c>
      <c r="B392" s="6">
        <v>45454</v>
      </c>
      <c r="C392" s="4">
        <v>45890</v>
      </c>
      <c r="D392" t="s">
        <v>1273</v>
      </c>
      <c r="E392" t="s">
        <v>47</v>
      </c>
      <c r="F392" t="s">
        <v>24</v>
      </c>
      <c r="G392" t="s">
        <v>63</v>
      </c>
      <c r="H392" t="s">
        <v>180</v>
      </c>
      <c r="I392" t="s">
        <v>181</v>
      </c>
      <c r="J392" t="s">
        <v>41</v>
      </c>
      <c r="K392" t="s">
        <v>57</v>
      </c>
      <c r="L392" t="s">
        <v>1274</v>
      </c>
      <c r="M392" t="s">
        <v>59</v>
      </c>
      <c r="N392">
        <v>4</v>
      </c>
      <c r="O392">
        <v>1917.26</v>
      </c>
      <c r="P392">
        <v>0.2</v>
      </c>
      <c r="Q392" s="7">
        <f>IF(P392="", 0, P392)</f>
        <v>0.2</v>
      </c>
      <c r="R392">
        <v>6135.23</v>
      </c>
      <c r="S392">
        <v>3439.79</v>
      </c>
      <c r="T392" s="7">
        <f>N392*O392*(1-Q392)</f>
        <v>6135.232</v>
      </c>
      <c r="U392" s="7">
        <f t="shared" si="36"/>
        <v>2695.442</v>
      </c>
      <c r="V392">
        <v>2695.44</v>
      </c>
      <c r="W392" s="12">
        <f t="shared" si="37"/>
        <v>0.43933823529411764</v>
      </c>
      <c r="X392" t="s">
        <v>32</v>
      </c>
      <c r="Y392" t="str">
        <f t="shared" si="38"/>
        <v>Paid</v>
      </c>
      <c r="Z392" t="s">
        <v>33</v>
      </c>
      <c r="AA392">
        <f>C392-B392</f>
        <v>436</v>
      </c>
      <c r="AB392" t="str">
        <f>IF(B392="","Missing Order Date",
IF(C392="","Missing Ship Date","OK"))</f>
        <v>OK</v>
      </c>
      <c r="AC392" s="7" t="str">
        <f>IF(C392&lt;B392, "Invalid", "Valid")</f>
        <v>Valid</v>
      </c>
      <c r="AD392" s="7" t="str">
        <f>IF(COUNTIF($A:$A, A392)&gt;1, "Duplicate", "Unique")</f>
        <v>Unique</v>
      </c>
      <c r="AE392" s="7" t="str">
        <f>IF(G392="","Unknown",G392)</f>
        <v>West</v>
      </c>
      <c r="AF392" s="7" t="str">
        <f>IF(M392="","Unknown",M392)</f>
        <v>Standard Class</v>
      </c>
      <c r="AG392" s="7" t="str">
        <f>IF(P392&lt;0,"Invalid",
IF(P392&gt;1,"Invalid","Valid"))</f>
        <v>Valid</v>
      </c>
      <c r="AH392" s="7" t="str">
        <f>TEXT(B392,"mmmm")</f>
        <v>June</v>
      </c>
      <c r="AI392" s="7">
        <f t="shared" si="39"/>
        <v>2024</v>
      </c>
      <c r="AJ392" s="7" t="str">
        <f>IF(OR(R392&lt;0,C392&lt;B392),"Invalid",
IF(OR(G392="Unknown",M392="Unknown"),"Warning","Clean"))</f>
        <v>Clean</v>
      </c>
      <c r="AK392" s="7" t="str">
        <f>IF(C392&lt;B392,"Ship Before Order","OK")</f>
        <v>OK</v>
      </c>
      <c r="AL392" s="7" t="str">
        <f>IF(ISNUMBER(B392),"Valid","Invalid")</f>
        <v>Valid</v>
      </c>
      <c r="AM392" s="7" t="str">
        <f t="shared" si="40"/>
        <v>Missmatched</v>
      </c>
      <c r="AN392" s="7" t="str">
        <f t="shared" si="41"/>
        <v>Missmatched</v>
      </c>
    </row>
    <row r="393" spans="1:40">
      <c r="A393" t="s">
        <v>1275</v>
      </c>
      <c r="B393" s="6">
        <v>45702</v>
      </c>
      <c r="C393" s="4">
        <v>45891</v>
      </c>
      <c r="D393" t="s">
        <v>1276</v>
      </c>
      <c r="E393" t="s">
        <v>162</v>
      </c>
      <c r="F393" t="s">
        <v>24</v>
      </c>
      <c r="G393" t="s">
        <v>54</v>
      </c>
      <c r="H393" t="s">
        <v>175</v>
      </c>
      <c r="I393" t="s">
        <v>176</v>
      </c>
      <c r="J393" t="s">
        <v>28</v>
      </c>
      <c r="K393" t="s">
        <v>124</v>
      </c>
      <c r="L393" t="s">
        <v>1277</v>
      </c>
      <c r="M393" t="s">
        <v>50</v>
      </c>
      <c r="N393">
        <v>1</v>
      </c>
      <c r="O393">
        <v>714.43</v>
      </c>
      <c r="P393">
        <v>0</v>
      </c>
      <c r="Q393" s="7">
        <f>IF(P393="", 0, P393)</f>
        <v>0</v>
      </c>
      <c r="R393">
        <v>714.43</v>
      </c>
      <c r="S393">
        <v>565.44000000000005</v>
      </c>
      <c r="T393" s="7">
        <f>N393*O393*(1-Q393)</f>
        <v>714.43</v>
      </c>
      <c r="U393" s="7">
        <f t="shared" si="36"/>
        <v>148.9899999999999</v>
      </c>
      <c r="V393">
        <v>148.99</v>
      </c>
      <c r="W393" s="12">
        <f t="shared" si="37"/>
        <v>0.20854387413742412</v>
      </c>
      <c r="X393" t="s">
        <v>32</v>
      </c>
      <c r="Y393" t="str">
        <f t="shared" si="38"/>
        <v>Paid</v>
      </c>
      <c r="Z393" t="s">
        <v>33</v>
      </c>
      <c r="AA393">
        <f>C393-B393</f>
        <v>189</v>
      </c>
      <c r="AB393" t="str">
        <f>IF(B393="","Missing Order Date",
IF(C393="","Missing Ship Date","OK"))</f>
        <v>OK</v>
      </c>
      <c r="AC393" s="7" t="str">
        <f>IF(C393&lt;B393, "Invalid", "Valid")</f>
        <v>Valid</v>
      </c>
      <c r="AD393" s="7" t="str">
        <f>IF(COUNTIF($A:$A, A393)&gt;1, "Duplicate", "Unique")</f>
        <v>Unique</v>
      </c>
      <c r="AE393" s="7" t="str">
        <f>IF(G393="","Unknown",G393)</f>
        <v>South</v>
      </c>
      <c r="AF393" s="7" t="str">
        <f>IF(M393="","Unknown",M393)</f>
        <v>First Class</v>
      </c>
      <c r="AG393" s="7" t="str">
        <f>IF(P393&lt;0,"Invalid",
IF(P393&gt;1,"Invalid","Valid"))</f>
        <v>Valid</v>
      </c>
      <c r="AH393" s="7" t="str">
        <f>TEXT(B393,"mmmm")</f>
        <v>February</v>
      </c>
      <c r="AI393" s="7">
        <f t="shared" si="39"/>
        <v>2025</v>
      </c>
      <c r="AJ393" s="7" t="str">
        <f>IF(OR(R393&lt;0,C393&lt;B393),"Invalid",
IF(OR(G393="Unknown",M393="Unknown"),"Warning","Clean"))</f>
        <v>Clean</v>
      </c>
      <c r="AK393" s="7" t="str">
        <f>IF(C393&lt;B393,"Ship Before Order","OK")</f>
        <v>OK</v>
      </c>
      <c r="AL393" s="7" t="str">
        <f>IF(ISNUMBER(B393),"Valid","Invalid")</f>
        <v>Valid</v>
      </c>
      <c r="AM393" s="7" t="str">
        <f t="shared" si="40"/>
        <v>Ok</v>
      </c>
      <c r="AN393" s="7" t="str">
        <f t="shared" si="41"/>
        <v>Ok</v>
      </c>
    </row>
    <row r="394" spans="1:40">
      <c r="A394" t="s">
        <v>1278</v>
      </c>
      <c r="B394" s="6">
        <v>45341</v>
      </c>
      <c r="C394" s="4">
        <v>45892</v>
      </c>
      <c r="D394" t="s">
        <v>1279</v>
      </c>
      <c r="E394" t="s">
        <v>89</v>
      </c>
      <c r="F394" t="s">
        <v>37</v>
      </c>
      <c r="G394" t="s">
        <v>54</v>
      </c>
      <c r="H394" t="s">
        <v>185</v>
      </c>
      <c r="I394" t="s">
        <v>186</v>
      </c>
      <c r="J394" t="s">
        <v>41</v>
      </c>
      <c r="K394" t="s">
        <v>57</v>
      </c>
      <c r="L394" t="s">
        <v>1280</v>
      </c>
      <c r="M394" t="s">
        <v>44</v>
      </c>
      <c r="N394">
        <v>9</v>
      </c>
      <c r="O394">
        <v>4053.01</v>
      </c>
      <c r="P394">
        <v>0</v>
      </c>
      <c r="Q394" s="7">
        <f>IF(P394="", 0, P394)</f>
        <v>0</v>
      </c>
      <c r="R394">
        <v>36477.089999999997</v>
      </c>
      <c r="S394">
        <v>24525.48</v>
      </c>
      <c r="T394" s="7">
        <f>N394*O394*(1-Q394)</f>
        <v>36477.090000000004</v>
      </c>
      <c r="U394" s="7">
        <f t="shared" si="36"/>
        <v>11951.610000000004</v>
      </c>
      <c r="V394">
        <v>11951.61</v>
      </c>
      <c r="W394" s="12">
        <f t="shared" si="37"/>
        <v>0.32764702447481425</v>
      </c>
      <c r="X394" t="s">
        <v>32</v>
      </c>
      <c r="Y394" t="str">
        <f t="shared" si="38"/>
        <v>Paid</v>
      </c>
      <c r="Z394" t="s">
        <v>33</v>
      </c>
      <c r="AA394">
        <f>C394-B394</f>
        <v>551</v>
      </c>
      <c r="AB394" t="str">
        <f>IF(B394="","Missing Order Date",
IF(C394="","Missing Ship Date","OK"))</f>
        <v>OK</v>
      </c>
      <c r="AC394" s="7" t="str">
        <f>IF(C394&lt;B394, "Invalid", "Valid")</f>
        <v>Valid</v>
      </c>
      <c r="AD394" s="7" t="str">
        <f>IF(COUNTIF($A:$A, A394)&gt;1, "Duplicate", "Unique")</f>
        <v>Unique</v>
      </c>
      <c r="AE394" s="7" t="str">
        <f>IF(G394="","Unknown",G394)</f>
        <v>South</v>
      </c>
      <c r="AF394" s="7" t="str">
        <f>IF(M394="","Unknown",M394)</f>
        <v>Same Day</v>
      </c>
      <c r="AG394" s="7" t="str">
        <f>IF(P394&lt;0,"Invalid",
IF(P394&gt;1,"Invalid","Valid"))</f>
        <v>Valid</v>
      </c>
      <c r="AH394" s="7" t="str">
        <f>TEXT(B394,"mmmm")</f>
        <v>February</v>
      </c>
      <c r="AI394" s="7">
        <f t="shared" si="39"/>
        <v>2024</v>
      </c>
      <c r="AJ394" s="7" t="str">
        <f>IF(OR(R394&lt;0,C394&lt;B394),"Invalid",
IF(OR(G394="Unknown",M394="Unknown"),"Warning","Clean"))</f>
        <v>Clean</v>
      </c>
      <c r="AK394" s="7" t="str">
        <f>IF(C394&lt;B394,"Ship Before Order","OK")</f>
        <v>OK</v>
      </c>
      <c r="AL394" s="7" t="str">
        <f>IF(ISNUMBER(B394),"Valid","Invalid")</f>
        <v>Valid</v>
      </c>
      <c r="AM394" s="7" t="str">
        <f t="shared" si="40"/>
        <v>Ok</v>
      </c>
      <c r="AN394" s="7" t="str">
        <f t="shared" si="41"/>
        <v>Ok</v>
      </c>
    </row>
    <row r="395" spans="1:40">
      <c r="A395" t="s">
        <v>1281</v>
      </c>
      <c r="B395" s="6">
        <v>45527</v>
      </c>
      <c r="C395" s="4">
        <v>45893</v>
      </c>
      <c r="D395" t="s">
        <v>1282</v>
      </c>
      <c r="E395" t="s">
        <v>36</v>
      </c>
      <c r="F395" t="s">
        <v>90</v>
      </c>
      <c r="G395" t="s">
        <v>25</v>
      </c>
      <c r="H395" t="s">
        <v>136</v>
      </c>
      <c r="I395" t="s">
        <v>137</v>
      </c>
      <c r="J395" t="s">
        <v>28</v>
      </c>
      <c r="K395" t="s">
        <v>91</v>
      </c>
      <c r="L395" t="s">
        <v>1283</v>
      </c>
      <c r="M395" t="s">
        <v>44</v>
      </c>
      <c r="N395">
        <v>2</v>
      </c>
      <c r="O395">
        <v>1936.91</v>
      </c>
      <c r="P395">
        <v>0.05</v>
      </c>
      <c r="Q395" s="7">
        <f>IF(P395="", 0, P395)</f>
        <v>0.05</v>
      </c>
      <c r="R395">
        <v>3680.13</v>
      </c>
      <c r="S395">
        <v>2967.46</v>
      </c>
      <c r="T395" s="7">
        <f>N395*O395*(1-Q395)</f>
        <v>3680.1289999999999</v>
      </c>
      <c r="U395" s="7">
        <f t="shared" si="36"/>
        <v>712.66899999999987</v>
      </c>
      <c r="V395">
        <v>712.67</v>
      </c>
      <c r="W395" s="12">
        <f t="shared" si="37"/>
        <v>0.19365326595888346</v>
      </c>
      <c r="X395" t="s">
        <v>32</v>
      </c>
      <c r="Y395" t="str">
        <f t="shared" si="38"/>
        <v>Paid</v>
      </c>
      <c r="Z395" t="s">
        <v>33</v>
      </c>
      <c r="AA395">
        <f>C395-B395</f>
        <v>366</v>
      </c>
      <c r="AB395" t="str">
        <f>IF(B395="","Missing Order Date",
IF(C395="","Missing Ship Date","OK"))</f>
        <v>OK</v>
      </c>
      <c r="AC395" s="7" t="str">
        <f>IF(C395&lt;B395, "Invalid", "Valid")</f>
        <v>Valid</v>
      </c>
      <c r="AD395" s="7" t="str">
        <f>IF(COUNTIF($A:$A, A395)&gt;1, "Duplicate", "Unique")</f>
        <v>Unique</v>
      </c>
      <c r="AE395" s="7" t="str">
        <f>IF(G395="","Unknown",G395)</f>
        <v>North</v>
      </c>
      <c r="AF395" s="7" t="str">
        <f>IF(M395="","Unknown",M395)</f>
        <v>Same Day</v>
      </c>
      <c r="AG395" s="7" t="str">
        <f>IF(P395&lt;0,"Invalid",
IF(P395&gt;1,"Invalid","Valid"))</f>
        <v>Valid</v>
      </c>
      <c r="AH395" s="7" t="str">
        <f>TEXT(B395,"mmmm")</f>
        <v>August</v>
      </c>
      <c r="AI395" s="7">
        <f t="shared" si="39"/>
        <v>2024</v>
      </c>
      <c r="AJ395" s="7" t="str">
        <f>IF(OR(R395&lt;0,C395&lt;B395),"Invalid",
IF(OR(G395="Unknown",M395="Unknown"),"Warning","Clean"))</f>
        <v>Clean</v>
      </c>
      <c r="AK395" s="7" t="str">
        <f>IF(C395&lt;B395,"Ship Before Order","OK")</f>
        <v>OK</v>
      </c>
      <c r="AL395" s="7" t="str">
        <f>IF(ISNUMBER(B395),"Valid","Invalid")</f>
        <v>Valid</v>
      </c>
      <c r="AM395" s="7" t="str">
        <f t="shared" si="40"/>
        <v>Missmatched</v>
      </c>
      <c r="AN395" s="7" t="str">
        <f t="shared" si="41"/>
        <v>Missmatched</v>
      </c>
    </row>
    <row r="396" spans="1:40">
      <c r="A396" t="s">
        <v>1284</v>
      </c>
      <c r="B396" s="6">
        <v>45385</v>
      </c>
      <c r="C396" s="4">
        <v>45894</v>
      </c>
      <c r="D396" t="s">
        <v>1285</v>
      </c>
      <c r="E396" t="s">
        <v>264</v>
      </c>
      <c r="F396" t="s">
        <v>24</v>
      </c>
      <c r="G396" t="s">
        <v>63</v>
      </c>
      <c r="H396" t="s">
        <v>64</v>
      </c>
      <c r="I396" t="s">
        <v>65</v>
      </c>
      <c r="J396" t="s">
        <v>41</v>
      </c>
      <c r="K396" t="s">
        <v>57</v>
      </c>
      <c r="L396" t="s">
        <v>1286</v>
      </c>
      <c r="M396" t="s">
        <v>50</v>
      </c>
      <c r="N396">
        <v>7</v>
      </c>
      <c r="O396">
        <v>3945.21</v>
      </c>
      <c r="P396">
        <v>0</v>
      </c>
      <c r="Q396" s="7">
        <f>IF(P396="", 0, P396)</f>
        <v>0</v>
      </c>
      <c r="R396">
        <v>27616.47</v>
      </c>
      <c r="S396">
        <v>21225.26</v>
      </c>
      <c r="T396" s="7">
        <f>N396*O396*(1-Q396)</f>
        <v>27616.47</v>
      </c>
      <c r="U396" s="7">
        <f t="shared" si="36"/>
        <v>6391.2100000000028</v>
      </c>
      <c r="V396">
        <v>6391.21</v>
      </c>
      <c r="W396" s="12">
        <f t="shared" si="37"/>
        <v>0.23142747787823725</v>
      </c>
      <c r="X396" t="s">
        <v>32</v>
      </c>
      <c r="Y396" t="str">
        <f t="shared" si="38"/>
        <v>Paid</v>
      </c>
      <c r="Z396" t="s">
        <v>33</v>
      </c>
      <c r="AA396">
        <f>C396-B396</f>
        <v>509</v>
      </c>
      <c r="AB396" t="str">
        <f>IF(B396="","Missing Order Date",
IF(C396="","Missing Ship Date","OK"))</f>
        <v>OK</v>
      </c>
      <c r="AC396" s="7" t="str">
        <f>IF(C396&lt;B396, "Invalid", "Valid")</f>
        <v>Valid</v>
      </c>
      <c r="AD396" s="7" t="str">
        <f>IF(COUNTIF($A:$A, A396)&gt;1, "Duplicate", "Unique")</f>
        <v>Unique</v>
      </c>
      <c r="AE396" s="7" t="str">
        <f>IF(G396="","Unknown",G396)</f>
        <v>West</v>
      </c>
      <c r="AF396" s="7" t="str">
        <f>IF(M396="","Unknown",M396)</f>
        <v>First Class</v>
      </c>
      <c r="AG396" s="7" t="str">
        <f>IF(P396&lt;0,"Invalid",
IF(P396&gt;1,"Invalid","Valid"))</f>
        <v>Valid</v>
      </c>
      <c r="AH396" s="7" t="str">
        <f>TEXT(B396,"mmmm")</f>
        <v>April</v>
      </c>
      <c r="AI396" s="7">
        <f t="shared" si="39"/>
        <v>2024</v>
      </c>
      <c r="AJ396" s="7" t="str">
        <f>IF(OR(R396&lt;0,C396&lt;B396),"Invalid",
IF(OR(G396="Unknown",M396="Unknown"),"Warning","Clean"))</f>
        <v>Clean</v>
      </c>
      <c r="AK396" s="7" t="str">
        <f>IF(C396&lt;B396,"Ship Before Order","OK")</f>
        <v>OK</v>
      </c>
      <c r="AL396" s="7" t="str">
        <f>IF(ISNUMBER(B396),"Valid","Invalid")</f>
        <v>Valid</v>
      </c>
      <c r="AM396" s="7" t="str">
        <f t="shared" si="40"/>
        <v>Ok</v>
      </c>
      <c r="AN396" s="7" t="str">
        <f t="shared" si="41"/>
        <v>Ok</v>
      </c>
    </row>
    <row r="397" spans="1:40">
      <c r="A397" t="s">
        <v>1287</v>
      </c>
      <c r="B397" s="6">
        <v>45449</v>
      </c>
      <c r="C397" s="4">
        <v>45895</v>
      </c>
      <c r="D397" t="s">
        <v>1288</v>
      </c>
      <c r="E397" t="s">
        <v>118</v>
      </c>
      <c r="F397" t="s">
        <v>95</v>
      </c>
      <c r="G397" t="s">
        <v>54</v>
      </c>
      <c r="H397" t="s">
        <v>247</v>
      </c>
      <c r="I397" t="s">
        <v>248</v>
      </c>
      <c r="J397" t="s">
        <v>41</v>
      </c>
      <c r="K397" t="s">
        <v>42</v>
      </c>
      <c r="L397" t="s">
        <v>1289</v>
      </c>
      <c r="M397" t="s">
        <v>44</v>
      </c>
      <c r="N397">
        <v>7</v>
      </c>
      <c r="O397">
        <v>861.91</v>
      </c>
      <c r="P397">
        <v>0.05</v>
      </c>
      <c r="Q397" s="7">
        <f>IF(P397="", 0, P397)</f>
        <v>0.05</v>
      </c>
      <c r="R397">
        <v>5731.7</v>
      </c>
      <c r="S397">
        <v>4115.5600000000004</v>
      </c>
      <c r="T397" s="7">
        <f>N397*O397*(1-Q397)</f>
        <v>5731.7014999999992</v>
      </c>
      <c r="U397" s="7">
        <f t="shared" si="36"/>
        <v>1616.1414999999988</v>
      </c>
      <c r="V397">
        <v>1616.14</v>
      </c>
      <c r="W397" s="12">
        <f t="shared" si="37"/>
        <v>0.28196539893084088</v>
      </c>
      <c r="X397" t="s">
        <v>32</v>
      </c>
      <c r="Y397" t="str">
        <f t="shared" si="38"/>
        <v>Paid</v>
      </c>
      <c r="Z397" t="s">
        <v>33</v>
      </c>
      <c r="AA397">
        <f>C397-B397</f>
        <v>446</v>
      </c>
      <c r="AB397" t="str">
        <f>IF(B397="","Missing Order Date",
IF(C397="","Missing Ship Date","OK"))</f>
        <v>OK</v>
      </c>
      <c r="AC397" s="7" t="str">
        <f>IF(C397&lt;B397, "Invalid", "Valid")</f>
        <v>Valid</v>
      </c>
      <c r="AD397" s="7" t="str">
        <f>IF(COUNTIF($A:$A, A397)&gt;1, "Duplicate", "Unique")</f>
        <v>Unique</v>
      </c>
      <c r="AE397" s="7" t="str">
        <f>IF(G397="","Unknown",G397)</f>
        <v>South</v>
      </c>
      <c r="AF397" s="7" t="str">
        <f>IF(M397="","Unknown",M397)</f>
        <v>Same Day</v>
      </c>
      <c r="AG397" s="7" t="str">
        <f>IF(P397&lt;0,"Invalid",
IF(P397&gt;1,"Invalid","Valid"))</f>
        <v>Valid</v>
      </c>
      <c r="AH397" s="7" t="str">
        <f>TEXT(B397,"mmmm")</f>
        <v>June</v>
      </c>
      <c r="AI397" s="7">
        <f t="shared" si="39"/>
        <v>2024</v>
      </c>
      <c r="AJ397" s="7" t="str">
        <f>IF(OR(R397&lt;0,C397&lt;B397),"Invalid",
IF(OR(G397="Unknown",M397="Unknown"),"Warning","Clean"))</f>
        <v>Clean</v>
      </c>
      <c r="AK397" s="7" t="str">
        <f>IF(C397&lt;B397,"Ship Before Order","OK")</f>
        <v>OK</v>
      </c>
      <c r="AL397" s="7" t="str">
        <f>IF(ISNUMBER(B397),"Valid","Invalid")</f>
        <v>Valid</v>
      </c>
      <c r="AM397" s="7" t="str">
        <f t="shared" si="40"/>
        <v>Missmatched</v>
      </c>
      <c r="AN397" s="7" t="str">
        <f t="shared" si="41"/>
        <v>Missmatched</v>
      </c>
    </row>
    <row r="398" spans="1:40">
      <c r="A398" t="s">
        <v>1290</v>
      </c>
      <c r="B398" s="6">
        <v>45761</v>
      </c>
      <c r="C398" s="4">
        <v>45896</v>
      </c>
      <c r="D398" t="s">
        <v>1291</v>
      </c>
      <c r="E398" t="s">
        <v>89</v>
      </c>
      <c r="F398" t="s">
        <v>37</v>
      </c>
      <c r="G398" t="s">
        <v>54</v>
      </c>
      <c r="H398" t="s">
        <v>175</v>
      </c>
      <c r="I398" t="s">
        <v>176</v>
      </c>
      <c r="J398" t="s">
        <v>74</v>
      </c>
      <c r="K398" t="s">
        <v>274</v>
      </c>
      <c r="L398" t="s">
        <v>1292</v>
      </c>
      <c r="M398" t="s">
        <v>59</v>
      </c>
      <c r="N398">
        <v>2</v>
      </c>
      <c r="O398">
        <v>638.73</v>
      </c>
      <c r="P398">
        <v>0.05</v>
      </c>
      <c r="Q398" s="7">
        <f>IF(P398="", 0, P398)</f>
        <v>0.05</v>
      </c>
      <c r="R398">
        <v>1213.5899999999999</v>
      </c>
      <c r="S398">
        <v>956.22</v>
      </c>
      <c r="T398" s="7">
        <f>N398*O398*(1-Q398)</f>
        <v>1213.587</v>
      </c>
      <c r="U398" s="7">
        <f t="shared" si="36"/>
        <v>257.36699999999996</v>
      </c>
      <c r="V398">
        <v>257.37</v>
      </c>
      <c r="W398" s="12">
        <f t="shared" si="37"/>
        <v>0.21207132245154239</v>
      </c>
      <c r="X398" t="s">
        <v>32</v>
      </c>
      <c r="Y398" t="str">
        <f t="shared" si="38"/>
        <v>Paid</v>
      </c>
      <c r="Z398" t="s">
        <v>33</v>
      </c>
      <c r="AA398">
        <f>C398-B398</f>
        <v>135</v>
      </c>
      <c r="AB398" t="str">
        <f>IF(B398="","Missing Order Date",
IF(C398="","Missing Ship Date","OK"))</f>
        <v>OK</v>
      </c>
      <c r="AC398" s="7" t="str">
        <f>IF(C398&lt;B398, "Invalid", "Valid")</f>
        <v>Valid</v>
      </c>
      <c r="AD398" s="7" t="str">
        <f>IF(COUNTIF($A:$A, A398)&gt;1, "Duplicate", "Unique")</f>
        <v>Unique</v>
      </c>
      <c r="AE398" s="7" t="str">
        <f>IF(G398="","Unknown",G398)</f>
        <v>South</v>
      </c>
      <c r="AF398" s="7" t="str">
        <f>IF(M398="","Unknown",M398)</f>
        <v>Standard Class</v>
      </c>
      <c r="AG398" s="7" t="str">
        <f>IF(P398&lt;0,"Invalid",
IF(P398&gt;1,"Invalid","Valid"))</f>
        <v>Valid</v>
      </c>
      <c r="AH398" s="7" t="str">
        <f>TEXT(B398,"mmmm")</f>
        <v>April</v>
      </c>
      <c r="AI398" s="7">
        <f t="shared" si="39"/>
        <v>2025</v>
      </c>
      <c r="AJ398" s="7" t="str">
        <f>IF(OR(R398&lt;0,C398&lt;B398),"Invalid",
IF(OR(G398="Unknown",M398="Unknown"),"Warning","Clean"))</f>
        <v>Clean</v>
      </c>
      <c r="AK398" s="7" t="str">
        <f>IF(C398&lt;B398,"Ship Before Order","OK")</f>
        <v>OK</v>
      </c>
      <c r="AL398" s="7" t="str">
        <f>IF(ISNUMBER(B398),"Valid","Invalid")</f>
        <v>Valid</v>
      </c>
      <c r="AM398" s="7" t="str">
        <f t="shared" si="40"/>
        <v>Missmatched</v>
      </c>
      <c r="AN398" s="7" t="str">
        <f t="shared" si="41"/>
        <v>Missmatched</v>
      </c>
    </row>
    <row r="399" spans="1:40">
      <c r="A399" t="s">
        <v>1293</v>
      </c>
      <c r="B399" s="6">
        <v>45906</v>
      </c>
      <c r="C399" s="4">
        <v>45897</v>
      </c>
      <c r="D399" t="s">
        <v>1294</v>
      </c>
      <c r="E399" t="s">
        <v>132</v>
      </c>
      <c r="F399" t="s">
        <v>37</v>
      </c>
      <c r="G399" t="s">
        <v>25</v>
      </c>
      <c r="H399" t="s">
        <v>136</v>
      </c>
      <c r="I399" t="s">
        <v>137</v>
      </c>
      <c r="J399" t="s">
        <v>41</v>
      </c>
      <c r="K399" t="s">
        <v>42</v>
      </c>
      <c r="L399" t="s">
        <v>1295</v>
      </c>
      <c r="M399" t="s">
        <v>31</v>
      </c>
      <c r="N399">
        <v>2</v>
      </c>
      <c r="O399">
        <v>1731.88</v>
      </c>
      <c r="P399">
        <v>0</v>
      </c>
      <c r="Q399" s="7">
        <f>IF(P399="", 0, P399)</f>
        <v>0</v>
      </c>
      <c r="R399">
        <v>3463.76</v>
      </c>
      <c r="S399">
        <v>2143.7399999999998</v>
      </c>
      <c r="T399" s="7">
        <f>N399*O399*(1-Q399)</f>
        <v>3463.76</v>
      </c>
      <c r="U399" s="7">
        <f t="shared" si="36"/>
        <v>1320.0200000000004</v>
      </c>
      <c r="V399">
        <v>1320.02</v>
      </c>
      <c r="W399" s="12">
        <f t="shared" si="37"/>
        <v>0.38109453310852959</v>
      </c>
      <c r="X399" t="s">
        <v>32</v>
      </c>
      <c r="Y399" t="str">
        <f t="shared" si="38"/>
        <v>Paid</v>
      </c>
      <c r="Z399" t="s">
        <v>33</v>
      </c>
      <c r="AA399">
        <f>C399-B399</f>
        <v>-9</v>
      </c>
      <c r="AB399" t="str">
        <f>IF(B399="","Missing Order Date",
IF(C399="","Missing Ship Date","OK"))</f>
        <v>OK</v>
      </c>
      <c r="AC399" s="7" t="str">
        <f>IF(C399&lt;B399, "Invalid", "Valid")</f>
        <v>Invalid</v>
      </c>
      <c r="AD399" s="7" t="str">
        <f>IF(COUNTIF($A:$A, A399)&gt;1, "Duplicate", "Unique")</f>
        <v>Unique</v>
      </c>
      <c r="AE399" s="7" t="str">
        <f>IF(G399="","Unknown",G399)</f>
        <v>North</v>
      </c>
      <c r="AF399" s="7" t="str">
        <f>IF(M399="","Unknown",M399)</f>
        <v>Second Class</v>
      </c>
      <c r="AG399" s="7" t="str">
        <f>IF(P399&lt;0,"Invalid",
IF(P399&gt;1,"Invalid","Valid"))</f>
        <v>Valid</v>
      </c>
      <c r="AH399" s="7" t="str">
        <f>TEXT(B399,"mmmm")</f>
        <v>September</v>
      </c>
      <c r="AI399" s="7">
        <f t="shared" si="39"/>
        <v>2025</v>
      </c>
      <c r="AJ399" s="7" t="str">
        <f>IF(OR(R399&lt;0,C399&lt;B399),"Invalid",
IF(OR(G399="Unknown",M399="Unknown"),"Warning","Clean"))</f>
        <v>Invalid</v>
      </c>
      <c r="AK399" s="7" t="str">
        <f>IF(C399&lt;B399,"Ship Before Order","OK")</f>
        <v>Ship Before Order</v>
      </c>
      <c r="AL399" s="7" t="str">
        <f>IF(ISNUMBER(B399),"Valid","Invalid")</f>
        <v>Valid</v>
      </c>
      <c r="AM399" s="7" t="str">
        <f t="shared" si="40"/>
        <v>Ok</v>
      </c>
      <c r="AN399" s="7" t="str">
        <f t="shared" si="41"/>
        <v>Ok</v>
      </c>
    </row>
    <row r="400" spans="1:40">
      <c r="A400" t="s">
        <v>1296</v>
      </c>
      <c r="B400" s="6">
        <v>45492</v>
      </c>
      <c r="C400" s="4">
        <v>45898</v>
      </c>
      <c r="D400" t="s">
        <v>1297</v>
      </c>
      <c r="E400" t="s">
        <v>71</v>
      </c>
      <c r="F400" t="s">
        <v>90</v>
      </c>
      <c r="G400" t="s">
        <v>25</v>
      </c>
      <c r="H400" t="s">
        <v>122</v>
      </c>
      <c r="I400" t="s">
        <v>123</v>
      </c>
      <c r="J400" t="s">
        <v>74</v>
      </c>
      <c r="K400" t="s">
        <v>274</v>
      </c>
      <c r="L400" t="s">
        <v>1298</v>
      </c>
      <c r="M400" t="s">
        <v>44</v>
      </c>
      <c r="N400">
        <v>2</v>
      </c>
      <c r="O400">
        <v>1263.6500000000001</v>
      </c>
      <c r="P400">
        <v>0.2</v>
      </c>
      <c r="Q400" s="7">
        <f>IF(P400="", 0, P400)</f>
        <v>0.2</v>
      </c>
      <c r="R400">
        <v>2021.84</v>
      </c>
      <c r="S400">
        <v>1355.22</v>
      </c>
      <c r="T400" s="7">
        <f>N400*O400*(1-Q400)</f>
        <v>2021.8400000000001</v>
      </c>
      <c r="U400" s="7">
        <f t="shared" si="36"/>
        <v>666.62000000000012</v>
      </c>
      <c r="V400">
        <v>666.62</v>
      </c>
      <c r="W400" s="12">
        <f t="shared" si="37"/>
        <v>0.32970957147944452</v>
      </c>
      <c r="X400" t="s">
        <v>32</v>
      </c>
      <c r="Y400" t="str">
        <f t="shared" si="38"/>
        <v>Paid</v>
      </c>
      <c r="Z400" t="s">
        <v>33</v>
      </c>
      <c r="AA400">
        <f>C400-B400</f>
        <v>406</v>
      </c>
      <c r="AB400" t="str">
        <f>IF(B400="","Missing Order Date",
IF(C400="","Missing Ship Date","OK"))</f>
        <v>OK</v>
      </c>
      <c r="AC400" s="7" t="str">
        <f>IF(C400&lt;B400, "Invalid", "Valid")</f>
        <v>Valid</v>
      </c>
      <c r="AD400" s="7" t="str">
        <f>IF(COUNTIF($A:$A, A400)&gt;1, "Duplicate", "Unique")</f>
        <v>Unique</v>
      </c>
      <c r="AE400" s="7" t="str">
        <f>IF(G400="","Unknown",G400)</f>
        <v>North</v>
      </c>
      <c r="AF400" s="7" t="str">
        <f>IF(M400="","Unknown",M400)</f>
        <v>Same Day</v>
      </c>
      <c r="AG400" s="7" t="str">
        <f>IF(P400&lt;0,"Invalid",
IF(P400&gt;1,"Invalid","Valid"))</f>
        <v>Valid</v>
      </c>
      <c r="AH400" s="7" t="str">
        <f>TEXT(B400,"mmmm")</f>
        <v>July</v>
      </c>
      <c r="AI400" s="7">
        <f t="shared" si="39"/>
        <v>2024</v>
      </c>
      <c r="AJ400" s="7" t="str">
        <f>IF(OR(R400&lt;0,C400&lt;B400),"Invalid",
IF(OR(G400="Unknown",M400="Unknown"),"Warning","Clean"))</f>
        <v>Clean</v>
      </c>
      <c r="AK400" s="7" t="str">
        <f>IF(C400&lt;B400,"Ship Before Order","OK")</f>
        <v>OK</v>
      </c>
      <c r="AL400" s="7" t="str">
        <f>IF(ISNUMBER(B400),"Valid","Invalid")</f>
        <v>Valid</v>
      </c>
      <c r="AM400" s="7" t="str">
        <f t="shared" si="40"/>
        <v>Ok</v>
      </c>
      <c r="AN400" s="7" t="str">
        <f t="shared" si="41"/>
        <v>Ok</v>
      </c>
    </row>
    <row r="401" spans="1:40">
      <c r="A401" t="s">
        <v>1299</v>
      </c>
      <c r="B401" s="6">
        <v>45771</v>
      </c>
      <c r="C401" s="4">
        <v>45899</v>
      </c>
      <c r="D401" t="s">
        <v>1300</v>
      </c>
      <c r="E401" t="s">
        <v>162</v>
      </c>
      <c r="F401" t="s">
        <v>37</v>
      </c>
      <c r="G401" t="s">
        <v>54</v>
      </c>
      <c r="H401" t="s">
        <v>84</v>
      </c>
      <c r="I401" t="s">
        <v>85</v>
      </c>
      <c r="J401" t="s">
        <v>28</v>
      </c>
      <c r="K401" t="s">
        <v>29</v>
      </c>
      <c r="L401" t="s">
        <v>1301</v>
      </c>
      <c r="M401" t="s">
        <v>44</v>
      </c>
      <c r="N401">
        <v>1</v>
      </c>
      <c r="O401">
        <v>4358.5</v>
      </c>
      <c r="P401">
        <v>0.25</v>
      </c>
      <c r="Q401" s="7">
        <f>IF(P401="", 0, P401)</f>
        <v>0.25</v>
      </c>
      <c r="R401">
        <v>3268.88</v>
      </c>
      <c r="S401">
        <v>1993.74</v>
      </c>
      <c r="T401" s="7">
        <f>N401*O401*(1-Q401)</f>
        <v>3268.875</v>
      </c>
      <c r="U401" s="7">
        <f t="shared" si="36"/>
        <v>1275.135</v>
      </c>
      <c r="V401">
        <v>1275.1400000000001</v>
      </c>
      <c r="W401" s="12">
        <f t="shared" si="37"/>
        <v>0.39008374440747962</v>
      </c>
      <c r="X401" t="s">
        <v>32</v>
      </c>
      <c r="Y401" t="str">
        <f t="shared" si="38"/>
        <v>Paid</v>
      </c>
      <c r="Z401" t="s">
        <v>33</v>
      </c>
      <c r="AA401">
        <f>C401-B401</f>
        <v>128</v>
      </c>
      <c r="AB401" t="str">
        <f>IF(B401="","Missing Order Date",
IF(C401="","Missing Ship Date","OK"))</f>
        <v>OK</v>
      </c>
      <c r="AC401" s="7" t="str">
        <f>IF(C401&lt;B401, "Invalid", "Valid")</f>
        <v>Valid</v>
      </c>
      <c r="AD401" s="7" t="str">
        <f>IF(COUNTIF($A:$A, A401)&gt;1, "Duplicate", "Unique")</f>
        <v>Duplicate</v>
      </c>
      <c r="AE401" s="7" t="str">
        <f>IF(G401="","Unknown",G401)</f>
        <v>South</v>
      </c>
      <c r="AF401" s="7" t="str">
        <f>IF(M401="","Unknown",M401)</f>
        <v>Same Day</v>
      </c>
      <c r="AG401" s="7" t="str">
        <f>IF(P401&lt;0,"Invalid",
IF(P401&gt;1,"Invalid","Valid"))</f>
        <v>Valid</v>
      </c>
      <c r="AH401" s="7" t="str">
        <f>TEXT(B401,"mmmm")</f>
        <v>April</v>
      </c>
      <c r="AI401" s="7">
        <f t="shared" si="39"/>
        <v>2025</v>
      </c>
      <c r="AJ401" s="7" t="str">
        <f>IF(OR(R401&lt;0,C401&lt;B401),"Invalid",
IF(OR(G401="Unknown",M401="Unknown"),"Warning","Clean"))</f>
        <v>Clean</v>
      </c>
      <c r="AK401" s="7" t="str">
        <f>IF(C401&lt;B401,"Ship Before Order","OK")</f>
        <v>OK</v>
      </c>
      <c r="AL401" s="7" t="str">
        <f>IF(ISNUMBER(B401),"Valid","Invalid")</f>
        <v>Valid</v>
      </c>
      <c r="AM401" s="7" t="str">
        <f t="shared" si="40"/>
        <v>Missmatched</v>
      </c>
      <c r="AN401" s="7" t="str">
        <f t="shared" si="41"/>
        <v>Missmatched</v>
      </c>
    </row>
    <row r="402" spans="1:40">
      <c r="A402" t="s">
        <v>1302</v>
      </c>
      <c r="B402" s="6">
        <v>45814</v>
      </c>
      <c r="C402" s="4">
        <v>45900</v>
      </c>
      <c r="D402" t="s">
        <v>1303</v>
      </c>
      <c r="E402" t="s">
        <v>132</v>
      </c>
      <c r="F402" t="s">
        <v>37</v>
      </c>
      <c r="G402" t="s">
        <v>25</v>
      </c>
      <c r="H402" t="s">
        <v>136</v>
      </c>
      <c r="I402" t="s">
        <v>137</v>
      </c>
      <c r="J402" t="s">
        <v>28</v>
      </c>
      <c r="K402" t="s">
        <v>29</v>
      </c>
      <c r="L402" t="s">
        <v>1304</v>
      </c>
      <c r="M402" t="s">
        <v>44</v>
      </c>
      <c r="N402">
        <v>7</v>
      </c>
      <c r="O402">
        <v>878.09</v>
      </c>
      <c r="P402">
        <v>-0.1</v>
      </c>
      <c r="Q402" s="7">
        <f>IF(P402="", 0, P402)</f>
        <v>-0.1</v>
      </c>
      <c r="R402">
        <v>5839.3</v>
      </c>
      <c r="S402">
        <v>4877.38</v>
      </c>
      <c r="T402" s="7">
        <f>N402*O402*(1-Q402)</f>
        <v>6761.2930000000006</v>
      </c>
      <c r="U402" s="7">
        <f t="shared" si="36"/>
        <v>1883.9130000000005</v>
      </c>
      <c r="V402">
        <v>961.92</v>
      </c>
      <c r="W402" s="12">
        <f t="shared" si="37"/>
        <v>0.27863206046535777</v>
      </c>
      <c r="X402" t="s">
        <v>32</v>
      </c>
      <c r="Y402" t="str">
        <f t="shared" si="38"/>
        <v>Paid</v>
      </c>
      <c r="Z402" t="s">
        <v>33</v>
      </c>
      <c r="AA402">
        <f>C402-B402</f>
        <v>86</v>
      </c>
      <c r="AB402" t="str">
        <f>IF(B402="","Missing Order Date",
IF(C402="","Missing Ship Date","OK"))</f>
        <v>OK</v>
      </c>
      <c r="AC402" s="7" t="str">
        <f>IF(C402&lt;B402, "Invalid", "Valid")</f>
        <v>Valid</v>
      </c>
      <c r="AD402" s="7" t="str">
        <f>IF(COUNTIF($A:$A, A402)&gt;1, "Duplicate", "Unique")</f>
        <v>Unique</v>
      </c>
      <c r="AE402" s="7" t="str">
        <f>IF(G402="","Unknown",G402)</f>
        <v>North</v>
      </c>
      <c r="AF402" s="7" t="str">
        <f>IF(M402="","Unknown",M402)</f>
        <v>Same Day</v>
      </c>
      <c r="AG402" s="7" t="str">
        <f>IF(P402&lt;0,"Invalid",
IF(P402&gt;1,"Invalid","Valid"))</f>
        <v>Invalid</v>
      </c>
      <c r="AH402" s="7" t="str">
        <f>TEXT(B402,"mmmm")</f>
        <v>June</v>
      </c>
      <c r="AI402" s="7">
        <f t="shared" si="39"/>
        <v>2025</v>
      </c>
      <c r="AJ402" s="7" t="str">
        <f>IF(OR(R402&lt;0,C402&lt;B402),"Invalid",
IF(OR(G402="Unknown",M402="Unknown"),"Warning","Clean"))</f>
        <v>Clean</v>
      </c>
      <c r="AK402" s="7" t="str">
        <f>IF(C402&lt;B402,"Ship Before Order","OK")</f>
        <v>OK</v>
      </c>
      <c r="AL402" s="7" t="str">
        <f>IF(ISNUMBER(B402),"Valid","Invalid")</f>
        <v>Valid</v>
      </c>
      <c r="AM402" s="7" t="str">
        <f t="shared" si="40"/>
        <v>Missmatched</v>
      </c>
      <c r="AN402" s="7" t="str">
        <f t="shared" si="41"/>
        <v>Missmatched</v>
      </c>
    </row>
    <row r="403" spans="1:40">
      <c r="A403" t="s">
        <v>1305</v>
      </c>
      <c r="B403" s="6">
        <v>45903</v>
      </c>
      <c r="C403" s="4">
        <v>45901</v>
      </c>
      <c r="D403" t="s">
        <v>1306</v>
      </c>
      <c r="E403" t="s">
        <v>53</v>
      </c>
      <c r="F403" t="s">
        <v>37</v>
      </c>
      <c r="G403" t="s">
        <v>38</v>
      </c>
      <c r="H403" t="s">
        <v>228</v>
      </c>
      <c r="I403" t="s">
        <v>229</v>
      </c>
      <c r="J403" t="s">
        <v>41</v>
      </c>
      <c r="K403" t="s">
        <v>42</v>
      </c>
      <c r="L403" t="s">
        <v>1307</v>
      </c>
      <c r="M403" t="s">
        <v>44</v>
      </c>
      <c r="N403">
        <v>3</v>
      </c>
      <c r="O403">
        <v>2625.85</v>
      </c>
      <c r="P403">
        <v>0</v>
      </c>
      <c r="Q403" s="7">
        <f>IF(P403="", 0, P403)</f>
        <v>0</v>
      </c>
      <c r="R403">
        <v>7877.55</v>
      </c>
      <c r="S403">
        <v>5562.77</v>
      </c>
      <c r="T403" s="7">
        <f>N403*O403*(1-Q403)</f>
        <v>7877.5499999999993</v>
      </c>
      <c r="U403" s="7">
        <f t="shared" si="36"/>
        <v>2314.7799999999988</v>
      </c>
      <c r="V403">
        <v>2314.7800000000002</v>
      </c>
      <c r="W403" s="12">
        <f t="shared" si="37"/>
        <v>0.29384516759652418</v>
      </c>
      <c r="X403" t="s">
        <v>32</v>
      </c>
      <c r="Y403" t="str">
        <f t="shared" si="38"/>
        <v>Paid</v>
      </c>
      <c r="Z403" t="s">
        <v>33</v>
      </c>
      <c r="AA403">
        <f>C403-B403</f>
        <v>-2</v>
      </c>
      <c r="AB403" t="str">
        <f>IF(B403="","Missing Order Date",
IF(C403="","Missing Ship Date","OK"))</f>
        <v>OK</v>
      </c>
      <c r="AC403" s="7" t="str">
        <f>IF(C403&lt;B403, "Invalid", "Valid")</f>
        <v>Invalid</v>
      </c>
      <c r="AD403" s="7" t="str">
        <f>IF(COUNTIF($A:$A, A403)&gt;1, "Duplicate", "Unique")</f>
        <v>Unique</v>
      </c>
      <c r="AE403" s="7" t="str">
        <f>IF(G403="","Unknown",G403)</f>
        <v>East</v>
      </c>
      <c r="AF403" s="7" t="str">
        <f>IF(M403="","Unknown",M403)</f>
        <v>Same Day</v>
      </c>
      <c r="AG403" s="7" t="str">
        <f>IF(P403&lt;0,"Invalid",
IF(P403&gt;1,"Invalid","Valid"))</f>
        <v>Valid</v>
      </c>
      <c r="AH403" s="7" t="str">
        <f>TEXT(B403,"mmmm")</f>
        <v>September</v>
      </c>
      <c r="AI403" s="7">
        <f t="shared" si="39"/>
        <v>2025</v>
      </c>
      <c r="AJ403" s="7" t="str">
        <f>IF(OR(R403&lt;0,C403&lt;B403),"Invalid",
IF(OR(G403="Unknown",M403="Unknown"),"Warning","Clean"))</f>
        <v>Invalid</v>
      </c>
      <c r="AK403" s="7" t="str">
        <f>IF(C403&lt;B403,"Ship Before Order","OK")</f>
        <v>Ship Before Order</v>
      </c>
      <c r="AL403" s="7" t="str">
        <f>IF(ISNUMBER(B403),"Valid","Invalid")</f>
        <v>Valid</v>
      </c>
      <c r="AM403" s="7" t="str">
        <f t="shared" si="40"/>
        <v>Ok</v>
      </c>
      <c r="AN403" s="7" t="str">
        <f t="shared" si="41"/>
        <v>Ok</v>
      </c>
    </row>
    <row r="404" spans="1:40">
      <c r="A404" t="s">
        <v>1308</v>
      </c>
      <c r="B404" s="6">
        <v>45373</v>
      </c>
      <c r="C404" s="4">
        <v>45902</v>
      </c>
      <c r="D404" t="s">
        <v>1309</v>
      </c>
      <c r="E404" t="s">
        <v>114</v>
      </c>
      <c r="F404" t="s">
        <v>37</v>
      </c>
      <c r="G404" t="s">
        <v>54</v>
      </c>
      <c r="H404" t="s">
        <v>175</v>
      </c>
      <c r="I404" t="s">
        <v>176</v>
      </c>
      <c r="J404" t="s">
        <v>41</v>
      </c>
      <c r="K404" t="s">
        <v>42</v>
      </c>
      <c r="L404" t="s">
        <v>1310</v>
      </c>
      <c r="M404" t="s">
        <v>2785</v>
      </c>
      <c r="N404">
        <v>3</v>
      </c>
      <c r="O404">
        <v>1365.26</v>
      </c>
      <c r="P404">
        <v>0</v>
      </c>
      <c r="Q404" s="7">
        <f>IF(P404="", 0, P404)</f>
        <v>0</v>
      </c>
      <c r="R404">
        <v>4095.78</v>
      </c>
      <c r="S404">
        <v>2807.77</v>
      </c>
      <c r="T404" s="7">
        <f>N404*O404*(1-Q404)</f>
        <v>4095.7799999999997</v>
      </c>
      <c r="U404" s="7">
        <f t="shared" si="36"/>
        <v>1288.0099999999998</v>
      </c>
      <c r="V404">
        <v>1288.01</v>
      </c>
      <c r="W404" s="12">
        <f t="shared" si="37"/>
        <v>0.31447245701673426</v>
      </c>
      <c r="X404" t="s">
        <v>32</v>
      </c>
      <c r="Y404" t="str">
        <f t="shared" si="38"/>
        <v>Paid</v>
      </c>
      <c r="Z404" t="s">
        <v>33</v>
      </c>
      <c r="AA404">
        <f>C404-B404</f>
        <v>529</v>
      </c>
      <c r="AB404" t="str">
        <f>IF(B404="","Missing Order Date",
IF(C404="","Missing Ship Date","OK"))</f>
        <v>OK</v>
      </c>
      <c r="AC404" s="7" t="str">
        <f>IF(C404&lt;B404, "Invalid", "Valid")</f>
        <v>Valid</v>
      </c>
      <c r="AD404" s="7" t="str">
        <f>IF(COUNTIF($A:$A, A404)&gt;1, "Duplicate", "Unique")</f>
        <v>Unique</v>
      </c>
      <c r="AE404" s="7" t="str">
        <f>IF(G404="","Unknown",G404)</f>
        <v>South</v>
      </c>
      <c r="AF404" s="7" t="str">
        <f>IF(M404="","Unknown",M404)</f>
        <v>Unknown</v>
      </c>
      <c r="AG404" s="7" t="str">
        <f>IF(P404&lt;0,"Invalid",
IF(P404&gt;1,"Invalid","Valid"))</f>
        <v>Valid</v>
      </c>
      <c r="AH404" s="7" t="str">
        <f>TEXT(B404,"mmmm")</f>
        <v>March</v>
      </c>
      <c r="AI404" s="7">
        <f t="shared" si="39"/>
        <v>2024</v>
      </c>
      <c r="AJ404" s="7" t="str">
        <f>IF(OR(R404&lt;0,C404&lt;B404),"Invalid",
IF(OR(G404="Unknown",M404="Unknown"),"Warning","Clean"))</f>
        <v>Clean</v>
      </c>
      <c r="AK404" s="7" t="str">
        <f>IF(C404&lt;B404,"Ship Before Order","OK")</f>
        <v>OK</v>
      </c>
      <c r="AL404" s="7" t="str">
        <f>IF(ISNUMBER(B404),"Valid","Invalid")</f>
        <v>Valid</v>
      </c>
      <c r="AM404" s="7" t="str">
        <f t="shared" si="40"/>
        <v>Ok</v>
      </c>
      <c r="AN404" s="7" t="str">
        <f t="shared" si="41"/>
        <v>Ok</v>
      </c>
    </row>
    <row r="405" spans="1:40">
      <c r="A405" t="s">
        <v>1311</v>
      </c>
      <c r="B405" s="6">
        <v>45565</v>
      </c>
      <c r="C405" s="4">
        <v>45903</v>
      </c>
      <c r="D405" t="s">
        <v>1312</v>
      </c>
      <c r="E405" t="s">
        <v>53</v>
      </c>
      <c r="F405" t="s">
        <v>37</v>
      </c>
      <c r="G405" t="s">
        <v>54</v>
      </c>
      <c r="H405" t="s">
        <v>185</v>
      </c>
      <c r="I405" t="s">
        <v>186</v>
      </c>
      <c r="J405" t="s">
        <v>28</v>
      </c>
      <c r="K405" t="s">
        <v>29</v>
      </c>
      <c r="L405" t="s">
        <v>1313</v>
      </c>
      <c r="M405" t="s">
        <v>44</v>
      </c>
      <c r="N405">
        <v>5</v>
      </c>
      <c r="O405">
        <v>3512.25</v>
      </c>
      <c r="P405">
        <v>0.05</v>
      </c>
      <c r="Q405" s="7">
        <f>IF(P405="", 0, P405)</f>
        <v>0.05</v>
      </c>
      <c r="R405">
        <v>16683.189999999999</v>
      </c>
      <c r="S405">
        <v>10301.16</v>
      </c>
      <c r="T405" s="7">
        <f>N405*O405*(1-Q405)</f>
        <v>16683.1875</v>
      </c>
      <c r="U405" s="7">
        <f t="shared" si="36"/>
        <v>6382.0275000000001</v>
      </c>
      <c r="V405">
        <v>6382.03</v>
      </c>
      <c r="W405" s="12">
        <f t="shared" si="37"/>
        <v>0.38254245479168775</v>
      </c>
      <c r="X405" t="s">
        <v>32</v>
      </c>
      <c r="Y405" t="str">
        <f t="shared" si="38"/>
        <v>Paid</v>
      </c>
      <c r="Z405" t="s">
        <v>103</v>
      </c>
      <c r="AA405">
        <f>C405-B405</f>
        <v>338</v>
      </c>
      <c r="AB405" t="str">
        <f>IF(B405="","Missing Order Date",
IF(C405="","Missing Ship Date","OK"))</f>
        <v>OK</v>
      </c>
      <c r="AC405" s="7" t="str">
        <f>IF(C405&lt;B405, "Invalid", "Valid")</f>
        <v>Valid</v>
      </c>
      <c r="AD405" s="7" t="str">
        <f>IF(COUNTIF($A:$A, A405)&gt;1, "Duplicate", "Unique")</f>
        <v>Unique</v>
      </c>
      <c r="AE405" s="7" t="str">
        <f>IF(G405="","Unknown",G405)</f>
        <v>South</v>
      </c>
      <c r="AF405" s="7" t="str">
        <f>IF(M405="","Unknown",M405)</f>
        <v>Same Day</v>
      </c>
      <c r="AG405" s="7" t="str">
        <f>IF(P405&lt;0,"Invalid",
IF(P405&gt;1,"Invalid","Valid"))</f>
        <v>Valid</v>
      </c>
      <c r="AH405" s="7" t="str">
        <f>TEXT(B405,"mmmm")</f>
        <v>September</v>
      </c>
      <c r="AI405" s="7">
        <f t="shared" si="39"/>
        <v>2024</v>
      </c>
      <c r="AJ405" s="7" t="str">
        <f>IF(OR(R405&lt;0,C405&lt;B405),"Invalid",
IF(OR(G405="Unknown",M405="Unknown"),"Warning","Clean"))</f>
        <v>Clean</v>
      </c>
      <c r="AK405" s="7" t="str">
        <f>IF(C405&lt;B405,"Ship Before Order","OK")</f>
        <v>OK</v>
      </c>
      <c r="AL405" s="7" t="str">
        <f>IF(ISNUMBER(B405),"Valid","Invalid")</f>
        <v>Valid</v>
      </c>
      <c r="AM405" s="7" t="str">
        <f t="shared" si="40"/>
        <v>Missmatched</v>
      </c>
      <c r="AN405" s="7" t="str">
        <f t="shared" si="41"/>
        <v>Missmatched</v>
      </c>
    </row>
    <row r="406" spans="1:40">
      <c r="A406" t="s">
        <v>1314</v>
      </c>
      <c r="B406" s="6">
        <v>45318</v>
      </c>
      <c r="C406" s="4">
        <v>45904</v>
      </c>
      <c r="D406" t="s">
        <v>1315</v>
      </c>
      <c r="E406" t="s">
        <v>89</v>
      </c>
      <c r="F406" t="s">
        <v>90</v>
      </c>
      <c r="G406" t="s">
        <v>63</v>
      </c>
      <c r="H406" t="s">
        <v>26</v>
      </c>
      <c r="I406" t="s">
        <v>109</v>
      </c>
      <c r="J406" t="s">
        <v>41</v>
      </c>
      <c r="K406" t="s">
        <v>66</v>
      </c>
      <c r="L406" t="s">
        <v>1316</v>
      </c>
      <c r="M406" t="s">
        <v>44</v>
      </c>
      <c r="N406">
        <v>3</v>
      </c>
      <c r="O406">
        <v>359.61</v>
      </c>
      <c r="P406">
        <v>0</v>
      </c>
      <c r="Q406" s="7">
        <f>IF(P406="", 0, P406)</f>
        <v>0</v>
      </c>
      <c r="R406">
        <v>1078.83</v>
      </c>
      <c r="S406">
        <v>926.35</v>
      </c>
      <c r="T406" s="7">
        <f>N406*O406*(1-Q406)</f>
        <v>1078.83</v>
      </c>
      <c r="U406" s="7">
        <f t="shared" si="36"/>
        <v>152.4799999999999</v>
      </c>
      <c r="V406">
        <v>152.47999999999999</v>
      </c>
      <c r="W406" s="12">
        <f t="shared" si="37"/>
        <v>0.14133830167867034</v>
      </c>
      <c r="X406" t="s">
        <v>32</v>
      </c>
      <c r="Y406" t="str">
        <f t="shared" si="38"/>
        <v>Paid</v>
      </c>
      <c r="Z406" t="s">
        <v>33</v>
      </c>
      <c r="AA406">
        <f>C406-B406</f>
        <v>586</v>
      </c>
      <c r="AB406" t="str">
        <f>IF(B406="","Missing Order Date",
IF(C406="","Missing Ship Date","OK"))</f>
        <v>OK</v>
      </c>
      <c r="AC406" s="7" t="str">
        <f>IF(C406&lt;B406, "Invalid", "Valid")</f>
        <v>Valid</v>
      </c>
      <c r="AD406" s="7" t="str">
        <f>IF(COUNTIF($A:$A, A406)&gt;1, "Duplicate", "Unique")</f>
        <v>Unique</v>
      </c>
      <c r="AE406" s="7" t="str">
        <f>IF(G406="","Unknown",G406)</f>
        <v>West</v>
      </c>
      <c r="AF406" s="7" t="str">
        <f>IF(M406="","Unknown",M406)</f>
        <v>Same Day</v>
      </c>
      <c r="AG406" s="7" t="str">
        <f>IF(P406&lt;0,"Invalid",
IF(P406&gt;1,"Invalid","Valid"))</f>
        <v>Valid</v>
      </c>
      <c r="AH406" s="7" t="str">
        <f>TEXT(B406,"mmmm")</f>
        <v>January</v>
      </c>
      <c r="AI406" s="7">
        <f t="shared" si="39"/>
        <v>2024</v>
      </c>
      <c r="AJ406" s="7" t="str">
        <f>IF(OR(R406&lt;0,C406&lt;B406),"Invalid",
IF(OR(G406="Unknown",M406="Unknown"),"Warning","Clean"))</f>
        <v>Clean</v>
      </c>
      <c r="AK406" s="7" t="str">
        <f>IF(C406&lt;B406,"Ship Before Order","OK")</f>
        <v>OK</v>
      </c>
      <c r="AL406" s="7" t="str">
        <f>IF(ISNUMBER(B406),"Valid","Invalid")</f>
        <v>Valid</v>
      </c>
      <c r="AM406" s="7" t="str">
        <f t="shared" si="40"/>
        <v>Ok</v>
      </c>
      <c r="AN406" s="7" t="str">
        <f t="shared" si="41"/>
        <v>Ok</v>
      </c>
    </row>
    <row r="407" spans="1:40">
      <c r="A407" t="s">
        <v>1317</v>
      </c>
      <c r="B407" s="6">
        <v>45558</v>
      </c>
      <c r="C407" s="4">
        <v>45905</v>
      </c>
      <c r="D407" t="s">
        <v>1318</v>
      </c>
      <c r="E407" t="s">
        <v>89</v>
      </c>
      <c r="F407" t="s">
        <v>95</v>
      </c>
      <c r="G407" t="s">
        <v>63</v>
      </c>
      <c r="H407" t="s">
        <v>180</v>
      </c>
      <c r="I407" t="s">
        <v>181</v>
      </c>
      <c r="J407" t="s">
        <v>41</v>
      </c>
      <c r="K407" t="s">
        <v>158</v>
      </c>
      <c r="L407" t="s">
        <v>1319</v>
      </c>
      <c r="M407" t="s">
        <v>2785</v>
      </c>
      <c r="N407">
        <v>7</v>
      </c>
      <c r="O407">
        <v>3878.01</v>
      </c>
      <c r="P407">
        <v>0.1</v>
      </c>
      <c r="Q407" s="7">
        <f>IF(P407="", 0, P407)</f>
        <v>0.1</v>
      </c>
      <c r="R407">
        <v>24431.46</v>
      </c>
      <c r="S407">
        <v>18202.36</v>
      </c>
      <c r="T407" s="7">
        <f>N407*O407*(1-Q407)</f>
        <v>24431.463</v>
      </c>
      <c r="U407" s="7">
        <f t="shared" si="36"/>
        <v>6229.1029999999992</v>
      </c>
      <c r="V407">
        <v>6229.1</v>
      </c>
      <c r="W407" s="12">
        <f t="shared" si="37"/>
        <v>0.25496234097810677</v>
      </c>
      <c r="X407" t="s">
        <v>32</v>
      </c>
      <c r="Y407" t="str">
        <f t="shared" si="38"/>
        <v>Paid</v>
      </c>
      <c r="Z407" t="s">
        <v>33</v>
      </c>
      <c r="AA407">
        <f>C407-B407</f>
        <v>347</v>
      </c>
      <c r="AB407" t="str">
        <f>IF(B407="","Missing Order Date",
IF(C407="","Missing Ship Date","OK"))</f>
        <v>OK</v>
      </c>
      <c r="AC407" s="7" t="str">
        <f>IF(C407&lt;B407, "Invalid", "Valid")</f>
        <v>Valid</v>
      </c>
      <c r="AD407" s="7" t="str">
        <f>IF(COUNTIF($A:$A, A407)&gt;1, "Duplicate", "Unique")</f>
        <v>Unique</v>
      </c>
      <c r="AE407" s="7" t="str">
        <f>IF(G407="","Unknown",G407)</f>
        <v>West</v>
      </c>
      <c r="AF407" s="7" t="str">
        <f>IF(M407="","Unknown",M407)</f>
        <v>Unknown</v>
      </c>
      <c r="AG407" s="7" t="str">
        <f>IF(P407&lt;0,"Invalid",
IF(P407&gt;1,"Invalid","Valid"))</f>
        <v>Valid</v>
      </c>
      <c r="AH407" s="7" t="str">
        <f>TEXT(B407,"mmmm")</f>
        <v>September</v>
      </c>
      <c r="AI407" s="7">
        <f t="shared" si="39"/>
        <v>2024</v>
      </c>
      <c r="AJ407" s="7" t="str">
        <f>IF(OR(R407&lt;0,C407&lt;B407),"Invalid",
IF(OR(G407="Unknown",M407="Unknown"),"Warning","Clean"))</f>
        <v>Clean</v>
      </c>
      <c r="AK407" s="7" t="str">
        <f>IF(C407&lt;B407,"Ship Before Order","OK")</f>
        <v>OK</v>
      </c>
      <c r="AL407" s="7" t="str">
        <f>IF(ISNUMBER(B407),"Valid","Invalid")</f>
        <v>Valid</v>
      </c>
      <c r="AM407" s="7" t="str">
        <f t="shared" si="40"/>
        <v>Missmatched</v>
      </c>
      <c r="AN407" s="7" t="str">
        <f t="shared" si="41"/>
        <v>Missmatched</v>
      </c>
    </row>
    <row r="408" spans="1:40">
      <c r="A408" t="s">
        <v>1320</v>
      </c>
      <c r="B408" s="6">
        <v>45713</v>
      </c>
      <c r="C408" s="4">
        <v>45906</v>
      </c>
      <c r="D408" t="s">
        <v>1321</v>
      </c>
      <c r="E408" t="s">
        <v>264</v>
      </c>
      <c r="F408" t="s">
        <v>37</v>
      </c>
      <c r="G408" t="s">
        <v>63</v>
      </c>
      <c r="H408" t="s">
        <v>190</v>
      </c>
      <c r="I408" t="s">
        <v>191</v>
      </c>
      <c r="J408" t="s">
        <v>41</v>
      </c>
      <c r="K408" t="s">
        <v>57</v>
      </c>
      <c r="L408" t="s">
        <v>1322</v>
      </c>
      <c r="M408" t="s">
        <v>59</v>
      </c>
      <c r="N408">
        <v>2</v>
      </c>
      <c r="O408">
        <v>3924.2</v>
      </c>
      <c r="P408">
        <v>0.25</v>
      </c>
      <c r="Q408" s="7">
        <f>IF(P408="", 0, P408)</f>
        <v>0.25</v>
      </c>
      <c r="R408">
        <v>5886.3</v>
      </c>
      <c r="S408">
        <v>3621.76</v>
      </c>
      <c r="T408" s="7">
        <f>N408*O408*(1-Q408)</f>
        <v>5886.2999999999993</v>
      </c>
      <c r="U408" s="7">
        <f t="shared" si="36"/>
        <v>2264.5399999999991</v>
      </c>
      <c r="V408">
        <v>2264.54</v>
      </c>
      <c r="W408" s="12">
        <f t="shared" si="37"/>
        <v>0.38471365713606159</v>
      </c>
      <c r="X408" t="s">
        <v>111</v>
      </c>
      <c r="Y408" t="str">
        <f t="shared" si="38"/>
        <v>Pending</v>
      </c>
      <c r="Z408" t="s">
        <v>103</v>
      </c>
      <c r="AA408">
        <f>C408-B408</f>
        <v>193</v>
      </c>
      <c r="AB408" t="str">
        <f>IF(B408="","Missing Order Date",
IF(C408="","Missing Ship Date","OK"))</f>
        <v>OK</v>
      </c>
      <c r="AC408" s="7" t="str">
        <f>IF(C408&lt;B408, "Invalid", "Valid")</f>
        <v>Valid</v>
      </c>
      <c r="AD408" s="7" t="str">
        <f>IF(COUNTIF($A:$A, A408)&gt;1, "Duplicate", "Unique")</f>
        <v>Unique</v>
      </c>
      <c r="AE408" s="7" t="str">
        <f>IF(G408="","Unknown",G408)</f>
        <v>West</v>
      </c>
      <c r="AF408" s="7" t="str">
        <f>IF(M408="","Unknown",M408)</f>
        <v>Standard Class</v>
      </c>
      <c r="AG408" s="7" t="str">
        <f>IF(P408&lt;0,"Invalid",
IF(P408&gt;1,"Invalid","Valid"))</f>
        <v>Valid</v>
      </c>
      <c r="AH408" s="7" t="str">
        <f>TEXT(B408,"mmmm")</f>
        <v>February</v>
      </c>
      <c r="AI408" s="7">
        <f t="shared" si="39"/>
        <v>2025</v>
      </c>
      <c r="AJ408" s="7" t="str">
        <f>IF(OR(R408&lt;0,C408&lt;B408),"Invalid",
IF(OR(G408="Unknown",M408="Unknown"),"Warning","Clean"))</f>
        <v>Clean</v>
      </c>
      <c r="AK408" s="7" t="str">
        <f>IF(C408&lt;B408,"Ship Before Order","OK")</f>
        <v>OK</v>
      </c>
      <c r="AL408" s="7" t="str">
        <f>IF(ISNUMBER(B408),"Valid","Invalid")</f>
        <v>Valid</v>
      </c>
      <c r="AM408" s="7" t="str">
        <f t="shared" si="40"/>
        <v>Ok</v>
      </c>
      <c r="AN408" s="7" t="str">
        <f t="shared" si="41"/>
        <v>Ok</v>
      </c>
    </row>
    <row r="409" spans="1:40">
      <c r="A409" t="s">
        <v>1323</v>
      </c>
      <c r="B409" s="6">
        <v>45631</v>
      </c>
      <c r="C409" s="4">
        <v>45907</v>
      </c>
      <c r="D409" t="s">
        <v>1324</v>
      </c>
      <c r="E409" t="s">
        <v>118</v>
      </c>
      <c r="F409" t="s">
        <v>90</v>
      </c>
      <c r="G409" t="s">
        <v>63</v>
      </c>
      <c r="H409" t="s">
        <v>190</v>
      </c>
      <c r="I409" t="s">
        <v>191</v>
      </c>
      <c r="J409" t="s">
        <v>28</v>
      </c>
      <c r="K409" t="s">
        <v>91</v>
      </c>
      <c r="L409" t="s">
        <v>1325</v>
      </c>
      <c r="M409" t="s">
        <v>31</v>
      </c>
      <c r="N409">
        <v>3</v>
      </c>
      <c r="O409">
        <v>2644.55</v>
      </c>
      <c r="P409">
        <v>0</v>
      </c>
      <c r="Q409" s="7">
        <f>IF(P409="", 0, P409)</f>
        <v>0</v>
      </c>
      <c r="R409">
        <v>7933.65</v>
      </c>
      <c r="S409">
        <v>5698.42</v>
      </c>
      <c r="T409" s="7">
        <f>N409*O409*(1-Q409)</f>
        <v>7933.6500000000005</v>
      </c>
      <c r="U409" s="7">
        <f t="shared" si="36"/>
        <v>2235.2300000000005</v>
      </c>
      <c r="V409">
        <v>2235.23</v>
      </c>
      <c r="W409" s="12">
        <f t="shared" si="37"/>
        <v>0.2817404347305465</v>
      </c>
      <c r="X409" t="s">
        <v>32</v>
      </c>
      <c r="Y409" t="str">
        <f t="shared" si="38"/>
        <v>Paid</v>
      </c>
      <c r="Z409" t="s">
        <v>33</v>
      </c>
      <c r="AA409">
        <f>C409-B409</f>
        <v>276</v>
      </c>
      <c r="AB409" t="str">
        <f>IF(B409="","Missing Order Date",
IF(C409="","Missing Ship Date","OK"))</f>
        <v>OK</v>
      </c>
      <c r="AC409" s="7" t="str">
        <f>IF(C409&lt;B409, "Invalid", "Valid")</f>
        <v>Valid</v>
      </c>
      <c r="AD409" s="7" t="str">
        <f>IF(COUNTIF($A:$A, A409)&gt;1, "Duplicate", "Unique")</f>
        <v>Unique</v>
      </c>
      <c r="AE409" s="7" t="str">
        <f>IF(G409="","Unknown",G409)</f>
        <v>West</v>
      </c>
      <c r="AF409" s="7" t="str">
        <f>IF(M409="","Unknown",M409)</f>
        <v>Second Class</v>
      </c>
      <c r="AG409" s="7" t="str">
        <f>IF(P409&lt;0,"Invalid",
IF(P409&gt;1,"Invalid","Valid"))</f>
        <v>Valid</v>
      </c>
      <c r="AH409" s="7" t="str">
        <f>TEXT(B409,"mmmm")</f>
        <v>December</v>
      </c>
      <c r="AI409" s="7">
        <f t="shared" si="39"/>
        <v>2024</v>
      </c>
      <c r="AJ409" s="7" t="str">
        <f>IF(OR(R409&lt;0,C409&lt;B409),"Invalid",
IF(OR(G409="Unknown",M409="Unknown"),"Warning","Clean"))</f>
        <v>Clean</v>
      </c>
      <c r="AK409" s="7" t="str">
        <f>IF(C409&lt;B409,"Ship Before Order","OK")</f>
        <v>OK</v>
      </c>
      <c r="AL409" s="7" t="str">
        <f>IF(ISNUMBER(B409),"Valid","Invalid")</f>
        <v>Valid</v>
      </c>
      <c r="AM409" s="7" t="str">
        <f t="shared" si="40"/>
        <v>Ok</v>
      </c>
      <c r="AN409" s="7" t="str">
        <f t="shared" si="41"/>
        <v>Ok</v>
      </c>
    </row>
    <row r="410" spans="1:40">
      <c r="A410" t="s">
        <v>1326</v>
      </c>
      <c r="B410" s="6">
        <v>45665</v>
      </c>
      <c r="C410" s="4">
        <v>45908</v>
      </c>
      <c r="D410" t="s">
        <v>1327</v>
      </c>
      <c r="E410" t="s">
        <v>132</v>
      </c>
      <c r="F410" t="s">
        <v>24</v>
      </c>
      <c r="G410" t="s">
        <v>63</v>
      </c>
      <c r="H410" t="s">
        <v>64</v>
      </c>
      <c r="I410" t="s">
        <v>65</v>
      </c>
      <c r="J410" t="s">
        <v>41</v>
      </c>
      <c r="K410" t="s">
        <v>66</v>
      </c>
      <c r="L410" t="s">
        <v>1328</v>
      </c>
      <c r="M410" t="s">
        <v>50</v>
      </c>
      <c r="N410">
        <v>4</v>
      </c>
      <c r="O410">
        <v>1773.46</v>
      </c>
      <c r="P410">
        <v>0</v>
      </c>
      <c r="Q410" s="7">
        <f>IF(P410="", 0, P410)</f>
        <v>0</v>
      </c>
      <c r="R410">
        <v>7093.84</v>
      </c>
      <c r="S410">
        <v>4587.49</v>
      </c>
      <c r="T410" s="7">
        <f>N410*O410*(1-Q410)</f>
        <v>7093.84</v>
      </c>
      <c r="U410" s="7">
        <f t="shared" si="36"/>
        <v>2506.3500000000004</v>
      </c>
      <c r="V410">
        <v>2506.35</v>
      </c>
      <c r="W410" s="12">
        <f t="shared" si="37"/>
        <v>0.35331357910525191</v>
      </c>
      <c r="X410" t="s">
        <v>155</v>
      </c>
      <c r="Y410" t="str">
        <f t="shared" si="38"/>
        <v>Failed</v>
      </c>
      <c r="Z410" t="s">
        <v>103</v>
      </c>
      <c r="AA410">
        <f>C410-B410</f>
        <v>243</v>
      </c>
      <c r="AB410" t="str">
        <f>IF(B410="","Missing Order Date",
IF(C410="","Missing Ship Date","OK"))</f>
        <v>OK</v>
      </c>
      <c r="AC410" s="7" t="str">
        <f>IF(C410&lt;B410, "Invalid", "Valid")</f>
        <v>Valid</v>
      </c>
      <c r="AD410" s="7" t="str">
        <f>IF(COUNTIF($A:$A, A410)&gt;1, "Duplicate", "Unique")</f>
        <v>Unique</v>
      </c>
      <c r="AE410" s="7" t="str">
        <f>IF(G410="","Unknown",G410)</f>
        <v>West</v>
      </c>
      <c r="AF410" s="7" t="str">
        <f>IF(M410="","Unknown",M410)</f>
        <v>First Class</v>
      </c>
      <c r="AG410" s="7" t="str">
        <f>IF(P410&lt;0,"Invalid",
IF(P410&gt;1,"Invalid","Valid"))</f>
        <v>Valid</v>
      </c>
      <c r="AH410" s="7" t="str">
        <f>TEXT(B410,"mmmm")</f>
        <v>January</v>
      </c>
      <c r="AI410" s="7">
        <f t="shared" si="39"/>
        <v>2025</v>
      </c>
      <c r="AJ410" s="7" t="str">
        <f>IF(OR(R410&lt;0,C410&lt;B410),"Invalid",
IF(OR(G410="Unknown",M410="Unknown"),"Warning","Clean"))</f>
        <v>Clean</v>
      </c>
      <c r="AK410" s="7" t="str">
        <f>IF(C410&lt;B410,"Ship Before Order","OK")</f>
        <v>OK</v>
      </c>
      <c r="AL410" s="7" t="str">
        <f>IF(ISNUMBER(B410),"Valid","Invalid")</f>
        <v>Valid</v>
      </c>
      <c r="AM410" s="7" t="str">
        <f t="shared" si="40"/>
        <v>Ok</v>
      </c>
      <c r="AN410" s="7" t="str">
        <f t="shared" si="41"/>
        <v>Ok</v>
      </c>
    </row>
    <row r="411" spans="1:40">
      <c r="A411" t="s">
        <v>1329</v>
      </c>
      <c r="B411" s="6">
        <v>45701</v>
      </c>
      <c r="C411" s="4">
        <v>45909</v>
      </c>
      <c r="D411" t="s">
        <v>1330</v>
      </c>
      <c r="E411" t="s">
        <v>23</v>
      </c>
      <c r="F411" t="s">
        <v>24</v>
      </c>
      <c r="G411" t="s">
        <v>38</v>
      </c>
      <c r="H411" t="s">
        <v>166</v>
      </c>
      <c r="I411" t="s">
        <v>167</v>
      </c>
      <c r="J411" t="s">
        <v>74</v>
      </c>
      <c r="K411" t="s">
        <v>75</v>
      </c>
      <c r="L411" t="s">
        <v>1331</v>
      </c>
      <c r="M411" t="s">
        <v>44</v>
      </c>
      <c r="N411">
        <v>1</v>
      </c>
      <c r="O411">
        <v>3025.46</v>
      </c>
      <c r="P411">
        <v>0.25</v>
      </c>
      <c r="Q411" s="7">
        <f>IF(P411="", 0, P411)</f>
        <v>0.25</v>
      </c>
      <c r="R411">
        <v>2269.1</v>
      </c>
      <c r="S411">
        <v>1593.59</v>
      </c>
      <c r="T411" s="7">
        <f>N411*O411*(1-Q411)</f>
        <v>2269.0950000000003</v>
      </c>
      <c r="U411" s="7">
        <f t="shared" si="36"/>
        <v>675.50500000000034</v>
      </c>
      <c r="V411">
        <v>675.51</v>
      </c>
      <c r="W411" s="12">
        <f t="shared" si="37"/>
        <v>0.29769798091309541</v>
      </c>
      <c r="X411" t="s">
        <v>102</v>
      </c>
      <c r="Y411" t="str">
        <f t="shared" si="38"/>
        <v>Refunded</v>
      </c>
      <c r="Z411" t="s">
        <v>103</v>
      </c>
      <c r="AA411">
        <f>C411-B411</f>
        <v>208</v>
      </c>
      <c r="AB411" t="str">
        <f>IF(B411="","Missing Order Date",
IF(C411="","Missing Ship Date","OK"))</f>
        <v>OK</v>
      </c>
      <c r="AC411" s="7" t="str">
        <f>IF(C411&lt;B411, "Invalid", "Valid")</f>
        <v>Valid</v>
      </c>
      <c r="AD411" s="7" t="str">
        <f>IF(COUNTIF($A:$A, A411)&gt;1, "Duplicate", "Unique")</f>
        <v>Unique</v>
      </c>
      <c r="AE411" s="7" t="str">
        <f>IF(G411="","Unknown",G411)</f>
        <v>East</v>
      </c>
      <c r="AF411" s="7" t="str">
        <f>IF(M411="","Unknown",M411)</f>
        <v>Same Day</v>
      </c>
      <c r="AG411" s="7" t="str">
        <f>IF(P411&lt;0,"Invalid",
IF(P411&gt;1,"Invalid","Valid"))</f>
        <v>Valid</v>
      </c>
      <c r="AH411" s="7" t="str">
        <f>TEXT(B411,"mmmm")</f>
        <v>February</v>
      </c>
      <c r="AI411" s="7">
        <f t="shared" si="39"/>
        <v>2025</v>
      </c>
      <c r="AJ411" s="7" t="str">
        <f>IF(OR(R411&lt;0,C411&lt;B411),"Invalid",
IF(OR(G411="Unknown",M411="Unknown"),"Warning","Clean"))</f>
        <v>Clean</v>
      </c>
      <c r="AK411" s="7" t="str">
        <f>IF(C411&lt;B411,"Ship Before Order","OK")</f>
        <v>OK</v>
      </c>
      <c r="AL411" s="7" t="str">
        <f>IF(ISNUMBER(B411),"Valid","Invalid")</f>
        <v>Valid</v>
      </c>
      <c r="AM411" s="7" t="str">
        <f t="shared" si="40"/>
        <v>Missmatched</v>
      </c>
      <c r="AN411" s="7" t="str">
        <f t="shared" si="41"/>
        <v>Missmatched</v>
      </c>
    </row>
    <row r="412" spans="1:40">
      <c r="A412" t="s">
        <v>1332</v>
      </c>
      <c r="B412" s="6">
        <v>45630</v>
      </c>
      <c r="C412" s="4">
        <v>45910</v>
      </c>
      <c r="D412" t="s">
        <v>1333</v>
      </c>
      <c r="E412" t="s">
        <v>162</v>
      </c>
      <c r="F412" t="s">
        <v>24</v>
      </c>
      <c r="G412" t="s">
        <v>63</v>
      </c>
      <c r="H412" t="s">
        <v>190</v>
      </c>
      <c r="I412" t="s">
        <v>191</v>
      </c>
      <c r="J412" t="s">
        <v>41</v>
      </c>
      <c r="K412" t="s">
        <v>42</v>
      </c>
      <c r="L412" t="s">
        <v>1334</v>
      </c>
      <c r="M412" t="s">
        <v>50</v>
      </c>
      <c r="N412">
        <v>9</v>
      </c>
      <c r="O412">
        <v>1302.6099999999999</v>
      </c>
      <c r="P412">
        <v>0.2</v>
      </c>
      <c r="Q412" s="7">
        <f>IF(P412="", 0, P412)</f>
        <v>0.2</v>
      </c>
      <c r="R412">
        <v>9378.7900000000009</v>
      </c>
      <c r="S412">
        <v>6774.48</v>
      </c>
      <c r="T412" s="7">
        <f>N412*O412*(1-Q412)</f>
        <v>9378.7919999999995</v>
      </c>
      <c r="U412" s="7">
        <f t="shared" si="36"/>
        <v>2604.3119999999999</v>
      </c>
      <c r="V412">
        <v>2604.31</v>
      </c>
      <c r="W412" s="12">
        <f t="shared" si="37"/>
        <v>0.27768096360384154</v>
      </c>
      <c r="X412" t="s">
        <v>32</v>
      </c>
      <c r="Y412" t="str">
        <f t="shared" si="38"/>
        <v>Paid</v>
      </c>
      <c r="Z412" t="s">
        <v>33</v>
      </c>
      <c r="AA412">
        <f>C412-B412</f>
        <v>280</v>
      </c>
      <c r="AB412" t="str">
        <f>IF(B412="","Missing Order Date",
IF(C412="","Missing Ship Date","OK"))</f>
        <v>OK</v>
      </c>
      <c r="AC412" s="7" t="str">
        <f>IF(C412&lt;B412, "Invalid", "Valid")</f>
        <v>Valid</v>
      </c>
      <c r="AD412" s="7" t="str">
        <f>IF(COUNTIF($A:$A, A412)&gt;1, "Duplicate", "Unique")</f>
        <v>Unique</v>
      </c>
      <c r="AE412" s="7" t="str">
        <f>IF(G412="","Unknown",G412)</f>
        <v>West</v>
      </c>
      <c r="AF412" s="7" t="str">
        <f>IF(M412="","Unknown",M412)</f>
        <v>First Class</v>
      </c>
      <c r="AG412" s="7" t="str">
        <f>IF(P412&lt;0,"Invalid",
IF(P412&gt;1,"Invalid","Valid"))</f>
        <v>Valid</v>
      </c>
      <c r="AH412" s="7" t="str">
        <f>TEXT(B412,"mmmm")</f>
        <v>December</v>
      </c>
      <c r="AI412" s="7">
        <f t="shared" si="39"/>
        <v>2024</v>
      </c>
      <c r="AJ412" s="7" t="str">
        <f>IF(OR(R412&lt;0,C412&lt;B412),"Invalid",
IF(OR(G412="Unknown",M412="Unknown"),"Warning","Clean"))</f>
        <v>Clean</v>
      </c>
      <c r="AK412" s="7" t="str">
        <f>IF(C412&lt;B412,"Ship Before Order","OK")</f>
        <v>OK</v>
      </c>
      <c r="AL412" s="7" t="str">
        <f>IF(ISNUMBER(B412),"Valid","Invalid")</f>
        <v>Valid</v>
      </c>
      <c r="AM412" s="7" t="str">
        <f t="shared" si="40"/>
        <v>Missmatched</v>
      </c>
      <c r="AN412" s="7" t="str">
        <f t="shared" si="41"/>
        <v>Missmatched</v>
      </c>
    </row>
    <row r="413" spans="1:40">
      <c r="A413" t="s">
        <v>1335</v>
      </c>
      <c r="B413" s="6">
        <v>45892</v>
      </c>
      <c r="C413" s="4">
        <v>45911</v>
      </c>
      <c r="D413" t="s">
        <v>1336</v>
      </c>
      <c r="E413" t="s">
        <v>53</v>
      </c>
      <c r="F413" t="s">
        <v>95</v>
      </c>
      <c r="G413" t="s">
        <v>63</v>
      </c>
      <c r="H413" t="s">
        <v>26</v>
      </c>
      <c r="I413" t="s">
        <v>109</v>
      </c>
      <c r="J413" t="s">
        <v>41</v>
      </c>
      <c r="K413" t="s">
        <v>42</v>
      </c>
      <c r="L413" t="s">
        <v>1337</v>
      </c>
      <c r="M413" t="s">
        <v>50</v>
      </c>
      <c r="N413">
        <v>1</v>
      </c>
      <c r="O413">
        <v>4167.8100000000004</v>
      </c>
      <c r="P413">
        <v>0.2</v>
      </c>
      <c r="Q413" s="7">
        <f>IF(P413="", 0, P413)</f>
        <v>0.2</v>
      </c>
      <c r="R413">
        <v>3334.25</v>
      </c>
      <c r="S413">
        <v>2768.77</v>
      </c>
      <c r="T413" s="7">
        <f>N413*O413*(1-Q413)</f>
        <v>3334.2480000000005</v>
      </c>
      <c r="U413" s="7">
        <f t="shared" si="36"/>
        <v>565.47800000000052</v>
      </c>
      <c r="V413">
        <v>565.48</v>
      </c>
      <c r="W413" s="12">
        <f t="shared" si="37"/>
        <v>0.16959686262089696</v>
      </c>
      <c r="X413" t="s">
        <v>155</v>
      </c>
      <c r="Y413" t="str">
        <f t="shared" si="38"/>
        <v>Failed</v>
      </c>
      <c r="Z413" t="s">
        <v>103</v>
      </c>
      <c r="AA413">
        <f>C413-B413</f>
        <v>19</v>
      </c>
      <c r="AB413" t="str">
        <f>IF(B413="","Missing Order Date",
IF(C413="","Missing Ship Date","OK"))</f>
        <v>OK</v>
      </c>
      <c r="AC413" s="7" t="str">
        <f>IF(C413&lt;B413, "Invalid", "Valid")</f>
        <v>Valid</v>
      </c>
      <c r="AD413" s="7" t="str">
        <f>IF(COUNTIF($A:$A, A413)&gt;1, "Duplicate", "Unique")</f>
        <v>Unique</v>
      </c>
      <c r="AE413" s="7" t="str">
        <f>IF(G413="","Unknown",G413)</f>
        <v>West</v>
      </c>
      <c r="AF413" s="7" t="str">
        <f>IF(M413="","Unknown",M413)</f>
        <v>First Class</v>
      </c>
      <c r="AG413" s="7" t="str">
        <f>IF(P413&lt;0,"Invalid",
IF(P413&gt;1,"Invalid","Valid"))</f>
        <v>Valid</v>
      </c>
      <c r="AH413" s="7" t="str">
        <f>TEXT(B413,"mmmm")</f>
        <v>August</v>
      </c>
      <c r="AI413" s="7">
        <f t="shared" si="39"/>
        <v>2025</v>
      </c>
      <c r="AJ413" s="7" t="str">
        <f>IF(OR(R413&lt;0,C413&lt;B413),"Invalid",
IF(OR(G413="Unknown",M413="Unknown"),"Warning","Clean"))</f>
        <v>Clean</v>
      </c>
      <c r="AK413" s="7" t="str">
        <f>IF(C413&lt;B413,"Ship Before Order","OK")</f>
        <v>OK</v>
      </c>
      <c r="AL413" s="7" t="str">
        <f>IF(ISNUMBER(B413),"Valid","Invalid")</f>
        <v>Valid</v>
      </c>
      <c r="AM413" s="7" t="str">
        <f t="shared" si="40"/>
        <v>Missmatched</v>
      </c>
      <c r="AN413" s="7" t="str">
        <f t="shared" si="41"/>
        <v>Missmatched</v>
      </c>
    </row>
    <row r="414" spans="1:40">
      <c r="A414" t="s">
        <v>1338</v>
      </c>
      <c r="B414" s="6">
        <v>45313</v>
      </c>
      <c r="C414" s="4">
        <v>45912</v>
      </c>
      <c r="D414" t="s">
        <v>1339</v>
      </c>
      <c r="E414" t="s">
        <v>47</v>
      </c>
      <c r="F414" t="s">
        <v>90</v>
      </c>
      <c r="G414" t="s">
        <v>54</v>
      </c>
      <c r="H414" t="s">
        <v>175</v>
      </c>
      <c r="I414" t="s">
        <v>176</v>
      </c>
      <c r="J414" t="s">
        <v>41</v>
      </c>
      <c r="K414" t="s">
        <v>66</v>
      </c>
      <c r="L414" t="s">
        <v>1340</v>
      </c>
      <c r="M414" t="s">
        <v>44</v>
      </c>
      <c r="N414">
        <v>1</v>
      </c>
      <c r="O414">
        <v>2111.39</v>
      </c>
      <c r="P414">
        <v>0.25</v>
      </c>
      <c r="Q414" s="7">
        <f>IF(P414="", 0, P414)</f>
        <v>0.25</v>
      </c>
      <c r="R414">
        <v>1583.54</v>
      </c>
      <c r="S414">
        <v>1014.19</v>
      </c>
      <c r="T414" s="7">
        <f>N414*O414*(1-Q414)</f>
        <v>1583.5425</v>
      </c>
      <c r="U414" s="7">
        <f t="shared" si="36"/>
        <v>569.35249999999996</v>
      </c>
      <c r="V414">
        <v>569.35</v>
      </c>
      <c r="W414" s="12">
        <f t="shared" si="37"/>
        <v>0.35954355503562424</v>
      </c>
      <c r="X414" t="s">
        <v>32</v>
      </c>
      <c r="Y414" t="str">
        <f t="shared" si="38"/>
        <v>Paid</v>
      </c>
      <c r="Z414" t="s">
        <v>33</v>
      </c>
      <c r="AA414">
        <f>C414-B414</f>
        <v>599</v>
      </c>
      <c r="AB414" t="str">
        <f>IF(B414="","Missing Order Date",
IF(C414="","Missing Ship Date","OK"))</f>
        <v>OK</v>
      </c>
      <c r="AC414" s="7" t="str">
        <f>IF(C414&lt;B414, "Invalid", "Valid")</f>
        <v>Valid</v>
      </c>
      <c r="AD414" s="7" t="str">
        <f>IF(COUNTIF($A:$A, A414)&gt;1, "Duplicate", "Unique")</f>
        <v>Unique</v>
      </c>
      <c r="AE414" s="7" t="str">
        <f>IF(G414="","Unknown",G414)</f>
        <v>South</v>
      </c>
      <c r="AF414" s="7" t="str">
        <f>IF(M414="","Unknown",M414)</f>
        <v>Same Day</v>
      </c>
      <c r="AG414" s="7" t="str">
        <f>IF(P414&lt;0,"Invalid",
IF(P414&gt;1,"Invalid","Valid"))</f>
        <v>Valid</v>
      </c>
      <c r="AH414" s="7" t="str">
        <f>TEXT(B414,"mmmm")</f>
        <v>January</v>
      </c>
      <c r="AI414" s="7">
        <f t="shared" si="39"/>
        <v>2024</v>
      </c>
      <c r="AJ414" s="7" t="str">
        <f>IF(OR(R414&lt;0,C414&lt;B414),"Invalid",
IF(OR(G414="Unknown",M414="Unknown"),"Warning","Clean"))</f>
        <v>Clean</v>
      </c>
      <c r="AK414" s="7" t="str">
        <f>IF(C414&lt;B414,"Ship Before Order","OK")</f>
        <v>OK</v>
      </c>
      <c r="AL414" s="7" t="str">
        <f>IF(ISNUMBER(B414),"Valid","Invalid")</f>
        <v>Valid</v>
      </c>
      <c r="AM414" s="7" t="str">
        <f t="shared" si="40"/>
        <v>Missmatched</v>
      </c>
      <c r="AN414" s="7" t="str">
        <f t="shared" si="41"/>
        <v>Missmatched</v>
      </c>
    </row>
    <row r="415" spans="1:40">
      <c r="A415" t="s">
        <v>1341</v>
      </c>
      <c r="B415" s="6">
        <v>45882</v>
      </c>
      <c r="C415" s="4">
        <v>45913</v>
      </c>
      <c r="D415" t="s">
        <v>1342</v>
      </c>
      <c r="E415" t="s">
        <v>79</v>
      </c>
      <c r="F415" t="s">
        <v>95</v>
      </c>
      <c r="G415" t="s">
        <v>63</v>
      </c>
      <c r="H415" t="s">
        <v>72</v>
      </c>
      <c r="I415" t="s">
        <v>73</v>
      </c>
      <c r="J415" t="s">
        <v>74</v>
      </c>
      <c r="K415" t="s">
        <v>75</v>
      </c>
      <c r="L415" t="s">
        <v>1343</v>
      </c>
      <c r="M415" t="s">
        <v>31</v>
      </c>
      <c r="N415">
        <v>8</v>
      </c>
      <c r="O415">
        <v>1918.23</v>
      </c>
      <c r="P415">
        <v>0</v>
      </c>
      <c r="Q415" s="7">
        <f>IF(P415="", 0, P415)</f>
        <v>0</v>
      </c>
      <c r="R415">
        <v>15345.84</v>
      </c>
      <c r="S415">
        <v>10735.33</v>
      </c>
      <c r="T415" s="7">
        <f>N415*O415*(1-Q415)</f>
        <v>15345.84</v>
      </c>
      <c r="U415" s="7">
        <f t="shared" si="36"/>
        <v>4610.51</v>
      </c>
      <c r="V415">
        <v>4610.51</v>
      </c>
      <c r="W415" s="12">
        <f t="shared" si="37"/>
        <v>0.30044037993358463</v>
      </c>
      <c r="X415" t="s">
        <v>111</v>
      </c>
      <c r="Y415" t="str">
        <f t="shared" si="38"/>
        <v>Pending</v>
      </c>
      <c r="Z415" t="s">
        <v>68</v>
      </c>
      <c r="AA415">
        <f>C415-B415</f>
        <v>31</v>
      </c>
      <c r="AB415" t="str">
        <f>IF(B415="","Missing Order Date",
IF(C415="","Missing Ship Date","OK"))</f>
        <v>OK</v>
      </c>
      <c r="AC415" s="7" t="str">
        <f>IF(C415&lt;B415, "Invalid", "Valid")</f>
        <v>Valid</v>
      </c>
      <c r="AD415" s="7" t="str">
        <f>IF(COUNTIF($A:$A, A415)&gt;1, "Duplicate", "Unique")</f>
        <v>Unique</v>
      </c>
      <c r="AE415" s="7" t="str">
        <f>IF(G415="","Unknown",G415)</f>
        <v>West</v>
      </c>
      <c r="AF415" s="7" t="str">
        <f>IF(M415="","Unknown",M415)</f>
        <v>Second Class</v>
      </c>
      <c r="AG415" s="7" t="str">
        <f>IF(P415&lt;0,"Invalid",
IF(P415&gt;1,"Invalid","Valid"))</f>
        <v>Valid</v>
      </c>
      <c r="AH415" s="7" t="str">
        <f>TEXT(B415,"mmmm")</f>
        <v>August</v>
      </c>
      <c r="AI415" s="7">
        <f t="shared" si="39"/>
        <v>2025</v>
      </c>
      <c r="AJ415" s="7" t="str">
        <f>IF(OR(R415&lt;0,C415&lt;B415),"Invalid",
IF(OR(G415="Unknown",M415="Unknown"),"Warning","Clean"))</f>
        <v>Clean</v>
      </c>
      <c r="AK415" s="7" t="str">
        <f>IF(C415&lt;B415,"Ship Before Order","OK")</f>
        <v>OK</v>
      </c>
      <c r="AL415" s="7" t="str">
        <f>IF(ISNUMBER(B415),"Valid","Invalid")</f>
        <v>Valid</v>
      </c>
      <c r="AM415" s="7" t="str">
        <f t="shared" si="40"/>
        <v>Ok</v>
      </c>
      <c r="AN415" s="7" t="str">
        <f t="shared" si="41"/>
        <v>Ok</v>
      </c>
    </row>
    <row r="416" spans="1:40">
      <c r="A416" t="s">
        <v>1344</v>
      </c>
      <c r="B416" s="6">
        <v>45533</v>
      </c>
      <c r="C416" s="4">
        <v>45914</v>
      </c>
      <c r="D416" t="s">
        <v>1345</v>
      </c>
      <c r="E416" t="s">
        <v>53</v>
      </c>
      <c r="F416" t="s">
        <v>95</v>
      </c>
      <c r="G416" t="s">
        <v>38</v>
      </c>
      <c r="H416" t="s">
        <v>166</v>
      </c>
      <c r="I416" t="s">
        <v>167</v>
      </c>
      <c r="J416" t="s">
        <v>28</v>
      </c>
      <c r="K416" t="s">
        <v>124</v>
      </c>
      <c r="L416" t="s">
        <v>1346</v>
      </c>
      <c r="M416" t="s">
        <v>50</v>
      </c>
      <c r="N416">
        <v>4</v>
      </c>
      <c r="O416">
        <v>2484.08</v>
      </c>
      <c r="P416">
        <v>0.05</v>
      </c>
      <c r="Q416" s="7">
        <f>IF(P416="", 0, P416)</f>
        <v>0.05</v>
      </c>
      <c r="R416">
        <v>9439.5</v>
      </c>
      <c r="S416">
        <v>5519.39</v>
      </c>
      <c r="T416" s="7">
        <f>N416*O416*(1-Q416)</f>
        <v>9439.503999999999</v>
      </c>
      <c r="U416" s="7">
        <f t="shared" si="36"/>
        <v>3920.1139999999987</v>
      </c>
      <c r="V416">
        <v>3920.11</v>
      </c>
      <c r="W416" s="12">
        <f t="shared" si="37"/>
        <v>0.41528813378330037</v>
      </c>
      <c r="X416" t="s">
        <v>32</v>
      </c>
      <c r="Y416" t="str">
        <f t="shared" si="38"/>
        <v>Paid</v>
      </c>
      <c r="Z416" t="s">
        <v>33</v>
      </c>
      <c r="AA416">
        <f>C416-B416</f>
        <v>381</v>
      </c>
      <c r="AB416" t="str">
        <f>IF(B416="","Missing Order Date",
IF(C416="","Missing Ship Date","OK"))</f>
        <v>OK</v>
      </c>
      <c r="AC416" s="7" t="str">
        <f>IF(C416&lt;B416, "Invalid", "Valid")</f>
        <v>Valid</v>
      </c>
      <c r="AD416" s="7" t="str">
        <f>IF(COUNTIF($A:$A, A416)&gt;1, "Duplicate", "Unique")</f>
        <v>Unique</v>
      </c>
      <c r="AE416" s="7" t="str">
        <f>IF(G416="","Unknown",G416)</f>
        <v>East</v>
      </c>
      <c r="AF416" s="7" t="str">
        <f>IF(M416="","Unknown",M416)</f>
        <v>First Class</v>
      </c>
      <c r="AG416" s="7" t="str">
        <f>IF(P416&lt;0,"Invalid",
IF(P416&gt;1,"Invalid","Valid"))</f>
        <v>Valid</v>
      </c>
      <c r="AH416" s="7" t="str">
        <f>TEXT(B416,"mmmm")</f>
        <v>August</v>
      </c>
      <c r="AI416" s="7">
        <f t="shared" si="39"/>
        <v>2024</v>
      </c>
      <c r="AJ416" s="7" t="str">
        <f>IF(OR(R416&lt;0,C416&lt;B416),"Invalid",
IF(OR(G416="Unknown",M416="Unknown"),"Warning","Clean"))</f>
        <v>Clean</v>
      </c>
      <c r="AK416" s="7" t="str">
        <f>IF(C416&lt;B416,"Ship Before Order","OK")</f>
        <v>OK</v>
      </c>
      <c r="AL416" s="7" t="str">
        <f>IF(ISNUMBER(B416),"Valid","Invalid")</f>
        <v>Valid</v>
      </c>
      <c r="AM416" s="7" t="str">
        <f t="shared" si="40"/>
        <v>Missmatched</v>
      </c>
      <c r="AN416" s="7" t="str">
        <f t="shared" si="41"/>
        <v>Missmatched</v>
      </c>
    </row>
    <row r="417" spans="1:40">
      <c r="A417" t="s">
        <v>1347</v>
      </c>
      <c r="B417" s="6">
        <v>45316</v>
      </c>
      <c r="C417" s="4">
        <v>45915</v>
      </c>
      <c r="D417" t="s">
        <v>1348</v>
      </c>
      <c r="E417" t="s">
        <v>128</v>
      </c>
      <c r="F417" t="s">
        <v>90</v>
      </c>
      <c r="G417" t="s">
        <v>54</v>
      </c>
      <c r="H417" t="s">
        <v>175</v>
      </c>
      <c r="I417" t="s">
        <v>176</v>
      </c>
      <c r="J417" t="s">
        <v>28</v>
      </c>
      <c r="K417" t="s">
        <v>124</v>
      </c>
      <c r="L417" t="s">
        <v>1349</v>
      </c>
      <c r="M417" t="s">
        <v>44</v>
      </c>
      <c r="N417">
        <v>7</v>
      </c>
      <c r="O417">
        <v>1727.26</v>
      </c>
      <c r="P417">
        <v>0.15</v>
      </c>
      <c r="Q417" s="7">
        <f>IF(P417="", 0, P417)</f>
        <v>0.15</v>
      </c>
      <c r="R417">
        <v>10277.200000000001</v>
      </c>
      <c r="S417">
        <v>7906.5</v>
      </c>
      <c r="T417" s="7">
        <f>N417*O417*(1-Q417)</f>
        <v>10277.197</v>
      </c>
      <c r="U417" s="7">
        <f t="shared" si="36"/>
        <v>2370.6970000000001</v>
      </c>
      <c r="V417">
        <v>2370.6999999999998</v>
      </c>
      <c r="W417" s="12">
        <f t="shared" si="37"/>
        <v>0.23067544584384245</v>
      </c>
      <c r="X417" t="s">
        <v>32</v>
      </c>
      <c r="Y417" t="str">
        <f t="shared" si="38"/>
        <v>Paid</v>
      </c>
      <c r="Z417" t="s">
        <v>103</v>
      </c>
      <c r="AA417">
        <f>C417-B417</f>
        <v>599</v>
      </c>
      <c r="AB417" t="str">
        <f>IF(B417="","Missing Order Date",
IF(C417="","Missing Ship Date","OK"))</f>
        <v>OK</v>
      </c>
      <c r="AC417" s="7" t="str">
        <f>IF(C417&lt;B417, "Invalid", "Valid")</f>
        <v>Valid</v>
      </c>
      <c r="AD417" s="7" t="str">
        <f>IF(COUNTIF($A:$A, A417)&gt;1, "Duplicate", "Unique")</f>
        <v>Unique</v>
      </c>
      <c r="AE417" s="7" t="str">
        <f>IF(G417="","Unknown",G417)</f>
        <v>South</v>
      </c>
      <c r="AF417" s="7" t="str">
        <f>IF(M417="","Unknown",M417)</f>
        <v>Same Day</v>
      </c>
      <c r="AG417" s="7" t="str">
        <f>IF(P417&lt;0,"Invalid",
IF(P417&gt;1,"Invalid","Valid"))</f>
        <v>Valid</v>
      </c>
      <c r="AH417" s="7" t="str">
        <f>TEXT(B417,"mmmm")</f>
        <v>January</v>
      </c>
      <c r="AI417" s="7">
        <f t="shared" si="39"/>
        <v>2024</v>
      </c>
      <c r="AJ417" s="7" t="str">
        <f>IF(OR(R417&lt;0,C417&lt;B417),"Invalid",
IF(OR(G417="Unknown",M417="Unknown"),"Warning","Clean"))</f>
        <v>Clean</v>
      </c>
      <c r="AK417" s="7" t="str">
        <f>IF(C417&lt;B417,"Ship Before Order","OK")</f>
        <v>OK</v>
      </c>
      <c r="AL417" s="7" t="str">
        <f>IF(ISNUMBER(B417),"Valid","Invalid")</f>
        <v>Valid</v>
      </c>
      <c r="AM417" s="7" t="str">
        <f t="shared" si="40"/>
        <v>Missmatched</v>
      </c>
      <c r="AN417" s="7" t="str">
        <f t="shared" si="41"/>
        <v>Missmatched</v>
      </c>
    </row>
    <row r="418" spans="1:40">
      <c r="A418" t="s">
        <v>1350</v>
      </c>
      <c r="B418" s="6">
        <v>45870</v>
      </c>
      <c r="C418" s="4">
        <v>45916</v>
      </c>
      <c r="D418" t="s">
        <v>1351</v>
      </c>
      <c r="E418" t="s">
        <v>79</v>
      </c>
      <c r="F418" t="s">
        <v>24</v>
      </c>
      <c r="G418" t="s">
        <v>54</v>
      </c>
      <c r="H418" t="s">
        <v>55</v>
      </c>
      <c r="I418" t="s">
        <v>56</v>
      </c>
      <c r="J418" t="s">
        <v>41</v>
      </c>
      <c r="K418" t="s">
        <v>57</v>
      </c>
      <c r="L418" t="s">
        <v>1352</v>
      </c>
      <c r="M418" t="s">
        <v>50</v>
      </c>
      <c r="N418">
        <v>8</v>
      </c>
      <c r="O418">
        <v>638.95000000000005</v>
      </c>
      <c r="P418">
        <v>0.25</v>
      </c>
      <c r="Q418" s="7">
        <f>IF(P418="", 0, P418)</f>
        <v>0.25</v>
      </c>
      <c r="R418">
        <v>3833.7</v>
      </c>
      <c r="S418">
        <v>2886.35</v>
      </c>
      <c r="T418" s="7">
        <f>N418*O418*(1-Q418)</f>
        <v>3833.7000000000003</v>
      </c>
      <c r="U418" s="7">
        <f t="shared" si="36"/>
        <v>947.35000000000036</v>
      </c>
      <c r="V418">
        <v>947.35</v>
      </c>
      <c r="W418" s="12">
        <f t="shared" si="37"/>
        <v>0.24711114589039318</v>
      </c>
      <c r="X418" t="s">
        <v>32</v>
      </c>
      <c r="Y418" t="str">
        <f t="shared" si="38"/>
        <v>Paid</v>
      </c>
      <c r="Z418" t="s">
        <v>33</v>
      </c>
      <c r="AA418">
        <f>C418-B418</f>
        <v>46</v>
      </c>
      <c r="AB418" t="str">
        <f>IF(B418="","Missing Order Date",
IF(C418="","Missing Ship Date","OK"))</f>
        <v>OK</v>
      </c>
      <c r="AC418" s="7" t="str">
        <f>IF(C418&lt;B418, "Invalid", "Valid")</f>
        <v>Valid</v>
      </c>
      <c r="AD418" s="7" t="str">
        <f>IF(COUNTIF($A:$A, A418)&gt;1, "Duplicate", "Unique")</f>
        <v>Unique</v>
      </c>
      <c r="AE418" s="7" t="str">
        <f>IF(G418="","Unknown",G418)</f>
        <v>South</v>
      </c>
      <c r="AF418" s="7" t="str">
        <f>IF(M418="","Unknown",M418)</f>
        <v>First Class</v>
      </c>
      <c r="AG418" s="7" t="str">
        <f>IF(P418&lt;0,"Invalid",
IF(P418&gt;1,"Invalid","Valid"))</f>
        <v>Valid</v>
      </c>
      <c r="AH418" s="7" t="str">
        <f>TEXT(B418,"mmmm")</f>
        <v>August</v>
      </c>
      <c r="AI418" s="7">
        <f t="shared" si="39"/>
        <v>2025</v>
      </c>
      <c r="AJ418" s="7" t="str">
        <f>IF(OR(R418&lt;0,C418&lt;B418),"Invalid",
IF(OR(G418="Unknown",M418="Unknown"),"Warning","Clean"))</f>
        <v>Clean</v>
      </c>
      <c r="AK418" s="7" t="str">
        <f>IF(C418&lt;B418,"Ship Before Order","OK")</f>
        <v>OK</v>
      </c>
      <c r="AL418" s="7" t="str">
        <f>IF(ISNUMBER(B418),"Valid","Invalid")</f>
        <v>Valid</v>
      </c>
      <c r="AM418" s="7" t="str">
        <f t="shared" si="40"/>
        <v>Ok</v>
      </c>
      <c r="AN418" s="7" t="str">
        <f t="shared" si="41"/>
        <v>Ok</v>
      </c>
    </row>
    <row r="419" spans="1:40">
      <c r="A419" t="s">
        <v>1353</v>
      </c>
      <c r="B419" s="6">
        <v>45686</v>
      </c>
      <c r="C419" s="4">
        <v>45917</v>
      </c>
      <c r="D419" t="s">
        <v>1354</v>
      </c>
      <c r="E419" t="s">
        <v>36</v>
      </c>
      <c r="F419" t="s">
        <v>24</v>
      </c>
      <c r="G419" t="s">
        <v>63</v>
      </c>
      <c r="H419" t="s">
        <v>180</v>
      </c>
      <c r="I419" t="s">
        <v>181</v>
      </c>
      <c r="J419" t="s">
        <v>28</v>
      </c>
      <c r="K419" t="s">
        <v>48</v>
      </c>
      <c r="L419" t="s">
        <v>1355</v>
      </c>
      <c r="M419" t="s">
        <v>50</v>
      </c>
      <c r="N419">
        <v>6</v>
      </c>
      <c r="O419">
        <v>3863</v>
      </c>
      <c r="P419">
        <v>0.2</v>
      </c>
      <c r="Q419" s="7">
        <f>IF(P419="", 0, P419)</f>
        <v>0.2</v>
      </c>
      <c r="R419">
        <v>18542.400000000001</v>
      </c>
      <c r="S419">
        <v>11193.75</v>
      </c>
      <c r="T419" s="7">
        <f>N419*O419*(1-Q419)</f>
        <v>18542.400000000001</v>
      </c>
      <c r="U419" s="7">
        <f t="shared" si="36"/>
        <v>7348.6500000000015</v>
      </c>
      <c r="V419">
        <v>7348.65</v>
      </c>
      <c r="W419" s="12">
        <f t="shared" si="37"/>
        <v>0.39631601087237905</v>
      </c>
      <c r="X419" t="s">
        <v>32</v>
      </c>
      <c r="Y419" t="str">
        <f t="shared" si="38"/>
        <v>Paid</v>
      </c>
      <c r="Z419" t="s">
        <v>33</v>
      </c>
      <c r="AA419">
        <f>C419-B419</f>
        <v>231</v>
      </c>
      <c r="AB419" t="str">
        <f>IF(B419="","Missing Order Date",
IF(C419="","Missing Ship Date","OK"))</f>
        <v>OK</v>
      </c>
      <c r="AC419" s="7" t="str">
        <f>IF(C419&lt;B419, "Invalid", "Valid")</f>
        <v>Valid</v>
      </c>
      <c r="AD419" s="7" t="str">
        <f>IF(COUNTIF($A:$A, A419)&gt;1, "Duplicate", "Unique")</f>
        <v>Unique</v>
      </c>
      <c r="AE419" s="7" t="str">
        <f>IF(G419="","Unknown",G419)</f>
        <v>West</v>
      </c>
      <c r="AF419" s="7" t="str">
        <f>IF(M419="","Unknown",M419)</f>
        <v>First Class</v>
      </c>
      <c r="AG419" s="7" t="str">
        <f>IF(P419&lt;0,"Invalid",
IF(P419&gt;1,"Invalid","Valid"))</f>
        <v>Valid</v>
      </c>
      <c r="AH419" s="7" t="str">
        <f>TEXT(B419,"mmmm")</f>
        <v>January</v>
      </c>
      <c r="AI419" s="7">
        <f t="shared" si="39"/>
        <v>2025</v>
      </c>
      <c r="AJ419" s="7" t="str">
        <f>IF(OR(R419&lt;0,C419&lt;B419),"Invalid",
IF(OR(G419="Unknown",M419="Unknown"),"Warning","Clean"))</f>
        <v>Clean</v>
      </c>
      <c r="AK419" s="7" t="str">
        <f>IF(C419&lt;B419,"Ship Before Order","OK")</f>
        <v>OK</v>
      </c>
      <c r="AL419" s="7" t="str">
        <f>IF(ISNUMBER(B419),"Valid","Invalid")</f>
        <v>Valid</v>
      </c>
      <c r="AM419" s="7" t="str">
        <f t="shared" si="40"/>
        <v>Ok</v>
      </c>
      <c r="AN419" s="7" t="str">
        <f t="shared" si="41"/>
        <v>Ok</v>
      </c>
    </row>
    <row r="420" spans="1:40">
      <c r="A420" t="s">
        <v>1356</v>
      </c>
      <c r="B420" s="6">
        <v>45546</v>
      </c>
      <c r="C420" s="4">
        <v>45918</v>
      </c>
      <c r="D420" t="s">
        <v>1357</v>
      </c>
      <c r="E420" t="s">
        <v>132</v>
      </c>
      <c r="F420" t="s">
        <v>90</v>
      </c>
      <c r="G420" t="s">
        <v>38</v>
      </c>
      <c r="H420" t="s">
        <v>39</v>
      </c>
      <c r="I420" t="s">
        <v>40</v>
      </c>
      <c r="J420" t="s">
        <v>74</v>
      </c>
      <c r="K420" t="s">
        <v>80</v>
      </c>
      <c r="L420" t="s">
        <v>1358</v>
      </c>
      <c r="M420" t="s">
        <v>59</v>
      </c>
      <c r="N420">
        <v>6</v>
      </c>
      <c r="O420">
        <v>3660.4</v>
      </c>
      <c r="P420">
        <v>0</v>
      </c>
      <c r="Q420" s="7">
        <f>IF(P420="", 0, P420)</f>
        <v>0</v>
      </c>
      <c r="R420">
        <v>21962.400000000001</v>
      </c>
      <c r="S420">
        <v>15331.99</v>
      </c>
      <c r="T420" s="7">
        <f>N420*O420*(1-Q420)</f>
        <v>21962.400000000001</v>
      </c>
      <c r="U420" s="7">
        <f t="shared" si="36"/>
        <v>6630.4100000000017</v>
      </c>
      <c r="V420">
        <v>6630.41</v>
      </c>
      <c r="W420" s="12">
        <f t="shared" si="37"/>
        <v>0.3018982442720286</v>
      </c>
      <c r="X420" t="s">
        <v>155</v>
      </c>
      <c r="Y420" t="str">
        <f t="shared" si="38"/>
        <v>Failed</v>
      </c>
      <c r="Z420" t="s">
        <v>68</v>
      </c>
      <c r="AA420">
        <f>C420-B420</f>
        <v>372</v>
      </c>
      <c r="AB420" t="str">
        <f>IF(B420="","Missing Order Date",
IF(C420="","Missing Ship Date","OK"))</f>
        <v>OK</v>
      </c>
      <c r="AC420" s="7" t="str">
        <f>IF(C420&lt;B420, "Invalid", "Valid")</f>
        <v>Valid</v>
      </c>
      <c r="AD420" s="7" t="str">
        <f>IF(COUNTIF($A:$A, A420)&gt;1, "Duplicate", "Unique")</f>
        <v>Unique</v>
      </c>
      <c r="AE420" s="7" t="str">
        <f>IF(G420="","Unknown",G420)</f>
        <v>East</v>
      </c>
      <c r="AF420" s="7" t="str">
        <f>IF(M420="","Unknown",M420)</f>
        <v>Standard Class</v>
      </c>
      <c r="AG420" s="7" t="str">
        <f>IF(P420&lt;0,"Invalid",
IF(P420&gt;1,"Invalid","Valid"))</f>
        <v>Valid</v>
      </c>
      <c r="AH420" s="7" t="str">
        <f>TEXT(B420,"mmmm")</f>
        <v>September</v>
      </c>
      <c r="AI420" s="7">
        <f t="shared" si="39"/>
        <v>2024</v>
      </c>
      <c r="AJ420" s="7" t="str">
        <f>IF(OR(R420&lt;0,C420&lt;B420),"Invalid",
IF(OR(G420="Unknown",M420="Unknown"),"Warning","Clean"))</f>
        <v>Clean</v>
      </c>
      <c r="AK420" s="7" t="str">
        <f>IF(C420&lt;B420,"Ship Before Order","OK")</f>
        <v>OK</v>
      </c>
      <c r="AL420" s="7" t="str">
        <f>IF(ISNUMBER(B420),"Valid","Invalid")</f>
        <v>Valid</v>
      </c>
      <c r="AM420" s="7" t="str">
        <f t="shared" si="40"/>
        <v>Ok</v>
      </c>
      <c r="AN420" s="7" t="str">
        <f t="shared" si="41"/>
        <v>Ok</v>
      </c>
    </row>
    <row r="421" spans="1:40">
      <c r="A421" t="s">
        <v>1359</v>
      </c>
      <c r="B421" s="6">
        <v>45926</v>
      </c>
      <c r="C421" s="4">
        <v>45919</v>
      </c>
      <c r="D421" t="s">
        <v>1360</v>
      </c>
      <c r="E421" t="s">
        <v>132</v>
      </c>
      <c r="F421" t="s">
        <v>95</v>
      </c>
      <c r="G421" t="s">
        <v>25</v>
      </c>
      <c r="H421" t="s">
        <v>236</v>
      </c>
      <c r="I421" t="s">
        <v>237</v>
      </c>
      <c r="J421" t="s">
        <v>74</v>
      </c>
      <c r="K421" t="s">
        <v>171</v>
      </c>
      <c r="L421" t="s">
        <v>1361</v>
      </c>
      <c r="M421" t="s">
        <v>44</v>
      </c>
      <c r="N421">
        <v>2</v>
      </c>
      <c r="O421">
        <v>688.83</v>
      </c>
      <c r="P421">
        <v>0.05</v>
      </c>
      <c r="Q421" s="7">
        <f>IF(P421="", 0, P421)</f>
        <v>0.05</v>
      </c>
      <c r="R421">
        <v>1308.78</v>
      </c>
      <c r="S421">
        <v>843</v>
      </c>
      <c r="T421" s="7">
        <f>N421*O421*(1-Q421)</f>
        <v>1308.777</v>
      </c>
      <c r="U421" s="7">
        <f t="shared" si="36"/>
        <v>465.77700000000004</v>
      </c>
      <c r="V421">
        <v>465.78</v>
      </c>
      <c r="W421" s="12">
        <f t="shared" si="37"/>
        <v>0.35588721378813964</v>
      </c>
      <c r="X421" t="s">
        <v>32</v>
      </c>
      <c r="Y421" t="str">
        <f t="shared" si="38"/>
        <v>Paid</v>
      </c>
      <c r="Z421" t="s">
        <v>33</v>
      </c>
      <c r="AA421">
        <f>C421-B421</f>
        <v>-7</v>
      </c>
      <c r="AB421" t="str">
        <f>IF(B421="","Missing Order Date",
IF(C421="","Missing Ship Date","OK"))</f>
        <v>OK</v>
      </c>
      <c r="AC421" s="7" t="str">
        <f>IF(C421&lt;B421, "Invalid", "Valid")</f>
        <v>Invalid</v>
      </c>
      <c r="AD421" s="7" t="str">
        <f>IF(COUNTIF($A:$A, A421)&gt;1, "Duplicate", "Unique")</f>
        <v>Unique</v>
      </c>
      <c r="AE421" s="7" t="str">
        <f>IF(G421="","Unknown",G421)</f>
        <v>North</v>
      </c>
      <c r="AF421" s="7" t="str">
        <f>IF(M421="","Unknown",M421)</f>
        <v>Same Day</v>
      </c>
      <c r="AG421" s="7" t="str">
        <f>IF(P421&lt;0,"Invalid",
IF(P421&gt;1,"Invalid","Valid"))</f>
        <v>Valid</v>
      </c>
      <c r="AH421" s="7" t="str">
        <f>TEXT(B421,"mmmm")</f>
        <v>September</v>
      </c>
      <c r="AI421" s="7">
        <f t="shared" si="39"/>
        <v>2025</v>
      </c>
      <c r="AJ421" s="7" t="str">
        <f>IF(OR(R421&lt;0,C421&lt;B421),"Invalid",
IF(OR(G421="Unknown",M421="Unknown"),"Warning","Clean"))</f>
        <v>Invalid</v>
      </c>
      <c r="AK421" s="7" t="str">
        <f>IF(C421&lt;B421,"Ship Before Order","OK")</f>
        <v>Ship Before Order</v>
      </c>
      <c r="AL421" s="7" t="str">
        <f>IF(ISNUMBER(B421),"Valid","Invalid")</f>
        <v>Valid</v>
      </c>
      <c r="AM421" s="7" t="str">
        <f t="shared" si="40"/>
        <v>Missmatched</v>
      </c>
      <c r="AN421" s="7" t="str">
        <f t="shared" si="41"/>
        <v>Missmatched</v>
      </c>
    </row>
    <row r="422" spans="1:40">
      <c r="A422" t="s">
        <v>1362</v>
      </c>
      <c r="B422" s="6">
        <v>45734</v>
      </c>
      <c r="C422" s="4">
        <v>45920</v>
      </c>
      <c r="D422" t="s">
        <v>1363</v>
      </c>
      <c r="E422" t="s">
        <v>47</v>
      </c>
      <c r="F422" t="s">
        <v>90</v>
      </c>
      <c r="G422" t="s">
        <v>54</v>
      </c>
      <c r="H422" t="s">
        <v>247</v>
      </c>
      <c r="I422" t="s">
        <v>248</v>
      </c>
      <c r="J422" t="s">
        <v>74</v>
      </c>
      <c r="K422" t="s">
        <v>274</v>
      </c>
      <c r="L422" t="s">
        <v>1364</v>
      </c>
      <c r="M422" t="s">
        <v>59</v>
      </c>
      <c r="N422">
        <v>2</v>
      </c>
      <c r="O422">
        <v>1209.99</v>
      </c>
      <c r="P422">
        <v>0.25</v>
      </c>
      <c r="Q422" s="7">
        <f>IF(P422="", 0, P422)</f>
        <v>0.25</v>
      </c>
      <c r="R422">
        <v>1814.99</v>
      </c>
      <c r="S422">
        <v>1120.06</v>
      </c>
      <c r="T422" s="7">
        <f>N422*O422*(1-Q422)</f>
        <v>1814.9850000000001</v>
      </c>
      <c r="U422" s="7">
        <f t="shared" si="36"/>
        <v>694.92500000000018</v>
      </c>
      <c r="V422">
        <v>694.93</v>
      </c>
      <c r="W422" s="12">
        <f t="shared" si="37"/>
        <v>0.38288195219244242</v>
      </c>
      <c r="X422" t="s">
        <v>111</v>
      </c>
      <c r="Y422" t="str">
        <f t="shared" si="38"/>
        <v>Pending</v>
      </c>
      <c r="Z422" t="s">
        <v>68</v>
      </c>
      <c r="AA422">
        <f>C422-B422</f>
        <v>186</v>
      </c>
      <c r="AB422" t="str">
        <f>IF(B422="","Missing Order Date",
IF(C422="","Missing Ship Date","OK"))</f>
        <v>OK</v>
      </c>
      <c r="AC422" s="7" t="str">
        <f>IF(C422&lt;B422, "Invalid", "Valid")</f>
        <v>Valid</v>
      </c>
      <c r="AD422" s="7" t="str">
        <f>IF(COUNTIF($A:$A, A422)&gt;1, "Duplicate", "Unique")</f>
        <v>Unique</v>
      </c>
      <c r="AE422" s="7" t="str">
        <f>IF(G422="","Unknown",G422)</f>
        <v>South</v>
      </c>
      <c r="AF422" s="7" t="str">
        <f>IF(M422="","Unknown",M422)</f>
        <v>Standard Class</v>
      </c>
      <c r="AG422" s="7" t="str">
        <f>IF(P422&lt;0,"Invalid",
IF(P422&gt;1,"Invalid","Valid"))</f>
        <v>Valid</v>
      </c>
      <c r="AH422" s="7" t="str">
        <f>TEXT(B422,"mmmm")</f>
        <v>March</v>
      </c>
      <c r="AI422" s="7">
        <f t="shared" si="39"/>
        <v>2025</v>
      </c>
      <c r="AJ422" s="7" t="str">
        <f>IF(OR(R422&lt;0,C422&lt;B422),"Invalid",
IF(OR(G422="Unknown",M422="Unknown"),"Warning","Clean"))</f>
        <v>Clean</v>
      </c>
      <c r="AK422" s="7" t="str">
        <f>IF(C422&lt;B422,"Ship Before Order","OK")</f>
        <v>OK</v>
      </c>
      <c r="AL422" s="7" t="str">
        <f>IF(ISNUMBER(B422),"Valid","Invalid")</f>
        <v>Valid</v>
      </c>
      <c r="AM422" s="7" t="str">
        <f t="shared" si="40"/>
        <v>Missmatched</v>
      </c>
      <c r="AN422" s="7" t="str">
        <f t="shared" si="41"/>
        <v>Missmatched</v>
      </c>
    </row>
    <row r="423" spans="1:40">
      <c r="A423" t="s">
        <v>1365</v>
      </c>
      <c r="B423" s="6">
        <v>45822</v>
      </c>
      <c r="C423" s="4">
        <v>45921</v>
      </c>
      <c r="D423" t="s">
        <v>1366</v>
      </c>
      <c r="E423" t="s">
        <v>141</v>
      </c>
      <c r="F423" t="s">
        <v>37</v>
      </c>
      <c r="G423" t="s">
        <v>25</v>
      </c>
      <c r="H423" t="s">
        <v>350</v>
      </c>
      <c r="I423" t="s">
        <v>351</v>
      </c>
      <c r="J423" t="s">
        <v>28</v>
      </c>
      <c r="K423" t="s">
        <v>153</v>
      </c>
      <c r="L423" t="s">
        <v>1367</v>
      </c>
      <c r="M423" t="s">
        <v>44</v>
      </c>
      <c r="N423">
        <v>3</v>
      </c>
      <c r="O423">
        <v>1037.45</v>
      </c>
      <c r="P423">
        <v>0.2</v>
      </c>
      <c r="Q423" s="7">
        <f>IF(P423="", 0, P423)</f>
        <v>0.2</v>
      </c>
      <c r="R423">
        <v>2489.88</v>
      </c>
      <c r="S423">
        <v>1707.52</v>
      </c>
      <c r="T423" s="7">
        <f>N423*O423*(1-Q423)</f>
        <v>2489.8800000000006</v>
      </c>
      <c r="U423" s="7">
        <f t="shared" si="36"/>
        <v>782.36000000000058</v>
      </c>
      <c r="V423">
        <v>782.36</v>
      </c>
      <c r="W423" s="12">
        <f t="shared" si="37"/>
        <v>0.31421594615001541</v>
      </c>
      <c r="X423" t="s">
        <v>111</v>
      </c>
      <c r="Y423" t="str">
        <f t="shared" si="38"/>
        <v>Pending</v>
      </c>
      <c r="Z423" t="s">
        <v>103</v>
      </c>
      <c r="AA423">
        <f>C423-B423</f>
        <v>99</v>
      </c>
      <c r="AB423" t="str">
        <f>IF(B423="","Missing Order Date",
IF(C423="","Missing Ship Date","OK"))</f>
        <v>OK</v>
      </c>
      <c r="AC423" s="7" t="str">
        <f>IF(C423&lt;B423, "Invalid", "Valid")</f>
        <v>Valid</v>
      </c>
      <c r="AD423" s="7" t="str">
        <f>IF(COUNTIF($A:$A, A423)&gt;1, "Duplicate", "Unique")</f>
        <v>Unique</v>
      </c>
      <c r="AE423" s="7" t="str">
        <f>IF(G423="","Unknown",G423)</f>
        <v>North</v>
      </c>
      <c r="AF423" s="7" t="str">
        <f>IF(M423="","Unknown",M423)</f>
        <v>Same Day</v>
      </c>
      <c r="AG423" s="7" t="str">
        <f>IF(P423&lt;0,"Invalid",
IF(P423&gt;1,"Invalid","Valid"))</f>
        <v>Valid</v>
      </c>
      <c r="AH423" s="7" t="str">
        <f>TEXT(B423,"mmmm")</f>
        <v>June</v>
      </c>
      <c r="AI423" s="7">
        <f t="shared" si="39"/>
        <v>2025</v>
      </c>
      <c r="AJ423" s="7" t="str">
        <f>IF(OR(R423&lt;0,C423&lt;B423),"Invalid",
IF(OR(G423="Unknown",M423="Unknown"),"Warning","Clean"))</f>
        <v>Clean</v>
      </c>
      <c r="AK423" s="7" t="str">
        <f>IF(C423&lt;B423,"Ship Before Order","OK")</f>
        <v>OK</v>
      </c>
      <c r="AL423" s="7" t="str">
        <f>IF(ISNUMBER(B423),"Valid","Invalid")</f>
        <v>Valid</v>
      </c>
      <c r="AM423" s="7" t="str">
        <f t="shared" si="40"/>
        <v>Ok</v>
      </c>
      <c r="AN423" s="7" t="str">
        <f t="shared" si="41"/>
        <v>Missmatched</v>
      </c>
    </row>
    <row r="424" spans="1:40">
      <c r="A424" t="s">
        <v>1368</v>
      </c>
      <c r="B424" s="6">
        <v>45725</v>
      </c>
      <c r="C424" s="4">
        <v>45922</v>
      </c>
      <c r="D424" t="s">
        <v>1369</v>
      </c>
      <c r="E424" t="s">
        <v>264</v>
      </c>
      <c r="F424" t="s">
        <v>24</v>
      </c>
      <c r="G424" t="s">
        <v>63</v>
      </c>
      <c r="H424" t="s">
        <v>72</v>
      </c>
      <c r="I424" t="s">
        <v>73</v>
      </c>
      <c r="J424" t="s">
        <v>74</v>
      </c>
      <c r="K424" t="s">
        <v>80</v>
      </c>
      <c r="L424" t="s">
        <v>1370</v>
      </c>
      <c r="M424" t="s">
        <v>44</v>
      </c>
      <c r="N424">
        <v>7</v>
      </c>
      <c r="O424">
        <v>688.85</v>
      </c>
      <c r="P424">
        <v>0.15</v>
      </c>
      <c r="Q424" s="7">
        <f>IF(P424="", 0, P424)</f>
        <v>0.15</v>
      </c>
      <c r="R424">
        <v>4098.66</v>
      </c>
      <c r="S424">
        <v>2678.06</v>
      </c>
      <c r="T424" s="7">
        <f>N424*O424*(1-Q424)</f>
        <v>4098.6574999999993</v>
      </c>
      <c r="U424" s="7">
        <f t="shared" si="36"/>
        <v>1420.5974999999994</v>
      </c>
      <c r="V424">
        <v>1420.6</v>
      </c>
      <c r="W424" s="12">
        <f t="shared" si="37"/>
        <v>0.34660068571233377</v>
      </c>
      <c r="X424" t="s">
        <v>32</v>
      </c>
      <c r="Y424" t="str">
        <f t="shared" si="38"/>
        <v>Paid</v>
      </c>
      <c r="Z424" t="s">
        <v>33</v>
      </c>
      <c r="AA424">
        <f>C424-B424</f>
        <v>197</v>
      </c>
      <c r="AB424" t="str">
        <f>IF(B424="","Missing Order Date",
IF(C424="","Missing Ship Date","OK"))</f>
        <v>OK</v>
      </c>
      <c r="AC424" s="7" t="str">
        <f>IF(C424&lt;B424, "Invalid", "Valid")</f>
        <v>Valid</v>
      </c>
      <c r="AD424" s="7" t="str">
        <f>IF(COUNTIF($A:$A, A424)&gt;1, "Duplicate", "Unique")</f>
        <v>Unique</v>
      </c>
      <c r="AE424" s="7" t="str">
        <f>IF(G424="","Unknown",G424)</f>
        <v>West</v>
      </c>
      <c r="AF424" s="7" t="str">
        <f>IF(M424="","Unknown",M424)</f>
        <v>Same Day</v>
      </c>
      <c r="AG424" s="7" t="str">
        <f>IF(P424&lt;0,"Invalid",
IF(P424&gt;1,"Invalid","Valid"))</f>
        <v>Valid</v>
      </c>
      <c r="AH424" s="7" t="str">
        <f>TEXT(B424,"mmmm")</f>
        <v>March</v>
      </c>
      <c r="AI424" s="7">
        <f t="shared" si="39"/>
        <v>2025</v>
      </c>
      <c r="AJ424" s="7" t="str">
        <f>IF(OR(R424&lt;0,C424&lt;B424),"Invalid",
IF(OR(G424="Unknown",M424="Unknown"),"Warning","Clean"))</f>
        <v>Clean</v>
      </c>
      <c r="AK424" s="7" t="str">
        <f>IF(C424&lt;B424,"Ship Before Order","OK")</f>
        <v>OK</v>
      </c>
      <c r="AL424" s="7" t="str">
        <f>IF(ISNUMBER(B424),"Valid","Invalid")</f>
        <v>Valid</v>
      </c>
      <c r="AM424" s="7" t="str">
        <f t="shared" si="40"/>
        <v>Missmatched</v>
      </c>
      <c r="AN424" s="7" t="str">
        <f t="shared" si="41"/>
        <v>Missmatched</v>
      </c>
    </row>
    <row r="425" spans="1:40">
      <c r="A425" t="s">
        <v>1371</v>
      </c>
      <c r="B425" s="6">
        <v>45342</v>
      </c>
      <c r="C425" s="4">
        <v>45923</v>
      </c>
      <c r="D425" t="s">
        <v>1372</v>
      </c>
      <c r="E425" t="s">
        <v>162</v>
      </c>
      <c r="F425" t="s">
        <v>24</v>
      </c>
      <c r="G425" t="s">
        <v>54</v>
      </c>
      <c r="H425" t="s">
        <v>185</v>
      </c>
      <c r="I425" t="s">
        <v>186</v>
      </c>
      <c r="J425" t="s">
        <v>74</v>
      </c>
      <c r="K425" t="s">
        <v>75</v>
      </c>
      <c r="L425" t="s">
        <v>1373</v>
      </c>
      <c r="M425" t="s">
        <v>50</v>
      </c>
      <c r="N425">
        <v>9</v>
      </c>
      <c r="O425">
        <v>3779.31</v>
      </c>
      <c r="P425">
        <v>0.2</v>
      </c>
      <c r="Q425" s="7">
        <f>IF(P425="", 0, P425)</f>
        <v>0.2</v>
      </c>
      <c r="R425">
        <v>27211.03</v>
      </c>
      <c r="S425">
        <v>17940.43</v>
      </c>
      <c r="T425" s="7">
        <f>N425*O425*(1-Q425)</f>
        <v>27211.032000000003</v>
      </c>
      <c r="U425" s="7">
        <f t="shared" si="36"/>
        <v>9270.6020000000026</v>
      </c>
      <c r="V425">
        <v>9270.6</v>
      </c>
      <c r="W425" s="12">
        <f t="shared" si="37"/>
        <v>0.34069277490100347</v>
      </c>
      <c r="X425" t="s">
        <v>32</v>
      </c>
      <c r="Y425" t="str">
        <f t="shared" si="38"/>
        <v>Paid</v>
      </c>
      <c r="Z425" t="s">
        <v>33</v>
      </c>
      <c r="AA425">
        <f>C425-B425</f>
        <v>581</v>
      </c>
      <c r="AB425" t="str">
        <f>IF(B425="","Missing Order Date",
IF(C425="","Missing Ship Date","OK"))</f>
        <v>OK</v>
      </c>
      <c r="AC425" s="7" t="str">
        <f>IF(C425&lt;B425, "Invalid", "Valid")</f>
        <v>Valid</v>
      </c>
      <c r="AD425" s="7" t="str">
        <f>IF(COUNTIF($A:$A, A425)&gt;1, "Duplicate", "Unique")</f>
        <v>Duplicate</v>
      </c>
      <c r="AE425" s="7" t="str">
        <f>IF(G425="","Unknown",G425)</f>
        <v>South</v>
      </c>
      <c r="AF425" s="7" t="str">
        <f>IF(M425="","Unknown",M425)</f>
        <v>First Class</v>
      </c>
      <c r="AG425" s="7" t="str">
        <f>IF(P425&lt;0,"Invalid",
IF(P425&gt;1,"Invalid","Valid"))</f>
        <v>Valid</v>
      </c>
      <c r="AH425" s="7" t="str">
        <f>TEXT(B425,"mmmm")</f>
        <v>February</v>
      </c>
      <c r="AI425" s="7">
        <f t="shared" si="39"/>
        <v>2024</v>
      </c>
      <c r="AJ425" s="7" t="str">
        <f>IF(OR(R425&lt;0,C425&lt;B425),"Invalid",
IF(OR(G425="Unknown",M425="Unknown"),"Warning","Clean"))</f>
        <v>Clean</v>
      </c>
      <c r="AK425" s="7" t="str">
        <f>IF(C425&lt;B425,"Ship Before Order","OK")</f>
        <v>OK</v>
      </c>
      <c r="AL425" s="7" t="str">
        <f>IF(ISNUMBER(B425),"Valid","Invalid")</f>
        <v>Valid</v>
      </c>
      <c r="AM425" s="7" t="str">
        <f t="shared" si="40"/>
        <v>Missmatched</v>
      </c>
      <c r="AN425" s="7" t="str">
        <f t="shared" si="41"/>
        <v>Missmatched</v>
      </c>
    </row>
    <row r="426" spans="1:40">
      <c r="A426" t="s">
        <v>1374</v>
      </c>
      <c r="B426" s="6">
        <v>45469</v>
      </c>
      <c r="C426" s="4">
        <v>45924</v>
      </c>
      <c r="D426" t="s">
        <v>1375</v>
      </c>
      <c r="E426" t="s">
        <v>79</v>
      </c>
      <c r="F426" t="s">
        <v>90</v>
      </c>
      <c r="G426" t="s">
        <v>25</v>
      </c>
      <c r="H426" t="s">
        <v>122</v>
      </c>
      <c r="I426" t="s">
        <v>123</v>
      </c>
      <c r="J426" t="s">
        <v>74</v>
      </c>
      <c r="K426" t="s">
        <v>171</v>
      </c>
      <c r="L426" t="s">
        <v>1376</v>
      </c>
      <c r="M426" t="s">
        <v>59</v>
      </c>
      <c r="N426">
        <v>8</v>
      </c>
      <c r="O426">
        <v>804.52</v>
      </c>
      <c r="P426">
        <v>0</v>
      </c>
      <c r="Q426" s="7">
        <f>IF(P426="", 0, P426)</f>
        <v>0</v>
      </c>
      <c r="R426">
        <v>6436.16</v>
      </c>
      <c r="S426">
        <v>4263.83</v>
      </c>
      <c r="T426" s="7">
        <f>N426*O426*(1-Q426)</f>
        <v>6436.16</v>
      </c>
      <c r="U426" s="7">
        <f t="shared" si="36"/>
        <v>2172.33</v>
      </c>
      <c r="V426">
        <v>2172.33</v>
      </c>
      <c r="W426" s="12">
        <f t="shared" si="37"/>
        <v>0.33751957689056827</v>
      </c>
      <c r="X426" t="s">
        <v>32</v>
      </c>
      <c r="Y426" t="str">
        <f t="shared" si="38"/>
        <v>Paid</v>
      </c>
      <c r="Z426" t="s">
        <v>33</v>
      </c>
      <c r="AA426">
        <f>C426-B426</f>
        <v>455</v>
      </c>
      <c r="AB426" t="str">
        <f>IF(B426="","Missing Order Date",
IF(C426="","Missing Ship Date","OK"))</f>
        <v>OK</v>
      </c>
      <c r="AC426" s="7" t="str">
        <f>IF(C426&lt;B426, "Invalid", "Valid")</f>
        <v>Valid</v>
      </c>
      <c r="AD426" s="7" t="str">
        <f>IF(COUNTIF($A:$A, A426)&gt;1, "Duplicate", "Unique")</f>
        <v>Unique</v>
      </c>
      <c r="AE426" s="7" t="str">
        <f>IF(G426="","Unknown",G426)</f>
        <v>North</v>
      </c>
      <c r="AF426" s="7" t="str">
        <f>IF(M426="","Unknown",M426)</f>
        <v>Standard Class</v>
      </c>
      <c r="AG426" s="7" t="str">
        <f>IF(P426&lt;0,"Invalid",
IF(P426&gt;1,"Invalid","Valid"))</f>
        <v>Valid</v>
      </c>
      <c r="AH426" s="7" t="str">
        <f>TEXT(B426,"mmmm")</f>
        <v>June</v>
      </c>
      <c r="AI426" s="7">
        <f t="shared" si="39"/>
        <v>2024</v>
      </c>
      <c r="AJ426" s="7" t="str">
        <f>IF(OR(R426&lt;0,C426&lt;B426),"Invalid",
IF(OR(G426="Unknown",M426="Unknown"),"Warning","Clean"))</f>
        <v>Clean</v>
      </c>
      <c r="AK426" s="7" t="str">
        <f>IF(C426&lt;B426,"Ship Before Order","OK")</f>
        <v>OK</v>
      </c>
      <c r="AL426" s="7" t="str">
        <f>IF(ISNUMBER(B426),"Valid","Invalid")</f>
        <v>Valid</v>
      </c>
      <c r="AM426" s="7" t="str">
        <f t="shared" si="40"/>
        <v>Ok</v>
      </c>
      <c r="AN426" s="7" t="str">
        <f t="shared" si="41"/>
        <v>Ok</v>
      </c>
    </row>
    <row r="427" spans="1:40">
      <c r="A427" t="s">
        <v>1377</v>
      </c>
      <c r="B427" s="6">
        <v>45561</v>
      </c>
      <c r="C427" s="4">
        <v>45925</v>
      </c>
      <c r="D427" t="s">
        <v>1378</v>
      </c>
      <c r="E427" t="s">
        <v>47</v>
      </c>
      <c r="F427" t="s">
        <v>95</v>
      </c>
      <c r="G427" t="s">
        <v>25</v>
      </c>
      <c r="H427" t="s">
        <v>350</v>
      </c>
      <c r="I427" t="s">
        <v>351</v>
      </c>
      <c r="J427" t="s">
        <v>28</v>
      </c>
      <c r="K427" t="s">
        <v>91</v>
      </c>
      <c r="L427" t="s">
        <v>1379</v>
      </c>
      <c r="M427" t="s">
        <v>50</v>
      </c>
      <c r="N427">
        <v>2</v>
      </c>
      <c r="O427">
        <v>1065.69</v>
      </c>
      <c r="P427">
        <v>0.1</v>
      </c>
      <c r="Q427" s="7">
        <f>IF(P427="", 0, P427)</f>
        <v>0.1</v>
      </c>
      <c r="R427">
        <v>1918.24</v>
      </c>
      <c r="S427">
        <v>1373.52</v>
      </c>
      <c r="T427" s="7">
        <f>N427*O427*(1-Q427)</f>
        <v>1918.2420000000002</v>
      </c>
      <c r="U427" s="7">
        <f t="shared" si="36"/>
        <v>544.72200000000021</v>
      </c>
      <c r="V427">
        <v>544.72</v>
      </c>
      <c r="W427" s="12">
        <f t="shared" si="37"/>
        <v>0.2839693844676533</v>
      </c>
      <c r="X427" t="s">
        <v>102</v>
      </c>
      <c r="Y427" t="str">
        <f t="shared" si="38"/>
        <v>Refunded</v>
      </c>
      <c r="Z427" t="s">
        <v>68</v>
      </c>
      <c r="AA427">
        <f>C427-B427</f>
        <v>364</v>
      </c>
      <c r="AB427" t="str">
        <f>IF(B427="","Missing Order Date",
IF(C427="","Missing Ship Date","OK"))</f>
        <v>OK</v>
      </c>
      <c r="AC427" s="7" t="str">
        <f>IF(C427&lt;B427, "Invalid", "Valid")</f>
        <v>Valid</v>
      </c>
      <c r="AD427" s="7" t="str">
        <f>IF(COUNTIF($A:$A, A427)&gt;1, "Duplicate", "Unique")</f>
        <v>Unique</v>
      </c>
      <c r="AE427" s="7" t="str">
        <f>IF(G427="","Unknown",G427)</f>
        <v>North</v>
      </c>
      <c r="AF427" s="7" t="str">
        <f>IF(M427="","Unknown",M427)</f>
        <v>First Class</v>
      </c>
      <c r="AG427" s="7" t="str">
        <f>IF(P427&lt;0,"Invalid",
IF(P427&gt;1,"Invalid","Valid"))</f>
        <v>Valid</v>
      </c>
      <c r="AH427" s="7" t="str">
        <f>TEXT(B427,"mmmm")</f>
        <v>September</v>
      </c>
      <c r="AI427" s="7">
        <f t="shared" si="39"/>
        <v>2024</v>
      </c>
      <c r="AJ427" s="7" t="str">
        <f>IF(OR(R427&lt;0,C427&lt;B427),"Invalid",
IF(OR(G427="Unknown",M427="Unknown"),"Warning","Clean"))</f>
        <v>Clean</v>
      </c>
      <c r="AK427" s="7" t="str">
        <f>IF(C427&lt;B427,"Ship Before Order","OK")</f>
        <v>OK</v>
      </c>
      <c r="AL427" s="7" t="str">
        <f>IF(ISNUMBER(B427),"Valid","Invalid")</f>
        <v>Valid</v>
      </c>
      <c r="AM427" s="7" t="str">
        <f t="shared" si="40"/>
        <v>Missmatched</v>
      </c>
      <c r="AN427" s="7" t="str">
        <f t="shared" si="41"/>
        <v>Missmatched</v>
      </c>
    </row>
    <row r="428" spans="1:40">
      <c r="A428" t="s">
        <v>1380</v>
      </c>
      <c r="B428" s="6">
        <v>45473</v>
      </c>
      <c r="C428" s="4">
        <v>45926</v>
      </c>
      <c r="D428" t="s">
        <v>1381</v>
      </c>
      <c r="E428" t="s">
        <v>89</v>
      </c>
      <c r="F428" t="s">
        <v>24</v>
      </c>
      <c r="G428" t="s">
        <v>25</v>
      </c>
      <c r="H428" t="s">
        <v>236</v>
      </c>
      <c r="I428" t="s">
        <v>237</v>
      </c>
      <c r="J428" t="s">
        <v>74</v>
      </c>
      <c r="K428" t="s">
        <v>80</v>
      </c>
      <c r="L428" t="s">
        <v>1382</v>
      </c>
      <c r="M428" t="s">
        <v>44</v>
      </c>
      <c r="N428">
        <v>8</v>
      </c>
      <c r="O428">
        <v>3756.66</v>
      </c>
      <c r="P428">
        <v>0.1</v>
      </c>
      <c r="Q428" s="7">
        <f>IF(P428="", 0, P428)</f>
        <v>0.1</v>
      </c>
      <c r="R428">
        <v>27047.95</v>
      </c>
      <c r="S428">
        <v>18431.330000000002</v>
      </c>
      <c r="T428" s="7">
        <f>N428*O428*(1-Q428)</f>
        <v>27047.952000000001</v>
      </c>
      <c r="U428" s="7">
        <f t="shared" si="36"/>
        <v>8616.6219999999994</v>
      </c>
      <c r="V428">
        <v>8616.6200000000008</v>
      </c>
      <c r="W428" s="12">
        <f t="shared" si="37"/>
        <v>0.31856837072174626</v>
      </c>
      <c r="X428" t="s">
        <v>32</v>
      </c>
      <c r="Y428" t="str">
        <f t="shared" si="38"/>
        <v>Paid</v>
      </c>
      <c r="Z428" t="s">
        <v>33</v>
      </c>
      <c r="AA428">
        <f>C428-B428</f>
        <v>453</v>
      </c>
      <c r="AB428" t="str">
        <f>IF(B428="","Missing Order Date",
IF(C428="","Missing Ship Date","OK"))</f>
        <v>OK</v>
      </c>
      <c r="AC428" s="7" t="str">
        <f>IF(C428&lt;B428, "Invalid", "Valid")</f>
        <v>Valid</v>
      </c>
      <c r="AD428" s="7" t="str">
        <f>IF(COUNTIF($A:$A, A428)&gt;1, "Duplicate", "Unique")</f>
        <v>Unique</v>
      </c>
      <c r="AE428" s="7" t="str">
        <f>IF(G428="","Unknown",G428)</f>
        <v>North</v>
      </c>
      <c r="AF428" s="7" t="str">
        <f>IF(M428="","Unknown",M428)</f>
        <v>Same Day</v>
      </c>
      <c r="AG428" s="7" t="str">
        <f>IF(P428&lt;0,"Invalid",
IF(P428&gt;1,"Invalid","Valid"))</f>
        <v>Valid</v>
      </c>
      <c r="AH428" s="7" t="str">
        <f>TEXT(B428,"mmmm")</f>
        <v>June</v>
      </c>
      <c r="AI428" s="7">
        <f t="shared" si="39"/>
        <v>2024</v>
      </c>
      <c r="AJ428" s="7" t="str">
        <f>IF(OR(R428&lt;0,C428&lt;B428),"Invalid",
IF(OR(G428="Unknown",M428="Unknown"),"Warning","Clean"))</f>
        <v>Clean</v>
      </c>
      <c r="AK428" s="7" t="str">
        <f>IF(C428&lt;B428,"Ship Before Order","OK")</f>
        <v>OK</v>
      </c>
      <c r="AL428" s="7" t="str">
        <f>IF(ISNUMBER(B428),"Valid","Invalid")</f>
        <v>Valid</v>
      </c>
      <c r="AM428" s="7" t="str">
        <f t="shared" si="40"/>
        <v>Missmatched</v>
      </c>
      <c r="AN428" s="7" t="str">
        <f t="shared" si="41"/>
        <v>Missmatched</v>
      </c>
    </row>
    <row r="429" spans="1:40">
      <c r="A429" t="s">
        <v>1383</v>
      </c>
      <c r="B429" s="6">
        <v>45769</v>
      </c>
      <c r="C429" s="4">
        <v>45927</v>
      </c>
      <c r="D429" t="s">
        <v>1384</v>
      </c>
      <c r="E429" t="s">
        <v>47</v>
      </c>
      <c r="F429" t="s">
        <v>90</v>
      </c>
      <c r="G429" t="s">
        <v>2785</v>
      </c>
      <c r="H429" t="s">
        <v>228</v>
      </c>
      <c r="I429" t="s">
        <v>229</v>
      </c>
      <c r="J429" t="s">
        <v>74</v>
      </c>
      <c r="K429" t="s">
        <v>75</v>
      </c>
      <c r="L429" t="s">
        <v>1385</v>
      </c>
      <c r="M429" t="s">
        <v>59</v>
      </c>
      <c r="N429">
        <v>9</v>
      </c>
      <c r="O429">
        <v>2939.44</v>
      </c>
      <c r="P429">
        <v>0</v>
      </c>
      <c r="Q429" s="7">
        <f>IF(P429="", 0, P429)</f>
        <v>0</v>
      </c>
      <c r="R429">
        <v>26454.959999999999</v>
      </c>
      <c r="S429">
        <v>17630.25</v>
      </c>
      <c r="T429" s="7">
        <f>N429*O429*(1-Q429)</f>
        <v>26454.959999999999</v>
      </c>
      <c r="U429" s="7">
        <f t="shared" si="36"/>
        <v>8824.7099999999991</v>
      </c>
      <c r="V429">
        <v>8824.7099999999991</v>
      </c>
      <c r="W429" s="12">
        <f t="shared" si="37"/>
        <v>0.33357487594008833</v>
      </c>
      <c r="X429" t="s">
        <v>32</v>
      </c>
      <c r="Y429" t="str">
        <f t="shared" si="38"/>
        <v>Paid</v>
      </c>
      <c r="Z429" t="s">
        <v>33</v>
      </c>
      <c r="AA429">
        <f>C429-B429</f>
        <v>158</v>
      </c>
      <c r="AB429" t="str">
        <f>IF(B429="","Missing Order Date",
IF(C429="","Missing Ship Date","OK"))</f>
        <v>OK</v>
      </c>
      <c r="AC429" s="7" t="str">
        <f>IF(C429&lt;B429, "Invalid", "Valid")</f>
        <v>Valid</v>
      </c>
      <c r="AD429" s="7" t="str">
        <f>IF(COUNTIF($A:$A, A429)&gt;1, "Duplicate", "Unique")</f>
        <v>Unique</v>
      </c>
      <c r="AE429" s="7" t="str">
        <f>IF(G429="","Unknown",G429)</f>
        <v>Unknown</v>
      </c>
      <c r="AF429" s="7" t="str">
        <f>IF(M429="","Unknown",M429)</f>
        <v>Standard Class</v>
      </c>
      <c r="AG429" s="7" t="str">
        <f>IF(P429&lt;0,"Invalid",
IF(P429&gt;1,"Invalid","Valid"))</f>
        <v>Valid</v>
      </c>
      <c r="AH429" s="7" t="str">
        <f>TEXT(B429,"mmmm")</f>
        <v>April</v>
      </c>
      <c r="AI429" s="7">
        <f t="shared" si="39"/>
        <v>2025</v>
      </c>
      <c r="AJ429" s="7" t="str">
        <f>IF(OR(R429&lt;0,C429&lt;B429),"Invalid",
IF(OR(G429="Unknown",M429="Unknown"),"Warning","Clean"))</f>
        <v>Clean</v>
      </c>
      <c r="AK429" s="7" t="str">
        <f>IF(C429&lt;B429,"Ship Before Order","OK")</f>
        <v>OK</v>
      </c>
      <c r="AL429" s="7" t="str">
        <f>IF(ISNUMBER(B429),"Valid","Invalid")</f>
        <v>Valid</v>
      </c>
      <c r="AM429" s="7" t="str">
        <f t="shared" si="40"/>
        <v>Ok</v>
      </c>
      <c r="AN429" s="7" t="str">
        <f t="shared" si="41"/>
        <v>Ok</v>
      </c>
    </row>
    <row r="430" spans="1:40">
      <c r="A430" t="s">
        <v>1386</v>
      </c>
      <c r="B430" s="6">
        <v>45731</v>
      </c>
      <c r="C430" s="4">
        <v>45928</v>
      </c>
      <c r="D430" t="s">
        <v>1387</v>
      </c>
      <c r="E430" t="s">
        <v>23</v>
      </c>
      <c r="F430" t="s">
        <v>37</v>
      </c>
      <c r="G430" t="s">
        <v>38</v>
      </c>
      <c r="H430" t="s">
        <v>99</v>
      </c>
      <c r="I430" t="s">
        <v>100</v>
      </c>
      <c r="J430" t="s">
        <v>74</v>
      </c>
      <c r="K430" t="s">
        <v>171</v>
      </c>
      <c r="L430" t="s">
        <v>1388</v>
      </c>
      <c r="M430" t="s">
        <v>44</v>
      </c>
      <c r="N430">
        <v>2</v>
      </c>
      <c r="O430">
        <v>1235.93</v>
      </c>
      <c r="P430">
        <v>0.25</v>
      </c>
      <c r="Q430" s="7">
        <f>IF(P430="", 0, P430)</f>
        <v>0.25</v>
      </c>
      <c r="R430">
        <v>1853.89</v>
      </c>
      <c r="S430">
        <v>1101.23</v>
      </c>
      <c r="T430" s="7">
        <f>N430*O430*(1-Q430)</f>
        <v>1853.895</v>
      </c>
      <c r="U430" s="7">
        <f t="shared" si="36"/>
        <v>752.66499999999996</v>
      </c>
      <c r="V430">
        <v>752.66</v>
      </c>
      <c r="W430" s="12">
        <f t="shared" si="37"/>
        <v>0.40599116994220275</v>
      </c>
      <c r="X430" t="s">
        <v>111</v>
      </c>
      <c r="Y430" t="str">
        <f t="shared" si="38"/>
        <v>Pending</v>
      </c>
      <c r="Z430" t="s">
        <v>68</v>
      </c>
      <c r="AA430">
        <f>C430-B430</f>
        <v>197</v>
      </c>
      <c r="AB430" t="str">
        <f>IF(B430="","Missing Order Date",
IF(C430="","Missing Ship Date","OK"))</f>
        <v>OK</v>
      </c>
      <c r="AC430" s="7" t="str">
        <f>IF(C430&lt;B430, "Invalid", "Valid")</f>
        <v>Valid</v>
      </c>
      <c r="AD430" s="7" t="str">
        <f>IF(COUNTIF($A:$A, A430)&gt;1, "Duplicate", "Unique")</f>
        <v>Unique</v>
      </c>
      <c r="AE430" s="7" t="str">
        <f>IF(G430="","Unknown",G430)</f>
        <v>East</v>
      </c>
      <c r="AF430" s="7" t="str">
        <f>IF(M430="","Unknown",M430)</f>
        <v>Same Day</v>
      </c>
      <c r="AG430" s="7" t="str">
        <f>IF(P430&lt;0,"Invalid",
IF(P430&gt;1,"Invalid","Valid"))</f>
        <v>Valid</v>
      </c>
      <c r="AH430" s="7" t="str">
        <f>TEXT(B430,"mmmm")</f>
        <v>March</v>
      </c>
      <c r="AI430" s="7">
        <f t="shared" si="39"/>
        <v>2025</v>
      </c>
      <c r="AJ430" s="7" t="str">
        <f>IF(OR(R430&lt;0,C430&lt;B430),"Invalid",
IF(OR(G430="Unknown",M430="Unknown"),"Warning","Clean"))</f>
        <v>Clean</v>
      </c>
      <c r="AK430" s="7" t="str">
        <f>IF(C430&lt;B430,"Ship Before Order","OK")</f>
        <v>OK</v>
      </c>
      <c r="AL430" s="7" t="str">
        <f>IF(ISNUMBER(B430),"Valid","Invalid")</f>
        <v>Valid</v>
      </c>
      <c r="AM430" s="7" t="str">
        <f t="shared" si="40"/>
        <v>Missmatched</v>
      </c>
      <c r="AN430" s="7" t="str">
        <f t="shared" si="41"/>
        <v>Missmatched</v>
      </c>
    </row>
    <row r="431" spans="1:40">
      <c r="A431" t="s">
        <v>1389</v>
      </c>
      <c r="B431" s="6">
        <v>45660</v>
      </c>
      <c r="C431" s="4">
        <v>45929</v>
      </c>
      <c r="D431" t="s">
        <v>1390</v>
      </c>
      <c r="E431" t="s">
        <v>79</v>
      </c>
      <c r="F431" t="s">
        <v>95</v>
      </c>
      <c r="G431" t="s">
        <v>25</v>
      </c>
      <c r="H431" t="s">
        <v>26</v>
      </c>
      <c r="I431" t="s">
        <v>27</v>
      </c>
      <c r="J431" t="s">
        <v>74</v>
      </c>
      <c r="K431" t="s">
        <v>80</v>
      </c>
      <c r="L431" t="s">
        <v>1391</v>
      </c>
      <c r="M431" t="s">
        <v>44</v>
      </c>
      <c r="N431">
        <v>8</v>
      </c>
      <c r="O431">
        <v>2943.1</v>
      </c>
      <c r="P431">
        <v>0.25</v>
      </c>
      <c r="Q431" s="7">
        <f>IF(P431="", 0, P431)</f>
        <v>0.25</v>
      </c>
      <c r="R431">
        <v>17658.599999999999</v>
      </c>
      <c r="S431">
        <v>13842.48</v>
      </c>
      <c r="T431" s="7">
        <f>N431*O431*(1-Q431)</f>
        <v>17658.599999999999</v>
      </c>
      <c r="U431" s="7">
        <f t="shared" si="36"/>
        <v>3816.119999999999</v>
      </c>
      <c r="V431">
        <v>3816.12</v>
      </c>
      <c r="W431" s="12">
        <f t="shared" si="37"/>
        <v>0.2161054670245659</v>
      </c>
      <c r="X431" t="s">
        <v>32</v>
      </c>
      <c r="Y431" t="str">
        <f t="shared" si="38"/>
        <v>Paid</v>
      </c>
      <c r="Z431" t="s">
        <v>33</v>
      </c>
      <c r="AA431">
        <f>C431-B431</f>
        <v>269</v>
      </c>
      <c r="AB431" t="str">
        <f>IF(B431="","Missing Order Date",
IF(C431="","Missing Ship Date","OK"))</f>
        <v>OK</v>
      </c>
      <c r="AC431" s="7" t="str">
        <f>IF(C431&lt;B431, "Invalid", "Valid")</f>
        <v>Valid</v>
      </c>
      <c r="AD431" s="7" t="str">
        <f>IF(COUNTIF($A:$A, A431)&gt;1, "Duplicate", "Unique")</f>
        <v>Unique</v>
      </c>
      <c r="AE431" s="7" t="str">
        <f>IF(G431="","Unknown",G431)</f>
        <v>North</v>
      </c>
      <c r="AF431" s="7" t="str">
        <f>IF(M431="","Unknown",M431)</f>
        <v>Same Day</v>
      </c>
      <c r="AG431" s="7" t="str">
        <f>IF(P431&lt;0,"Invalid",
IF(P431&gt;1,"Invalid","Valid"))</f>
        <v>Valid</v>
      </c>
      <c r="AH431" s="7" t="str">
        <f>TEXT(B431,"mmmm")</f>
        <v>January</v>
      </c>
      <c r="AI431" s="7">
        <f t="shared" si="39"/>
        <v>2025</v>
      </c>
      <c r="AJ431" s="7" t="str">
        <f>IF(OR(R431&lt;0,C431&lt;B431),"Invalid",
IF(OR(G431="Unknown",M431="Unknown"),"Warning","Clean"))</f>
        <v>Clean</v>
      </c>
      <c r="AK431" s="7" t="str">
        <f>IF(C431&lt;B431,"Ship Before Order","OK")</f>
        <v>OK</v>
      </c>
      <c r="AL431" s="7" t="str">
        <f>IF(ISNUMBER(B431),"Valid","Invalid")</f>
        <v>Valid</v>
      </c>
      <c r="AM431" s="7" t="str">
        <f t="shared" si="40"/>
        <v>Ok</v>
      </c>
      <c r="AN431" s="7" t="str">
        <f t="shared" si="41"/>
        <v>Ok</v>
      </c>
    </row>
    <row r="432" spans="1:40">
      <c r="A432" t="s">
        <v>1392</v>
      </c>
      <c r="B432" s="6">
        <v>45534</v>
      </c>
      <c r="C432" s="4">
        <v>45930</v>
      </c>
      <c r="D432" t="s">
        <v>1393</v>
      </c>
      <c r="E432" t="s">
        <v>79</v>
      </c>
      <c r="F432" t="s">
        <v>37</v>
      </c>
      <c r="G432" t="s">
        <v>25</v>
      </c>
      <c r="H432" t="s">
        <v>236</v>
      </c>
      <c r="I432" t="s">
        <v>237</v>
      </c>
      <c r="J432" t="s">
        <v>28</v>
      </c>
      <c r="K432" t="s">
        <v>29</v>
      </c>
      <c r="L432" t="s">
        <v>1394</v>
      </c>
      <c r="M432" t="s">
        <v>31</v>
      </c>
      <c r="N432">
        <v>1</v>
      </c>
      <c r="O432">
        <v>4320.84</v>
      </c>
      <c r="P432">
        <v>0.15</v>
      </c>
      <c r="Q432" s="7">
        <f>IF(P432="", 0, P432)</f>
        <v>0.15</v>
      </c>
      <c r="R432">
        <v>3672.71</v>
      </c>
      <c r="S432">
        <v>2714.23</v>
      </c>
      <c r="T432" s="7">
        <f>N432*O432*(1-Q432)</f>
        <v>3672.7139999999999</v>
      </c>
      <c r="U432" s="7">
        <f t="shared" si="36"/>
        <v>958.48399999999992</v>
      </c>
      <c r="V432">
        <v>763.38</v>
      </c>
      <c r="W432" s="12">
        <f t="shared" si="37"/>
        <v>0.26097430946161337</v>
      </c>
      <c r="X432" t="s">
        <v>32</v>
      </c>
      <c r="Y432" t="str">
        <f t="shared" si="38"/>
        <v>Paid</v>
      </c>
      <c r="Z432" t="s">
        <v>33</v>
      </c>
      <c r="AA432">
        <f>C432-B432</f>
        <v>396</v>
      </c>
      <c r="AB432" t="str">
        <f>IF(B432="","Missing Order Date",
IF(C432="","Missing Ship Date","OK"))</f>
        <v>OK</v>
      </c>
      <c r="AC432" s="7" t="str">
        <f>IF(C432&lt;B432, "Invalid", "Valid")</f>
        <v>Valid</v>
      </c>
      <c r="AD432" s="7" t="str">
        <f>IF(COUNTIF($A:$A, A432)&gt;1, "Duplicate", "Unique")</f>
        <v>Unique</v>
      </c>
      <c r="AE432" s="7" t="str">
        <f>IF(G432="","Unknown",G432)</f>
        <v>North</v>
      </c>
      <c r="AF432" s="7" t="str">
        <f>IF(M432="","Unknown",M432)</f>
        <v>Second Class</v>
      </c>
      <c r="AG432" s="7" t="str">
        <f>IF(P432&lt;0,"Invalid",
IF(P432&gt;1,"Invalid","Valid"))</f>
        <v>Valid</v>
      </c>
      <c r="AH432" s="7" t="str">
        <f>TEXT(B432,"mmmm")</f>
        <v>August</v>
      </c>
      <c r="AI432" s="7">
        <f t="shared" si="39"/>
        <v>2024</v>
      </c>
      <c r="AJ432" s="7" t="str">
        <f>IF(OR(R432&lt;0,C432&lt;B432),"Invalid",
IF(OR(G432="Unknown",M432="Unknown"),"Warning","Clean"))</f>
        <v>Clean</v>
      </c>
      <c r="AK432" s="7" t="str">
        <f>IF(C432&lt;B432,"Ship Before Order","OK")</f>
        <v>OK</v>
      </c>
      <c r="AL432" s="7" t="str">
        <f>IF(ISNUMBER(B432),"Valid","Invalid")</f>
        <v>Valid</v>
      </c>
      <c r="AM432" s="7" t="str">
        <f t="shared" si="40"/>
        <v>Missmatched</v>
      </c>
      <c r="AN432" s="7" t="str">
        <f t="shared" si="41"/>
        <v>Missmatched</v>
      </c>
    </row>
    <row r="433" spans="1:40">
      <c r="A433" t="s">
        <v>1395</v>
      </c>
      <c r="B433" s="6">
        <v>45567</v>
      </c>
      <c r="C433" s="4">
        <v>45931</v>
      </c>
      <c r="D433" t="s">
        <v>1396</v>
      </c>
      <c r="E433" t="s">
        <v>23</v>
      </c>
      <c r="F433" t="s">
        <v>95</v>
      </c>
      <c r="G433" t="s">
        <v>63</v>
      </c>
      <c r="H433" t="s">
        <v>190</v>
      </c>
      <c r="I433" t="s">
        <v>191</v>
      </c>
      <c r="J433" t="s">
        <v>74</v>
      </c>
      <c r="K433" t="s">
        <v>274</v>
      </c>
      <c r="L433" t="s">
        <v>1397</v>
      </c>
      <c r="M433" t="s">
        <v>44</v>
      </c>
      <c r="N433">
        <v>2</v>
      </c>
      <c r="O433">
        <v>4118.45</v>
      </c>
      <c r="P433">
        <v>0.25</v>
      </c>
      <c r="Q433" s="7">
        <f>IF(P433="", 0, P433)</f>
        <v>0.25</v>
      </c>
      <c r="R433">
        <v>6177.67</v>
      </c>
      <c r="S433">
        <v>4520.75</v>
      </c>
      <c r="T433" s="7">
        <f>N433*O433*(1-Q433)</f>
        <v>6177.6749999999993</v>
      </c>
      <c r="U433" s="7">
        <f t="shared" si="36"/>
        <v>1656.9249999999993</v>
      </c>
      <c r="V433">
        <v>1656.92</v>
      </c>
      <c r="W433" s="12">
        <f t="shared" si="37"/>
        <v>0.26821174632851347</v>
      </c>
      <c r="X433" t="s">
        <v>32</v>
      </c>
      <c r="Y433" t="str">
        <f t="shared" si="38"/>
        <v>Paid</v>
      </c>
      <c r="Z433" t="s">
        <v>33</v>
      </c>
      <c r="AA433">
        <f>C433-B433</f>
        <v>364</v>
      </c>
      <c r="AB433" t="str">
        <f>IF(B433="","Missing Order Date",
IF(C433="","Missing Ship Date","OK"))</f>
        <v>OK</v>
      </c>
      <c r="AC433" s="7" t="str">
        <f>IF(C433&lt;B433, "Invalid", "Valid")</f>
        <v>Valid</v>
      </c>
      <c r="AD433" s="7" t="str">
        <f>IF(COUNTIF($A:$A, A433)&gt;1, "Duplicate", "Unique")</f>
        <v>Unique</v>
      </c>
      <c r="AE433" s="7" t="str">
        <f>IF(G433="","Unknown",G433)</f>
        <v>West</v>
      </c>
      <c r="AF433" s="7" t="str">
        <f>IF(M433="","Unknown",M433)</f>
        <v>Same Day</v>
      </c>
      <c r="AG433" s="7" t="str">
        <f>IF(P433&lt;0,"Invalid",
IF(P433&gt;1,"Invalid","Valid"))</f>
        <v>Valid</v>
      </c>
      <c r="AH433" s="7" t="str">
        <f>TEXT(B433,"mmmm")</f>
        <v>October</v>
      </c>
      <c r="AI433" s="7">
        <f t="shared" si="39"/>
        <v>2024</v>
      </c>
      <c r="AJ433" s="7" t="str">
        <f>IF(OR(R433&lt;0,C433&lt;B433),"Invalid",
IF(OR(G433="Unknown",M433="Unknown"),"Warning","Clean"))</f>
        <v>Clean</v>
      </c>
      <c r="AK433" s="7" t="str">
        <f>IF(C433&lt;B433,"Ship Before Order","OK")</f>
        <v>OK</v>
      </c>
      <c r="AL433" s="7" t="str">
        <f>IF(ISNUMBER(B433),"Valid","Invalid")</f>
        <v>Valid</v>
      </c>
      <c r="AM433" s="7" t="str">
        <f t="shared" si="40"/>
        <v>Missmatched</v>
      </c>
      <c r="AN433" s="7" t="str">
        <f t="shared" si="41"/>
        <v>Missmatched</v>
      </c>
    </row>
    <row r="434" spans="1:40">
      <c r="A434" t="s">
        <v>1398</v>
      </c>
      <c r="B434" s="6">
        <v>45533</v>
      </c>
      <c r="C434" s="4">
        <v>45932</v>
      </c>
      <c r="D434" t="s">
        <v>1399</v>
      </c>
      <c r="E434" t="s">
        <v>114</v>
      </c>
      <c r="F434" t="s">
        <v>37</v>
      </c>
      <c r="G434" t="s">
        <v>63</v>
      </c>
      <c r="H434" t="s">
        <v>64</v>
      </c>
      <c r="I434" t="s">
        <v>65</v>
      </c>
      <c r="J434" t="s">
        <v>41</v>
      </c>
      <c r="K434" t="s">
        <v>158</v>
      </c>
      <c r="L434" t="s">
        <v>1400</v>
      </c>
      <c r="M434" t="s">
        <v>59</v>
      </c>
      <c r="N434">
        <v>6</v>
      </c>
      <c r="O434">
        <v>172.82</v>
      </c>
      <c r="P434">
        <v>0.05</v>
      </c>
      <c r="Q434" s="7">
        <f>IF(P434="", 0, P434)</f>
        <v>0.05</v>
      </c>
      <c r="R434">
        <v>985.07</v>
      </c>
      <c r="S434">
        <v>844.48</v>
      </c>
      <c r="T434" s="7">
        <f>N434*O434*(1-Q434)</f>
        <v>985.07400000000007</v>
      </c>
      <c r="U434" s="7">
        <f t="shared" si="36"/>
        <v>140.59400000000005</v>
      </c>
      <c r="V434">
        <v>140.59</v>
      </c>
      <c r="W434" s="12">
        <f t="shared" si="37"/>
        <v>0.14272430294576857</v>
      </c>
      <c r="X434" t="s">
        <v>32</v>
      </c>
      <c r="Y434" t="str">
        <f t="shared" si="38"/>
        <v>Paid</v>
      </c>
      <c r="Z434" t="s">
        <v>33</v>
      </c>
      <c r="AA434">
        <f>C434-B434</f>
        <v>399</v>
      </c>
      <c r="AB434" t="str">
        <f>IF(B434="","Missing Order Date",
IF(C434="","Missing Ship Date","OK"))</f>
        <v>OK</v>
      </c>
      <c r="AC434" s="7" t="str">
        <f>IF(C434&lt;B434, "Invalid", "Valid")</f>
        <v>Valid</v>
      </c>
      <c r="AD434" s="7" t="str">
        <f>IF(COUNTIF($A:$A, A434)&gt;1, "Duplicate", "Unique")</f>
        <v>Unique</v>
      </c>
      <c r="AE434" s="7" t="str">
        <f>IF(G434="","Unknown",G434)</f>
        <v>West</v>
      </c>
      <c r="AF434" s="7" t="str">
        <f>IF(M434="","Unknown",M434)</f>
        <v>Standard Class</v>
      </c>
      <c r="AG434" s="7" t="str">
        <f>IF(P434&lt;0,"Invalid",
IF(P434&gt;1,"Invalid","Valid"))</f>
        <v>Valid</v>
      </c>
      <c r="AH434" s="7" t="str">
        <f>TEXT(B434,"mmmm")</f>
        <v>August</v>
      </c>
      <c r="AI434" s="7">
        <f t="shared" si="39"/>
        <v>2024</v>
      </c>
      <c r="AJ434" s="7" t="str">
        <f>IF(OR(R434&lt;0,C434&lt;B434),"Invalid",
IF(OR(G434="Unknown",M434="Unknown"),"Warning","Clean"))</f>
        <v>Clean</v>
      </c>
      <c r="AK434" s="7" t="str">
        <f>IF(C434&lt;B434,"Ship Before Order","OK")</f>
        <v>OK</v>
      </c>
      <c r="AL434" s="7" t="str">
        <f>IF(ISNUMBER(B434),"Valid","Invalid")</f>
        <v>Valid</v>
      </c>
      <c r="AM434" s="7" t="str">
        <f t="shared" si="40"/>
        <v>Missmatched</v>
      </c>
      <c r="AN434" s="7" t="str">
        <f t="shared" si="41"/>
        <v>Missmatched</v>
      </c>
    </row>
    <row r="435" spans="1:40">
      <c r="A435" t="s">
        <v>1401</v>
      </c>
      <c r="B435" s="6">
        <v>45401</v>
      </c>
      <c r="C435" s="4">
        <v>45933</v>
      </c>
      <c r="D435" t="s">
        <v>1402</v>
      </c>
      <c r="E435" t="s">
        <v>114</v>
      </c>
      <c r="F435" t="s">
        <v>90</v>
      </c>
      <c r="G435" t="s">
        <v>54</v>
      </c>
      <c r="H435" t="s">
        <v>185</v>
      </c>
      <c r="I435" t="s">
        <v>186</v>
      </c>
      <c r="J435" t="s">
        <v>28</v>
      </c>
      <c r="K435" t="s">
        <v>48</v>
      </c>
      <c r="L435" t="s">
        <v>1403</v>
      </c>
      <c r="M435" t="s">
        <v>31</v>
      </c>
      <c r="N435">
        <v>4</v>
      </c>
      <c r="O435">
        <v>1540.22</v>
      </c>
      <c r="P435">
        <v>0</v>
      </c>
      <c r="Q435" s="7">
        <f>IF(P435="", 0, P435)</f>
        <v>0</v>
      </c>
      <c r="R435">
        <v>6160.88</v>
      </c>
      <c r="S435">
        <v>4938.7</v>
      </c>
      <c r="T435" s="7">
        <f>N435*O435*(1-Q435)</f>
        <v>6160.88</v>
      </c>
      <c r="U435" s="7">
        <f t="shared" si="36"/>
        <v>1222.1800000000003</v>
      </c>
      <c r="V435">
        <v>1222.18</v>
      </c>
      <c r="W435" s="12">
        <f t="shared" si="37"/>
        <v>0.19837750451234243</v>
      </c>
      <c r="X435" t="s">
        <v>102</v>
      </c>
      <c r="Y435" t="str">
        <f t="shared" si="38"/>
        <v>Refunded</v>
      </c>
      <c r="Z435" t="s">
        <v>103</v>
      </c>
      <c r="AA435">
        <f>C435-B435</f>
        <v>532</v>
      </c>
      <c r="AB435" t="str">
        <f>IF(B435="","Missing Order Date",
IF(C435="","Missing Ship Date","OK"))</f>
        <v>OK</v>
      </c>
      <c r="AC435" s="7" t="str">
        <f>IF(C435&lt;B435, "Invalid", "Valid")</f>
        <v>Valid</v>
      </c>
      <c r="AD435" s="7" t="str">
        <f>IF(COUNTIF($A:$A, A435)&gt;1, "Duplicate", "Unique")</f>
        <v>Unique</v>
      </c>
      <c r="AE435" s="7" t="str">
        <f>IF(G435="","Unknown",G435)</f>
        <v>South</v>
      </c>
      <c r="AF435" s="7" t="str">
        <f>IF(M435="","Unknown",M435)</f>
        <v>Second Class</v>
      </c>
      <c r="AG435" s="7" t="str">
        <f>IF(P435&lt;0,"Invalid",
IF(P435&gt;1,"Invalid","Valid"))</f>
        <v>Valid</v>
      </c>
      <c r="AH435" s="7" t="str">
        <f>TEXT(B435,"mmmm")</f>
        <v>April</v>
      </c>
      <c r="AI435" s="7">
        <f t="shared" si="39"/>
        <v>2024</v>
      </c>
      <c r="AJ435" s="7" t="str">
        <f>IF(OR(R435&lt;0,C435&lt;B435),"Invalid",
IF(OR(G435="Unknown",M435="Unknown"),"Warning","Clean"))</f>
        <v>Clean</v>
      </c>
      <c r="AK435" s="7" t="str">
        <f>IF(C435&lt;B435,"Ship Before Order","OK")</f>
        <v>OK</v>
      </c>
      <c r="AL435" s="7" t="str">
        <f>IF(ISNUMBER(B435),"Valid","Invalid")</f>
        <v>Valid</v>
      </c>
      <c r="AM435" s="7" t="str">
        <f t="shared" si="40"/>
        <v>Ok</v>
      </c>
      <c r="AN435" s="7" t="str">
        <f t="shared" si="41"/>
        <v>Ok</v>
      </c>
    </row>
    <row r="436" spans="1:40">
      <c r="A436" t="s">
        <v>1404</v>
      </c>
      <c r="B436" s="6">
        <v>45965</v>
      </c>
      <c r="C436" s="4">
        <v>45934</v>
      </c>
      <c r="D436" t="s">
        <v>1405</v>
      </c>
      <c r="E436" t="s">
        <v>36</v>
      </c>
      <c r="F436" t="s">
        <v>95</v>
      </c>
      <c r="G436" t="s">
        <v>25</v>
      </c>
      <c r="H436" t="s">
        <v>136</v>
      </c>
      <c r="I436" t="s">
        <v>137</v>
      </c>
      <c r="J436" t="s">
        <v>74</v>
      </c>
      <c r="K436" t="s">
        <v>75</v>
      </c>
      <c r="L436" t="s">
        <v>1406</v>
      </c>
      <c r="M436" t="s">
        <v>31</v>
      </c>
      <c r="N436">
        <v>5</v>
      </c>
      <c r="O436">
        <v>652.78</v>
      </c>
      <c r="P436">
        <v>0</v>
      </c>
      <c r="Q436" s="7">
        <f>IF(P436="", 0, P436)</f>
        <v>0</v>
      </c>
      <c r="R436">
        <v>3263.9</v>
      </c>
      <c r="S436">
        <v>2068.44</v>
      </c>
      <c r="T436" s="7">
        <f>N436*O436*(1-Q436)</f>
        <v>3263.8999999999996</v>
      </c>
      <c r="U436" s="7">
        <f t="shared" si="36"/>
        <v>1195.4599999999996</v>
      </c>
      <c r="V436">
        <v>1195.46</v>
      </c>
      <c r="W436" s="12">
        <f t="shared" si="37"/>
        <v>0.3662673488771101</v>
      </c>
      <c r="X436" t="s">
        <v>32</v>
      </c>
      <c r="Y436" t="str">
        <f t="shared" si="38"/>
        <v>Paid</v>
      </c>
      <c r="Z436" t="s">
        <v>33</v>
      </c>
      <c r="AA436">
        <f>C436-B436</f>
        <v>-31</v>
      </c>
      <c r="AB436" t="str">
        <f>IF(B436="","Missing Order Date",
IF(C436="","Missing Ship Date","OK"))</f>
        <v>OK</v>
      </c>
      <c r="AC436" s="7" t="str">
        <f>IF(C436&lt;B436, "Invalid", "Valid")</f>
        <v>Invalid</v>
      </c>
      <c r="AD436" s="7" t="str">
        <f>IF(COUNTIF($A:$A, A436)&gt;1, "Duplicate", "Unique")</f>
        <v>Unique</v>
      </c>
      <c r="AE436" s="7" t="str">
        <f>IF(G436="","Unknown",G436)</f>
        <v>North</v>
      </c>
      <c r="AF436" s="7" t="str">
        <f>IF(M436="","Unknown",M436)</f>
        <v>Second Class</v>
      </c>
      <c r="AG436" s="7" t="str">
        <f>IF(P436&lt;0,"Invalid",
IF(P436&gt;1,"Invalid","Valid"))</f>
        <v>Valid</v>
      </c>
      <c r="AH436" s="7" t="str">
        <f>TEXT(B436,"mmmm")</f>
        <v>November</v>
      </c>
      <c r="AI436" s="7">
        <f t="shared" si="39"/>
        <v>2025</v>
      </c>
      <c r="AJ436" s="7" t="str">
        <f>IF(OR(R436&lt;0,C436&lt;B436),"Invalid",
IF(OR(G436="Unknown",M436="Unknown"),"Warning","Clean"))</f>
        <v>Invalid</v>
      </c>
      <c r="AK436" s="7" t="str">
        <f>IF(C436&lt;B436,"Ship Before Order","OK")</f>
        <v>Ship Before Order</v>
      </c>
      <c r="AL436" s="7" t="str">
        <f>IF(ISNUMBER(B436),"Valid","Invalid")</f>
        <v>Valid</v>
      </c>
      <c r="AM436" s="7" t="str">
        <f t="shared" si="40"/>
        <v>Ok</v>
      </c>
      <c r="AN436" s="7" t="str">
        <f t="shared" si="41"/>
        <v>Ok</v>
      </c>
    </row>
    <row r="437" spans="1:40">
      <c r="A437" t="s">
        <v>1407</v>
      </c>
      <c r="B437" s="6">
        <v>45995</v>
      </c>
      <c r="C437" s="4">
        <v>45935</v>
      </c>
      <c r="D437" t="s">
        <v>1408</v>
      </c>
      <c r="E437" t="s">
        <v>264</v>
      </c>
      <c r="F437" t="s">
        <v>95</v>
      </c>
      <c r="G437" t="s">
        <v>25</v>
      </c>
      <c r="H437" t="s">
        <v>350</v>
      </c>
      <c r="I437" t="s">
        <v>351</v>
      </c>
      <c r="J437" t="s">
        <v>74</v>
      </c>
      <c r="K437" t="s">
        <v>274</v>
      </c>
      <c r="L437" t="s">
        <v>1409</v>
      </c>
      <c r="M437" t="s">
        <v>59</v>
      </c>
      <c r="N437">
        <v>1</v>
      </c>
      <c r="O437">
        <v>2737.71</v>
      </c>
      <c r="P437">
        <v>0.15</v>
      </c>
      <c r="Q437" s="7">
        <f>IF(P437="", 0, P437)</f>
        <v>0.15</v>
      </c>
      <c r="R437">
        <v>2327.0500000000002</v>
      </c>
      <c r="S437">
        <v>1919.42</v>
      </c>
      <c r="T437" s="7">
        <f>N437*O437*(1-Q437)</f>
        <v>2327.0535</v>
      </c>
      <c r="U437" s="7">
        <f t="shared" si="36"/>
        <v>407.63349999999991</v>
      </c>
      <c r="V437">
        <v>407.63</v>
      </c>
      <c r="W437" s="12">
        <f t="shared" si="37"/>
        <v>0.17517152055163318</v>
      </c>
      <c r="X437" t="s">
        <v>32</v>
      </c>
      <c r="Y437" t="str">
        <f t="shared" si="38"/>
        <v>Paid</v>
      </c>
      <c r="Z437" t="s">
        <v>68</v>
      </c>
      <c r="AA437">
        <f>C437-B437</f>
        <v>-60</v>
      </c>
      <c r="AB437" t="str">
        <f>IF(B437="","Missing Order Date",
IF(C437="","Missing Ship Date","OK"))</f>
        <v>OK</v>
      </c>
      <c r="AC437" s="7" t="str">
        <f>IF(C437&lt;B437, "Invalid", "Valid")</f>
        <v>Invalid</v>
      </c>
      <c r="AD437" s="7" t="str">
        <f>IF(COUNTIF($A:$A, A437)&gt;1, "Duplicate", "Unique")</f>
        <v>Unique</v>
      </c>
      <c r="AE437" s="7" t="str">
        <f>IF(G437="","Unknown",G437)</f>
        <v>North</v>
      </c>
      <c r="AF437" s="7" t="str">
        <f>IF(M437="","Unknown",M437)</f>
        <v>Standard Class</v>
      </c>
      <c r="AG437" s="7" t="str">
        <f>IF(P437&lt;0,"Invalid",
IF(P437&gt;1,"Invalid","Valid"))</f>
        <v>Valid</v>
      </c>
      <c r="AH437" s="7" t="str">
        <f>TEXT(B437,"mmmm")</f>
        <v>December</v>
      </c>
      <c r="AI437" s="7">
        <f t="shared" si="39"/>
        <v>2025</v>
      </c>
      <c r="AJ437" s="7" t="str">
        <f>IF(OR(R437&lt;0,C437&lt;B437),"Invalid",
IF(OR(G437="Unknown",M437="Unknown"),"Warning","Clean"))</f>
        <v>Invalid</v>
      </c>
      <c r="AK437" s="7" t="str">
        <f>IF(C437&lt;B437,"Ship Before Order","OK")</f>
        <v>Ship Before Order</v>
      </c>
      <c r="AL437" s="7" t="str">
        <f>IF(ISNUMBER(B437),"Valid","Invalid")</f>
        <v>Valid</v>
      </c>
      <c r="AM437" s="7" t="str">
        <f t="shared" si="40"/>
        <v>Missmatched</v>
      </c>
      <c r="AN437" s="7" t="str">
        <f t="shared" si="41"/>
        <v>Missmatched</v>
      </c>
    </row>
    <row r="438" spans="1:40">
      <c r="A438" t="s">
        <v>1410</v>
      </c>
      <c r="B438" s="6">
        <v>45459</v>
      </c>
      <c r="C438" s="4">
        <v>45936</v>
      </c>
      <c r="D438" t="s">
        <v>1411</v>
      </c>
      <c r="E438" t="s">
        <v>79</v>
      </c>
      <c r="F438" t="s">
        <v>24</v>
      </c>
      <c r="G438" t="s">
        <v>54</v>
      </c>
      <c r="H438" t="s">
        <v>185</v>
      </c>
      <c r="I438" t="s">
        <v>186</v>
      </c>
      <c r="J438" t="s">
        <v>41</v>
      </c>
      <c r="K438" t="s">
        <v>57</v>
      </c>
      <c r="L438" t="s">
        <v>1412</v>
      </c>
      <c r="M438" t="s">
        <v>44</v>
      </c>
      <c r="N438">
        <v>6</v>
      </c>
      <c r="O438">
        <v>1156.78</v>
      </c>
      <c r="P438">
        <v>0.05</v>
      </c>
      <c r="Q438" s="7">
        <f>IF(P438="", 0, P438)</f>
        <v>0.05</v>
      </c>
      <c r="R438">
        <v>6593.65</v>
      </c>
      <c r="S438">
        <v>4359.3900000000003</v>
      </c>
      <c r="T438" s="7">
        <f>N438*O438*(1-Q438)</f>
        <v>6593.6459999999997</v>
      </c>
      <c r="U438" s="7">
        <f t="shared" si="36"/>
        <v>2234.2559999999994</v>
      </c>
      <c r="V438">
        <v>2234.2600000000002</v>
      </c>
      <c r="W438" s="12">
        <f t="shared" si="37"/>
        <v>0.33884985636171544</v>
      </c>
      <c r="X438" t="s">
        <v>32</v>
      </c>
      <c r="Y438" t="str">
        <f t="shared" si="38"/>
        <v>Paid</v>
      </c>
      <c r="Z438" t="s">
        <v>103</v>
      </c>
      <c r="AA438">
        <f>C438-B438</f>
        <v>477</v>
      </c>
      <c r="AB438" t="str">
        <f>IF(B438="","Missing Order Date",
IF(C438="","Missing Ship Date","OK"))</f>
        <v>OK</v>
      </c>
      <c r="AC438" s="7" t="str">
        <f>IF(C438&lt;B438, "Invalid", "Valid")</f>
        <v>Valid</v>
      </c>
      <c r="AD438" s="7" t="str">
        <f>IF(COUNTIF($A:$A, A438)&gt;1, "Duplicate", "Unique")</f>
        <v>Unique</v>
      </c>
      <c r="AE438" s="7" t="str">
        <f>IF(G438="","Unknown",G438)</f>
        <v>South</v>
      </c>
      <c r="AF438" s="7" t="str">
        <f>IF(M438="","Unknown",M438)</f>
        <v>Same Day</v>
      </c>
      <c r="AG438" s="7" t="str">
        <f>IF(P438&lt;0,"Invalid",
IF(P438&gt;1,"Invalid","Valid"))</f>
        <v>Valid</v>
      </c>
      <c r="AH438" s="7" t="str">
        <f>TEXT(B438,"mmmm")</f>
        <v>June</v>
      </c>
      <c r="AI438" s="7">
        <f t="shared" si="39"/>
        <v>2024</v>
      </c>
      <c r="AJ438" s="7" t="str">
        <f>IF(OR(R438&lt;0,C438&lt;B438),"Invalid",
IF(OR(G438="Unknown",M438="Unknown"),"Warning","Clean"))</f>
        <v>Clean</v>
      </c>
      <c r="AK438" s="7" t="str">
        <f>IF(C438&lt;B438,"Ship Before Order","OK")</f>
        <v>OK</v>
      </c>
      <c r="AL438" s="7" t="str">
        <f>IF(ISNUMBER(B438),"Valid","Invalid")</f>
        <v>Valid</v>
      </c>
      <c r="AM438" s="7" t="str">
        <f t="shared" si="40"/>
        <v>Missmatched</v>
      </c>
      <c r="AN438" s="7" t="str">
        <f t="shared" si="41"/>
        <v>Missmatched</v>
      </c>
    </row>
    <row r="439" spans="1:40">
      <c r="A439" t="s">
        <v>1413</v>
      </c>
      <c r="B439" s="6">
        <v>45337</v>
      </c>
      <c r="C439" s="4">
        <v>45937</v>
      </c>
      <c r="D439" t="s">
        <v>1414</v>
      </c>
      <c r="E439" t="s">
        <v>89</v>
      </c>
      <c r="F439" t="s">
        <v>37</v>
      </c>
      <c r="G439" t="s">
        <v>54</v>
      </c>
      <c r="H439" t="s">
        <v>185</v>
      </c>
      <c r="I439" t="s">
        <v>186</v>
      </c>
      <c r="J439" t="s">
        <v>74</v>
      </c>
      <c r="K439" t="s">
        <v>75</v>
      </c>
      <c r="L439" t="s">
        <v>1415</v>
      </c>
      <c r="M439" t="s">
        <v>44</v>
      </c>
      <c r="N439">
        <v>8</v>
      </c>
      <c r="O439">
        <v>379.82</v>
      </c>
      <c r="P439">
        <v>0.05</v>
      </c>
      <c r="Q439" s="7">
        <f>IF(P439="", 0, P439)</f>
        <v>0.05</v>
      </c>
      <c r="R439">
        <v>2886.63</v>
      </c>
      <c r="S439">
        <v>1588.23</v>
      </c>
      <c r="T439" s="7">
        <f>N439*O439*(1-Q439)</f>
        <v>2886.6319999999996</v>
      </c>
      <c r="U439" s="7">
        <f t="shared" si="36"/>
        <v>1298.4019999999996</v>
      </c>
      <c r="V439">
        <v>1298.4000000000001</v>
      </c>
      <c r="W439" s="12">
        <f t="shared" si="37"/>
        <v>0.44979824238073984</v>
      </c>
      <c r="X439" t="s">
        <v>155</v>
      </c>
      <c r="Y439" t="str">
        <f t="shared" si="38"/>
        <v>Failed</v>
      </c>
      <c r="Z439" t="s">
        <v>103</v>
      </c>
      <c r="AA439">
        <f>C439-B439</f>
        <v>600</v>
      </c>
      <c r="AB439" t="str">
        <f>IF(B439="","Missing Order Date",
IF(C439="","Missing Ship Date","OK"))</f>
        <v>OK</v>
      </c>
      <c r="AC439" s="7" t="str">
        <f>IF(C439&lt;B439, "Invalid", "Valid")</f>
        <v>Valid</v>
      </c>
      <c r="AD439" s="7" t="str">
        <f>IF(COUNTIF($A:$A, A439)&gt;1, "Duplicate", "Unique")</f>
        <v>Unique</v>
      </c>
      <c r="AE439" s="7" t="str">
        <f>IF(G439="","Unknown",G439)</f>
        <v>South</v>
      </c>
      <c r="AF439" s="7" t="str">
        <f>IF(M439="","Unknown",M439)</f>
        <v>Same Day</v>
      </c>
      <c r="AG439" s="7" t="str">
        <f>IF(P439&lt;0,"Invalid",
IF(P439&gt;1,"Invalid","Valid"))</f>
        <v>Valid</v>
      </c>
      <c r="AH439" s="7" t="str">
        <f>TEXT(B439,"mmmm")</f>
        <v>February</v>
      </c>
      <c r="AI439" s="7">
        <f t="shared" si="39"/>
        <v>2024</v>
      </c>
      <c r="AJ439" s="7" t="str">
        <f>IF(OR(R439&lt;0,C439&lt;B439),"Invalid",
IF(OR(G439="Unknown",M439="Unknown"),"Warning","Clean"))</f>
        <v>Clean</v>
      </c>
      <c r="AK439" s="7" t="str">
        <f>IF(C439&lt;B439,"Ship Before Order","OK")</f>
        <v>OK</v>
      </c>
      <c r="AL439" s="7" t="str">
        <f>IF(ISNUMBER(B439),"Valid","Invalid")</f>
        <v>Valid</v>
      </c>
      <c r="AM439" s="7" t="str">
        <f t="shared" si="40"/>
        <v>Missmatched</v>
      </c>
      <c r="AN439" s="7" t="str">
        <f t="shared" si="41"/>
        <v>Missmatched</v>
      </c>
    </row>
    <row r="440" spans="1:40">
      <c r="A440" t="s">
        <v>1416</v>
      </c>
      <c r="B440" s="6">
        <v>45843</v>
      </c>
      <c r="C440" s="4">
        <v>45938</v>
      </c>
      <c r="D440" t="s">
        <v>1417</v>
      </c>
      <c r="E440" t="s">
        <v>79</v>
      </c>
      <c r="F440" t="s">
        <v>90</v>
      </c>
      <c r="G440" t="s">
        <v>38</v>
      </c>
      <c r="H440" t="s">
        <v>228</v>
      </c>
      <c r="I440" t="s">
        <v>229</v>
      </c>
      <c r="J440" t="s">
        <v>74</v>
      </c>
      <c r="K440" t="s">
        <v>171</v>
      </c>
      <c r="L440" t="s">
        <v>1418</v>
      </c>
      <c r="M440" t="s">
        <v>59</v>
      </c>
      <c r="N440">
        <v>1</v>
      </c>
      <c r="O440">
        <v>2266.4699999999998</v>
      </c>
      <c r="P440">
        <v>0.2</v>
      </c>
      <c r="Q440" s="7">
        <f>IF(P440="", 0, P440)</f>
        <v>0.2</v>
      </c>
      <c r="R440">
        <v>1813.18</v>
      </c>
      <c r="S440">
        <v>1363.64</v>
      </c>
      <c r="T440" s="7">
        <f>N440*O440*(1-Q440)</f>
        <v>1813.1759999999999</v>
      </c>
      <c r="U440" s="7">
        <f t="shared" si="36"/>
        <v>449.53599999999983</v>
      </c>
      <c r="V440">
        <v>449.54</v>
      </c>
      <c r="W440" s="12">
        <f t="shared" si="37"/>
        <v>0.24792739370033567</v>
      </c>
      <c r="X440" t="s">
        <v>32</v>
      </c>
      <c r="Y440" t="str">
        <f t="shared" si="38"/>
        <v>Paid</v>
      </c>
      <c r="Z440" t="s">
        <v>33</v>
      </c>
      <c r="AA440">
        <f>C440-B440</f>
        <v>95</v>
      </c>
      <c r="AB440" t="str">
        <f>IF(B440="","Missing Order Date",
IF(C440="","Missing Ship Date","OK"))</f>
        <v>OK</v>
      </c>
      <c r="AC440" s="7" t="str">
        <f>IF(C440&lt;B440, "Invalid", "Valid")</f>
        <v>Valid</v>
      </c>
      <c r="AD440" s="7" t="str">
        <f>IF(COUNTIF($A:$A, A440)&gt;1, "Duplicate", "Unique")</f>
        <v>Unique</v>
      </c>
      <c r="AE440" s="7" t="str">
        <f>IF(G440="","Unknown",G440)</f>
        <v>East</v>
      </c>
      <c r="AF440" s="7" t="str">
        <f>IF(M440="","Unknown",M440)</f>
        <v>Standard Class</v>
      </c>
      <c r="AG440" s="7" t="str">
        <f>IF(P440&lt;0,"Invalid",
IF(P440&gt;1,"Invalid","Valid"))</f>
        <v>Valid</v>
      </c>
      <c r="AH440" s="7" t="str">
        <f>TEXT(B440,"mmmm")</f>
        <v>July</v>
      </c>
      <c r="AI440" s="7">
        <f t="shared" si="39"/>
        <v>2025</v>
      </c>
      <c r="AJ440" s="7" t="str">
        <f>IF(OR(R440&lt;0,C440&lt;B440),"Invalid",
IF(OR(G440="Unknown",M440="Unknown"),"Warning","Clean"))</f>
        <v>Clean</v>
      </c>
      <c r="AK440" s="7" t="str">
        <f>IF(C440&lt;B440,"Ship Before Order","OK")</f>
        <v>OK</v>
      </c>
      <c r="AL440" s="7" t="str">
        <f>IF(ISNUMBER(B440),"Valid","Invalid")</f>
        <v>Valid</v>
      </c>
      <c r="AM440" s="7" t="str">
        <f t="shared" si="40"/>
        <v>Missmatched</v>
      </c>
      <c r="AN440" s="7" t="str">
        <f t="shared" si="41"/>
        <v>Missmatched</v>
      </c>
    </row>
    <row r="441" spans="1:40">
      <c r="A441" t="s">
        <v>1419</v>
      </c>
      <c r="B441" s="6">
        <v>45838</v>
      </c>
      <c r="C441" s="4">
        <v>45939</v>
      </c>
      <c r="D441" t="s">
        <v>1420</v>
      </c>
      <c r="E441" t="s">
        <v>128</v>
      </c>
      <c r="F441" t="s">
        <v>95</v>
      </c>
      <c r="G441" t="s">
        <v>63</v>
      </c>
      <c r="H441" t="s">
        <v>190</v>
      </c>
      <c r="I441" t="s">
        <v>191</v>
      </c>
      <c r="J441" t="s">
        <v>28</v>
      </c>
      <c r="K441" t="s">
        <v>124</v>
      </c>
      <c r="L441" t="s">
        <v>1421</v>
      </c>
      <c r="M441" t="s">
        <v>44</v>
      </c>
      <c r="N441">
        <v>5</v>
      </c>
      <c r="O441">
        <v>665.25</v>
      </c>
      <c r="P441">
        <v>0</v>
      </c>
      <c r="Q441" s="7">
        <f>IF(P441="", 0, P441)</f>
        <v>0</v>
      </c>
      <c r="R441">
        <v>3326.25</v>
      </c>
      <c r="S441">
        <v>2689.36</v>
      </c>
      <c r="T441" s="7">
        <f>N441*O441*(1-Q441)</f>
        <v>3326.25</v>
      </c>
      <c r="U441" s="7">
        <f t="shared" si="36"/>
        <v>636.88999999999987</v>
      </c>
      <c r="V441">
        <v>636.89</v>
      </c>
      <c r="W441" s="12">
        <f t="shared" si="37"/>
        <v>0.19147388199924836</v>
      </c>
      <c r="X441" t="s">
        <v>102</v>
      </c>
      <c r="Y441" t="str">
        <f t="shared" si="38"/>
        <v>Refunded</v>
      </c>
      <c r="Z441" t="s">
        <v>103</v>
      </c>
      <c r="AA441">
        <f>C441-B441</f>
        <v>101</v>
      </c>
      <c r="AB441" t="str">
        <f>IF(B441="","Missing Order Date",
IF(C441="","Missing Ship Date","OK"))</f>
        <v>OK</v>
      </c>
      <c r="AC441" s="7" t="str">
        <f>IF(C441&lt;B441, "Invalid", "Valid")</f>
        <v>Valid</v>
      </c>
      <c r="AD441" s="7" t="str">
        <f>IF(COUNTIF($A:$A, A441)&gt;1, "Duplicate", "Unique")</f>
        <v>Unique</v>
      </c>
      <c r="AE441" s="7" t="str">
        <f>IF(G441="","Unknown",G441)</f>
        <v>West</v>
      </c>
      <c r="AF441" s="7" t="str">
        <f>IF(M441="","Unknown",M441)</f>
        <v>Same Day</v>
      </c>
      <c r="AG441" s="7" t="str">
        <f>IF(P441&lt;0,"Invalid",
IF(P441&gt;1,"Invalid","Valid"))</f>
        <v>Valid</v>
      </c>
      <c r="AH441" s="7" t="str">
        <f>TEXT(B441,"mmmm")</f>
        <v>June</v>
      </c>
      <c r="AI441" s="7">
        <f t="shared" si="39"/>
        <v>2025</v>
      </c>
      <c r="AJ441" s="7" t="str">
        <f>IF(OR(R441&lt;0,C441&lt;B441),"Invalid",
IF(OR(G441="Unknown",M441="Unknown"),"Warning","Clean"))</f>
        <v>Clean</v>
      </c>
      <c r="AK441" s="7" t="str">
        <f>IF(C441&lt;B441,"Ship Before Order","OK")</f>
        <v>OK</v>
      </c>
      <c r="AL441" s="7" t="str">
        <f>IF(ISNUMBER(B441),"Valid","Invalid")</f>
        <v>Valid</v>
      </c>
      <c r="AM441" s="7" t="str">
        <f t="shared" si="40"/>
        <v>Ok</v>
      </c>
      <c r="AN441" s="7" t="str">
        <f t="shared" si="41"/>
        <v>Ok</v>
      </c>
    </row>
    <row r="442" spans="1:40">
      <c r="A442" t="s">
        <v>1422</v>
      </c>
      <c r="B442" s="6">
        <v>45326</v>
      </c>
      <c r="C442" s="4">
        <v>45940</v>
      </c>
      <c r="D442" t="s">
        <v>270</v>
      </c>
      <c r="E442" t="s">
        <v>71</v>
      </c>
      <c r="F442" t="s">
        <v>90</v>
      </c>
      <c r="G442" t="s">
        <v>38</v>
      </c>
      <c r="H442" t="s">
        <v>39</v>
      </c>
      <c r="I442" t="s">
        <v>40</v>
      </c>
      <c r="J442" t="s">
        <v>74</v>
      </c>
      <c r="K442" t="s">
        <v>274</v>
      </c>
      <c r="L442" t="s">
        <v>1423</v>
      </c>
      <c r="M442" t="s">
        <v>31</v>
      </c>
      <c r="N442">
        <v>6</v>
      </c>
      <c r="O442">
        <v>3722.84</v>
      </c>
      <c r="P442">
        <v>0.2</v>
      </c>
      <c r="Q442" s="7">
        <f>IF(P442="", 0, P442)</f>
        <v>0.2</v>
      </c>
      <c r="R442">
        <v>17869.63</v>
      </c>
      <c r="S442">
        <v>12163.8</v>
      </c>
      <c r="T442" s="7">
        <f>N442*O442*(1-Q442)</f>
        <v>17869.632000000001</v>
      </c>
      <c r="U442" s="7">
        <f t="shared" si="36"/>
        <v>5705.8320000000022</v>
      </c>
      <c r="V442">
        <v>5705.83</v>
      </c>
      <c r="W442" s="12">
        <f t="shared" si="37"/>
        <v>0.31930327384469931</v>
      </c>
      <c r="X442" t="s">
        <v>32</v>
      </c>
      <c r="Y442" t="str">
        <f t="shared" si="38"/>
        <v>Paid</v>
      </c>
      <c r="Z442" t="s">
        <v>33</v>
      </c>
      <c r="AA442">
        <f>C442-B442</f>
        <v>614</v>
      </c>
      <c r="AB442" t="str">
        <f>IF(B442="","Missing Order Date",
IF(C442="","Missing Ship Date","OK"))</f>
        <v>OK</v>
      </c>
      <c r="AC442" s="7" t="str">
        <f>IF(C442&lt;B442, "Invalid", "Valid")</f>
        <v>Valid</v>
      </c>
      <c r="AD442" s="7" t="str">
        <f>IF(COUNTIF($A:$A, A442)&gt;1, "Duplicate", "Unique")</f>
        <v>Unique</v>
      </c>
      <c r="AE442" s="7" t="str">
        <f>IF(G442="","Unknown",G442)</f>
        <v>East</v>
      </c>
      <c r="AF442" s="7" t="str">
        <f>IF(M442="","Unknown",M442)</f>
        <v>Second Class</v>
      </c>
      <c r="AG442" s="7" t="str">
        <f>IF(P442&lt;0,"Invalid",
IF(P442&gt;1,"Invalid","Valid"))</f>
        <v>Valid</v>
      </c>
      <c r="AH442" s="7" t="str">
        <f>TEXT(B442,"mmmm")</f>
        <v>February</v>
      </c>
      <c r="AI442" s="7">
        <f t="shared" si="39"/>
        <v>2024</v>
      </c>
      <c r="AJ442" s="7" t="str">
        <f>IF(OR(R442&lt;0,C442&lt;B442),"Invalid",
IF(OR(G442="Unknown",M442="Unknown"),"Warning","Clean"))</f>
        <v>Clean</v>
      </c>
      <c r="AK442" s="7" t="str">
        <f>IF(C442&lt;B442,"Ship Before Order","OK")</f>
        <v>OK</v>
      </c>
      <c r="AL442" s="7" t="str">
        <f>IF(ISNUMBER(B442),"Valid","Invalid")</f>
        <v>Valid</v>
      </c>
      <c r="AM442" s="7" t="str">
        <f t="shared" si="40"/>
        <v>Missmatched</v>
      </c>
      <c r="AN442" s="7" t="str">
        <f t="shared" si="41"/>
        <v>Missmatched</v>
      </c>
    </row>
    <row r="443" spans="1:40">
      <c r="A443" t="s">
        <v>1424</v>
      </c>
      <c r="B443" s="6">
        <v>45568</v>
      </c>
      <c r="C443" s="4">
        <v>45941</v>
      </c>
      <c r="D443" t="s">
        <v>1425</v>
      </c>
      <c r="E443" t="s">
        <v>23</v>
      </c>
      <c r="F443" t="s">
        <v>24</v>
      </c>
      <c r="G443" t="s">
        <v>38</v>
      </c>
      <c r="H443" t="s">
        <v>145</v>
      </c>
      <c r="I443" t="s">
        <v>146</v>
      </c>
      <c r="J443" t="s">
        <v>41</v>
      </c>
      <c r="K443" t="s">
        <v>158</v>
      </c>
      <c r="L443" t="s">
        <v>1426</v>
      </c>
      <c r="M443" t="s">
        <v>59</v>
      </c>
      <c r="N443">
        <v>6</v>
      </c>
      <c r="O443">
        <v>4217.49</v>
      </c>
      <c r="P443">
        <v>0</v>
      </c>
      <c r="Q443" s="7">
        <f>IF(P443="", 0, P443)</f>
        <v>0</v>
      </c>
      <c r="R443">
        <v>25304.94</v>
      </c>
      <c r="S443">
        <v>20771.95</v>
      </c>
      <c r="T443" s="7">
        <f>N443*O443*(1-Q443)</f>
        <v>25304.94</v>
      </c>
      <c r="U443" s="7">
        <f t="shared" si="36"/>
        <v>4532.989999999998</v>
      </c>
      <c r="V443">
        <v>4532.99</v>
      </c>
      <c r="W443" s="12">
        <f t="shared" si="37"/>
        <v>0.17913458795002077</v>
      </c>
      <c r="X443" t="s">
        <v>32</v>
      </c>
      <c r="Y443" t="str">
        <f t="shared" si="38"/>
        <v>Paid</v>
      </c>
      <c r="Z443" t="s">
        <v>68</v>
      </c>
      <c r="AA443">
        <f>C443-B443</f>
        <v>373</v>
      </c>
      <c r="AB443" t="str">
        <f>IF(B443="","Missing Order Date",
IF(C443="","Missing Ship Date","OK"))</f>
        <v>OK</v>
      </c>
      <c r="AC443" s="7" t="str">
        <f>IF(C443&lt;B443, "Invalid", "Valid")</f>
        <v>Valid</v>
      </c>
      <c r="AD443" s="7" t="str">
        <f>IF(COUNTIF($A:$A, A443)&gt;1, "Duplicate", "Unique")</f>
        <v>Unique</v>
      </c>
      <c r="AE443" s="7" t="str">
        <f>IF(G443="","Unknown",G443)</f>
        <v>East</v>
      </c>
      <c r="AF443" s="7" t="str">
        <f>IF(M443="","Unknown",M443)</f>
        <v>Standard Class</v>
      </c>
      <c r="AG443" s="7" t="str">
        <f>IF(P443&lt;0,"Invalid",
IF(P443&gt;1,"Invalid","Valid"))</f>
        <v>Valid</v>
      </c>
      <c r="AH443" s="7" t="str">
        <f>TEXT(B443,"mmmm")</f>
        <v>October</v>
      </c>
      <c r="AI443" s="7">
        <f t="shared" si="39"/>
        <v>2024</v>
      </c>
      <c r="AJ443" s="7" t="str">
        <f>IF(OR(R443&lt;0,C443&lt;B443),"Invalid",
IF(OR(G443="Unknown",M443="Unknown"),"Warning","Clean"))</f>
        <v>Clean</v>
      </c>
      <c r="AK443" s="7" t="str">
        <f>IF(C443&lt;B443,"Ship Before Order","OK")</f>
        <v>OK</v>
      </c>
      <c r="AL443" s="7" t="str">
        <f>IF(ISNUMBER(B443),"Valid","Invalid")</f>
        <v>Valid</v>
      </c>
      <c r="AM443" s="7" t="str">
        <f t="shared" si="40"/>
        <v>Ok</v>
      </c>
      <c r="AN443" s="7" t="str">
        <f t="shared" si="41"/>
        <v>Ok</v>
      </c>
    </row>
    <row r="444" spans="1:40">
      <c r="A444" t="s">
        <v>1427</v>
      </c>
      <c r="B444" s="6">
        <v>45992</v>
      </c>
      <c r="C444" s="4">
        <v>45942</v>
      </c>
      <c r="D444" t="s">
        <v>1428</v>
      </c>
      <c r="E444" t="s">
        <v>128</v>
      </c>
      <c r="F444" t="s">
        <v>24</v>
      </c>
      <c r="G444" t="s">
        <v>38</v>
      </c>
      <c r="H444" t="s">
        <v>228</v>
      </c>
      <c r="I444" t="s">
        <v>229</v>
      </c>
      <c r="J444" t="s">
        <v>41</v>
      </c>
      <c r="K444" t="s">
        <v>42</v>
      </c>
      <c r="L444" t="s">
        <v>1429</v>
      </c>
      <c r="M444" t="s">
        <v>50</v>
      </c>
      <c r="N444">
        <v>1</v>
      </c>
      <c r="O444">
        <v>1842.31</v>
      </c>
      <c r="P444">
        <v>0</v>
      </c>
      <c r="Q444" s="7">
        <f>IF(P444="", 0, P444)</f>
        <v>0</v>
      </c>
      <c r="R444">
        <v>1842.31</v>
      </c>
      <c r="S444">
        <v>1019.17</v>
      </c>
      <c r="T444" s="7">
        <f>N444*O444*(1-Q444)</f>
        <v>1842.31</v>
      </c>
      <c r="U444" s="7">
        <f t="shared" si="36"/>
        <v>823.14</v>
      </c>
      <c r="V444">
        <v>823.14</v>
      </c>
      <c r="W444" s="12">
        <f t="shared" si="37"/>
        <v>0.44679777019068451</v>
      </c>
      <c r="X444" t="s">
        <v>32</v>
      </c>
      <c r="Y444" t="str">
        <f t="shared" si="38"/>
        <v>Paid</v>
      </c>
      <c r="Z444" t="s">
        <v>33</v>
      </c>
      <c r="AA444">
        <f>C444-B444</f>
        <v>-50</v>
      </c>
      <c r="AB444" t="str">
        <f>IF(B444="","Missing Order Date",
IF(C444="","Missing Ship Date","OK"))</f>
        <v>OK</v>
      </c>
      <c r="AC444" s="7" t="str">
        <f>IF(C444&lt;B444, "Invalid", "Valid")</f>
        <v>Invalid</v>
      </c>
      <c r="AD444" s="7" t="str">
        <f>IF(COUNTIF($A:$A, A444)&gt;1, "Duplicate", "Unique")</f>
        <v>Unique</v>
      </c>
      <c r="AE444" s="7" t="str">
        <f>IF(G444="","Unknown",G444)</f>
        <v>East</v>
      </c>
      <c r="AF444" s="7" t="str">
        <f>IF(M444="","Unknown",M444)</f>
        <v>First Class</v>
      </c>
      <c r="AG444" s="7" t="str">
        <f>IF(P444&lt;0,"Invalid",
IF(P444&gt;1,"Invalid","Valid"))</f>
        <v>Valid</v>
      </c>
      <c r="AH444" s="7" t="str">
        <f>TEXT(B444,"mmmm")</f>
        <v>December</v>
      </c>
      <c r="AI444" s="7">
        <f t="shared" si="39"/>
        <v>2025</v>
      </c>
      <c r="AJ444" s="7" t="str">
        <f>IF(OR(R444&lt;0,C444&lt;B444),"Invalid",
IF(OR(G444="Unknown",M444="Unknown"),"Warning","Clean"))</f>
        <v>Invalid</v>
      </c>
      <c r="AK444" s="7" t="str">
        <f>IF(C444&lt;B444,"Ship Before Order","OK")</f>
        <v>Ship Before Order</v>
      </c>
      <c r="AL444" s="7" t="str">
        <f>IF(ISNUMBER(B444),"Valid","Invalid")</f>
        <v>Valid</v>
      </c>
      <c r="AM444" s="7" t="str">
        <f t="shared" si="40"/>
        <v>Ok</v>
      </c>
      <c r="AN444" s="7" t="str">
        <f t="shared" si="41"/>
        <v>Ok</v>
      </c>
    </row>
    <row r="445" spans="1:40">
      <c r="A445" t="s">
        <v>1430</v>
      </c>
      <c r="B445" s="6">
        <v>45386</v>
      </c>
      <c r="C445" s="4">
        <v>45943</v>
      </c>
      <c r="D445" t="s">
        <v>1431</v>
      </c>
      <c r="E445" t="s">
        <v>141</v>
      </c>
      <c r="F445" t="s">
        <v>95</v>
      </c>
      <c r="G445" t="s">
        <v>38</v>
      </c>
      <c r="H445" t="s">
        <v>39</v>
      </c>
      <c r="I445" t="s">
        <v>40</v>
      </c>
      <c r="J445" t="s">
        <v>41</v>
      </c>
      <c r="K445" t="s">
        <v>57</v>
      </c>
      <c r="L445" t="s">
        <v>1432</v>
      </c>
      <c r="M445" t="s">
        <v>50</v>
      </c>
      <c r="N445">
        <v>1</v>
      </c>
      <c r="O445">
        <v>3683.75</v>
      </c>
      <c r="P445">
        <v>0.1</v>
      </c>
      <c r="Q445" s="7">
        <f>IF(P445="", 0, P445)</f>
        <v>0.1</v>
      </c>
      <c r="R445">
        <v>3315.38</v>
      </c>
      <c r="S445">
        <v>2347.6799999999998</v>
      </c>
      <c r="T445" s="7">
        <f>N445*O445*(1-Q445)</f>
        <v>3315.375</v>
      </c>
      <c r="U445" s="7">
        <f t="shared" si="36"/>
        <v>967.69500000000016</v>
      </c>
      <c r="V445">
        <v>967.7</v>
      </c>
      <c r="W445" s="12">
        <f t="shared" si="37"/>
        <v>0.29188100893564084</v>
      </c>
      <c r="X445" t="s">
        <v>32</v>
      </c>
      <c r="Y445" t="str">
        <f t="shared" si="38"/>
        <v>Paid</v>
      </c>
      <c r="Z445" t="s">
        <v>33</v>
      </c>
      <c r="AA445">
        <f>C445-B445</f>
        <v>557</v>
      </c>
      <c r="AB445" t="str">
        <f>IF(B445="","Missing Order Date",
IF(C445="","Missing Ship Date","OK"))</f>
        <v>OK</v>
      </c>
      <c r="AC445" s="7" t="str">
        <f>IF(C445&lt;B445, "Invalid", "Valid")</f>
        <v>Valid</v>
      </c>
      <c r="AD445" s="7" t="str">
        <f>IF(COUNTIF($A:$A, A445)&gt;1, "Duplicate", "Unique")</f>
        <v>Unique</v>
      </c>
      <c r="AE445" s="7" t="str">
        <f>IF(G445="","Unknown",G445)</f>
        <v>East</v>
      </c>
      <c r="AF445" s="7" t="str">
        <f>IF(M445="","Unknown",M445)</f>
        <v>First Class</v>
      </c>
      <c r="AG445" s="7" t="str">
        <f>IF(P445&lt;0,"Invalid",
IF(P445&gt;1,"Invalid","Valid"))</f>
        <v>Valid</v>
      </c>
      <c r="AH445" s="7" t="str">
        <f>TEXT(B445,"mmmm")</f>
        <v>April</v>
      </c>
      <c r="AI445" s="7">
        <f t="shared" si="39"/>
        <v>2024</v>
      </c>
      <c r="AJ445" s="7" t="str">
        <f>IF(OR(R445&lt;0,C445&lt;B445),"Invalid",
IF(OR(G445="Unknown",M445="Unknown"),"Warning","Clean"))</f>
        <v>Clean</v>
      </c>
      <c r="AK445" s="7" t="str">
        <f>IF(C445&lt;B445,"Ship Before Order","OK")</f>
        <v>OK</v>
      </c>
      <c r="AL445" s="7" t="str">
        <f>IF(ISNUMBER(B445),"Valid","Invalid")</f>
        <v>Valid</v>
      </c>
      <c r="AM445" s="7" t="str">
        <f t="shared" si="40"/>
        <v>Missmatched</v>
      </c>
      <c r="AN445" s="7" t="str">
        <f t="shared" si="41"/>
        <v>Missmatched</v>
      </c>
    </row>
    <row r="446" spans="1:40">
      <c r="A446" t="s">
        <v>1433</v>
      </c>
      <c r="B446" s="6">
        <v>45999</v>
      </c>
      <c r="C446" s="4">
        <v>45944</v>
      </c>
      <c r="D446" t="s">
        <v>1434</v>
      </c>
      <c r="E446" t="s">
        <v>62</v>
      </c>
      <c r="F446" t="s">
        <v>24</v>
      </c>
      <c r="G446" t="s">
        <v>38</v>
      </c>
      <c r="H446" t="s">
        <v>166</v>
      </c>
      <c r="I446" t="s">
        <v>167</v>
      </c>
      <c r="J446" t="s">
        <v>74</v>
      </c>
      <c r="K446" t="s">
        <v>75</v>
      </c>
      <c r="L446" t="s">
        <v>1435</v>
      </c>
      <c r="M446" t="s">
        <v>44</v>
      </c>
      <c r="N446">
        <v>9</v>
      </c>
      <c r="O446">
        <v>2379.2399999999998</v>
      </c>
      <c r="P446">
        <v>0.05</v>
      </c>
      <c r="Q446" s="7">
        <f>IF(P446="", 0, P446)</f>
        <v>0.05</v>
      </c>
      <c r="R446">
        <v>20342.5</v>
      </c>
      <c r="S446">
        <v>12407.51</v>
      </c>
      <c r="T446" s="7">
        <f>N446*O446*(1-Q446)</f>
        <v>20342.501999999997</v>
      </c>
      <c r="U446" s="7">
        <f t="shared" si="36"/>
        <v>7934.9919999999966</v>
      </c>
      <c r="V446">
        <v>7934.99</v>
      </c>
      <c r="W446" s="12">
        <f t="shared" si="37"/>
        <v>0.39006961877157481</v>
      </c>
      <c r="X446" t="s">
        <v>32</v>
      </c>
      <c r="Y446" t="str">
        <f t="shared" si="38"/>
        <v>Paid</v>
      </c>
      <c r="Z446" t="s">
        <v>33</v>
      </c>
      <c r="AA446">
        <f>C446-B446</f>
        <v>-55</v>
      </c>
      <c r="AB446" t="str">
        <f>IF(B446="","Missing Order Date",
IF(C446="","Missing Ship Date","OK"))</f>
        <v>OK</v>
      </c>
      <c r="AC446" s="7" t="str">
        <f>IF(C446&lt;B446, "Invalid", "Valid")</f>
        <v>Invalid</v>
      </c>
      <c r="AD446" s="7" t="str">
        <f>IF(COUNTIF($A:$A, A446)&gt;1, "Duplicate", "Unique")</f>
        <v>Unique</v>
      </c>
      <c r="AE446" s="7" t="str">
        <f>IF(G446="","Unknown",G446)</f>
        <v>East</v>
      </c>
      <c r="AF446" s="7" t="str">
        <f>IF(M446="","Unknown",M446)</f>
        <v>Same Day</v>
      </c>
      <c r="AG446" s="7" t="str">
        <f>IF(P446&lt;0,"Invalid",
IF(P446&gt;1,"Invalid","Valid"))</f>
        <v>Valid</v>
      </c>
      <c r="AH446" s="7" t="str">
        <f>TEXT(B446,"mmmm")</f>
        <v>December</v>
      </c>
      <c r="AI446" s="7">
        <f t="shared" si="39"/>
        <v>2025</v>
      </c>
      <c r="AJ446" s="7" t="str">
        <f>IF(OR(R446&lt;0,C446&lt;B446),"Invalid",
IF(OR(G446="Unknown",M446="Unknown"),"Warning","Clean"))</f>
        <v>Invalid</v>
      </c>
      <c r="AK446" s="7" t="str">
        <f>IF(C446&lt;B446,"Ship Before Order","OK")</f>
        <v>Ship Before Order</v>
      </c>
      <c r="AL446" s="7" t="str">
        <f>IF(ISNUMBER(B446),"Valid","Invalid")</f>
        <v>Valid</v>
      </c>
      <c r="AM446" s="7" t="str">
        <f t="shared" si="40"/>
        <v>Missmatched</v>
      </c>
      <c r="AN446" s="7" t="str">
        <f t="shared" si="41"/>
        <v>Missmatched</v>
      </c>
    </row>
    <row r="447" spans="1:40">
      <c r="A447" t="s">
        <v>1436</v>
      </c>
      <c r="B447" s="6">
        <v>45540</v>
      </c>
      <c r="C447" s="4">
        <v>45945</v>
      </c>
      <c r="D447" t="s">
        <v>1437</v>
      </c>
      <c r="E447" t="s">
        <v>53</v>
      </c>
      <c r="F447" t="s">
        <v>24</v>
      </c>
      <c r="G447" t="s">
        <v>38</v>
      </c>
      <c r="H447" t="s">
        <v>166</v>
      </c>
      <c r="I447" t="s">
        <v>167</v>
      </c>
      <c r="J447" t="s">
        <v>41</v>
      </c>
      <c r="K447" t="s">
        <v>158</v>
      </c>
      <c r="L447" t="s">
        <v>1438</v>
      </c>
      <c r="M447" t="s">
        <v>44</v>
      </c>
      <c r="N447">
        <v>2</v>
      </c>
      <c r="O447">
        <v>2111.23</v>
      </c>
      <c r="P447">
        <v>0.2</v>
      </c>
      <c r="Q447" s="7">
        <f>IF(P447="", 0, P447)</f>
        <v>0.2</v>
      </c>
      <c r="R447">
        <v>3377.97</v>
      </c>
      <c r="S447">
        <v>2496.29</v>
      </c>
      <c r="T447" s="7">
        <f>N447*O447*(1-Q447)</f>
        <v>3377.9680000000003</v>
      </c>
      <c r="U447" s="7">
        <f t="shared" si="36"/>
        <v>881.67800000000034</v>
      </c>
      <c r="V447">
        <v>881.68</v>
      </c>
      <c r="W447" s="12">
        <f t="shared" si="37"/>
        <v>0.26100839321154029</v>
      </c>
      <c r="X447" t="s">
        <v>32</v>
      </c>
      <c r="Y447" t="str">
        <f t="shared" si="38"/>
        <v>Paid</v>
      </c>
      <c r="Z447" t="s">
        <v>33</v>
      </c>
      <c r="AA447">
        <f>C447-B447</f>
        <v>405</v>
      </c>
      <c r="AB447" t="str">
        <f>IF(B447="","Missing Order Date",
IF(C447="","Missing Ship Date","OK"))</f>
        <v>OK</v>
      </c>
      <c r="AC447" s="7" t="str">
        <f>IF(C447&lt;B447, "Invalid", "Valid")</f>
        <v>Valid</v>
      </c>
      <c r="AD447" s="7" t="str">
        <f>IF(COUNTIF($A:$A, A447)&gt;1, "Duplicate", "Unique")</f>
        <v>Unique</v>
      </c>
      <c r="AE447" s="7" t="str">
        <f>IF(G447="","Unknown",G447)</f>
        <v>East</v>
      </c>
      <c r="AF447" s="7" t="str">
        <f>IF(M447="","Unknown",M447)</f>
        <v>Same Day</v>
      </c>
      <c r="AG447" s="7" t="str">
        <f>IF(P447&lt;0,"Invalid",
IF(P447&gt;1,"Invalid","Valid"))</f>
        <v>Valid</v>
      </c>
      <c r="AH447" s="7" t="str">
        <f>TEXT(B447,"mmmm")</f>
        <v>September</v>
      </c>
      <c r="AI447" s="7">
        <f t="shared" si="39"/>
        <v>2024</v>
      </c>
      <c r="AJ447" s="7" t="str">
        <f>IF(OR(R447&lt;0,C447&lt;B447),"Invalid",
IF(OR(G447="Unknown",M447="Unknown"),"Warning","Clean"))</f>
        <v>Clean</v>
      </c>
      <c r="AK447" s="7" t="str">
        <f>IF(C447&lt;B447,"Ship Before Order","OK")</f>
        <v>OK</v>
      </c>
      <c r="AL447" s="7" t="str">
        <f>IF(ISNUMBER(B447),"Valid","Invalid")</f>
        <v>Valid</v>
      </c>
      <c r="AM447" s="7" t="str">
        <f t="shared" si="40"/>
        <v>Missmatched</v>
      </c>
      <c r="AN447" s="7" t="str">
        <f t="shared" si="41"/>
        <v>Missmatched</v>
      </c>
    </row>
    <row r="448" spans="1:40">
      <c r="A448" t="s">
        <v>1439</v>
      </c>
      <c r="B448" s="6">
        <v>45918</v>
      </c>
      <c r="C448" s="4">
        <v>45946</v>
      </c>
      <c r="D448" t="s">
        <v>1440</v>
      </c>
      <c r="E448" t="s">
        <v>132</v>
      </c>
      <c r="F448" t="s">
        <v>95</v>
      </c>
      <c r="G448" t="s">
        <v>54</v>
      </c>
      <c r="H448" t="s">
        <v>84</v>
      </c>
      <c r="I448" t="s">
        <v>85</v>
      </c>
      <c r="J448" t="s">
        <v>28</v>
      </c>
      <c r="K448" t="s">
        <v>124</v>
      </c>
      <c r="L448" t="s">
        <v>1441</v>
      </c>
      <c r="M448" t="s">
        <v>44</v>
      </c>
      <c r="N448">
        <v>8</v>
      </c>
      <c r="O448">
        <v>4242.51</v>
      </c>
      <c r="P448">
        <v>0</v>
      </c>
      <c r="Q448" s="7">
        <f>IF(P448="", 0, P448)</f>
        <v>0</v>
      </c>
      <c r="R448">
        <v>33940.080000000002</v>
      </c>
      <c r="S448">
        <v>23754.19</v>
      </c>
      <c r="T448" s="7">
        <f>N448*O448*(1-Q448)</f>
        <v>33940.080000000002</v>
      </c>
      <c r="U448" s="7">
        <f t="shared" si="36"/>
        <v>10185.890000000003</v>
      </c>
      <c r="V448">
        <v>10185.89</v>
      </c>
      <c r="W448" s="12">
        <f t="shared" si="37"/>
        <v>0.30011390662603044</v>
      </c>
      <c r="X448" t="s">
        <v>32</v>
      </c>
      <c r="Y448" t="str">
        <f t="shared" si="38"/>
        <v>Paid</v>
      </c>
      <c r="Z448" t="s">
        <v>33</v>
      </c>
      <c r="AA448">
        <f>C448-B448</f>
        <v>28</v>
      </c>
      <c r="AB448" t="str">
        <f>IF(B448="","Missing Order Date",
IF(C448="","Missing Ship Date","OK"))</f>
        <v>OK</v>
      </c>
      <c r="AC448" s="7" t="str">
        <f>IF(C448&lt;B448, "Invalid", "Valid")</f>
        <v>Valid</v>
      </c>
      <c r="AD448" s="7" t="str">
        <f>IF(COUNTIF($A:$A, A448)&gt;1, "Duplicate", "Unique")</f>
        <v>Unique</v>
      </c>
      <c r="AE448" s="7" t="str">
        <f>IF(G448="","Unknown",G448)</f>
        <v>South</v>
      </c>
      <c r="AF448" s="7" t="str">
        <f>IF(M448="","Unknown",M448)</f>
        <v>Same Day</v>
      </c>
      <c r="AG448" s="7" t="str">
        <f>IF(P448&lt;0,"Invalid",
IF(P448&gt;1,"Invalid","Valid"))</f>
        <v>Valid</v>
      </c>
      <c r="AH448" s="7" t="str">
        <f>TEXT(B448,"mmmm")</f>
        <v>September</v>
      </c>
      <c r="AI448" s="7">
        <f t="shared" si="39"/>
        <v>2025</v>
      </c>
      <c r="AJ448" s="7" t="str">
        <f>IF(OR(R448&lt;0,C448&lt;B448),"Invalid",
IF(OR(G448="Unknown",M448="Unknown"),"Warning","Clean"))</f>
        <v>Clean</v>
      </c>
      <c r="AK448" s="7" t="str">
        <f>IF(C448&lt;B448,"Ship Before Order","OK")</f>
        <v>OK</v>
      </c>
      <c r="AL448" s="7" t="str">
        <f>IF(ISNUMBER(B448),"Valid","Invalid")</f>
        <v>Valid</v>
      </c>
      <c r="AM448" s="7" t="str">
        <f t="shared" si="40"/>
        <v>Ok</v>
      </c>
      <c r="AN448" s="7" t="str">
        <f t="shared" si="41"/>
        <v>Ok</v>
      </c>
    </row>
    <row r="449" spans="1:40">
      <c r="A449" t="s">
        <v>1442</v>
      </c>
      <c r="B449" s="6">
        <v>45879</v>
      </c>
      <c r="C449" s="4">
        <v>45947</v>
      </c>
      <c r="D449" t="s">
        <v>1443</v>
      </c>
      <c r="E449" t="s">
        <v>141</v>
      </c>
      <c r="F449" t="s">
        <v>95</v>
      </c>
      <c r="G449" t="s">
        <v>54</v>
      </c>
      <c r="H449" t="s">
        <v>55</v>
      </c>
      <c r="I449" t="s">
        <v>56</v>
      </c>
      <c r="J449" t="s">
        <v>41</v>
      </c>
      <c r="K449" t="s">
        <v>158</v>
      </c>
      <c r="L449" t="s">
        <v>1444</v>
      </c>
      <c r="M449" t="s">
        <v>59</v>
      </c>
      <c r="N449">
        <v>6</v>
      </c>
      <c r="O449">
        <v>4288.7</v>
      </c>
      <c r="P449">
        <v>0.15</v>
      </c>
      <c r="Q449" s="7">
        <f>IF(P449="", 0, P449)</f>
        <v>0.15</v>
      </c>
      <c r="R449">
        <v>21872.37</v>
      </c>
      <c r="S449">
        <v>13829.5</v>
      </c>
      <c r="T449" s="7">
        <f>N449*O449*(1-Q449)</f>
        <v>21872.369999999995</v>
      </c>
      <c r="U449" s="7">
        <f t="shared" si="36"/>
        <v>8042.8699999999953</v>
      </c>
      <c r="V449">
        <v>8042.87</v>
      </c>
      <c r="W449" s="12">
        <f t="shared" si="37"/>
        <v>0.36771826738483288</v>
      </c>
      <c r="X449" t="s">
        <v>111</v>
      </c>
      <c r="Y449" t="str">
        <f t="shared" si="38"/>
        <v>Pending</v>
      </c>
      <c r="Z449" t="s">
        <v>103</v>
      </c>
      <c r="AA449">
        <f>C449-B449</f>
        <v>68</v>
      </c>
      <c r="AB449" t="str">
        <f>IF(B449="","Missing Order Date",
IF(C449="","Missing Ship Date","OK"))</f>
        <v>OK</v>
      </c>
      <c r="AC449" s="7" t="str">
        <f>IF(C449&lt;B449, "Invalid", "Valid")</f>
        <v>Valid</v>
      </c>
      <c r="AD449" s="7" t="str">
        <f>IF(COUNTIF($A:$A, A449)&gt;1, "Duplicate", "Unique")</f>
        <v>Unique</v>
      </c>
      <c r="AE449" s="7" t="str">
        <f>IF(G449="","Unknown",G449)</f>
        <v>South</v>
      </c>
      <c r="AF449" s="7" t="str">
        <f>IF(M449="","Unknown",M449)</f>
        <v>Standard Class</v>
      </c>
      <c r="AG449" s="7" t="str">
        <f>IF(P449&lt;0,"Invalid",
IF(P449&gt;1,"Invalid","Valid"))</f>
        <v>Valid</v>
      </c>
      <c r="AH449" s="7" t="str">
        <f>TEXT(B449,"mmmm")</f>
        <v>August</v>
      </c>
      <c r="AI449" s="7">
        <f t="shared" si="39"/>
        <v>2025</v>
      </c>
      <c r="AJ449" s="7" t="str">
        <f>IF(OR(R449&lt;0,C449&lt;B449),"Invalid",
IF(OR(G449="Unknown",M449="Unknown"),"Warning","Clean"))</f>
        <v>Clean</v>
      </c>
      <c r="AK449" s="7" t="str">
        <f>IF(C449&lt;B449,"Ship Before Order","OK")</f>
        <v>OK</v>
      </c>
      <c r="AL449" s="7" t="str">
        <f>IF(ISNUMBER(B449),"Valid","Invalid")</f>
        <v>Valid</v>
      </c>
      <c r="AM449" s="7" t="str">
        <f t="shared" si="40"/>
        <v>Ok</v>
      </c>
      <c r="AN449" s="7" t="str">
        <f t="shared" si="41"/>
        <v>Ok</v>
      </c>
    </row>
    <row r="450" spans="1:40">
      <c r="A450" t="s">
        <v>1445</v>
      </c>
      <c r="B450" s="6">
        <v>45306</v>
      </c>
      <c r="C450" s="4">
        <v>45948</v>
      </c>
      <c r="D450" t="s">
        <v>1446</v>
      </c>
      <c r="E450" t="s">
        <v>36</v>
      </c>
      <c r="F450" t="s">
        <v>37</v>
      </c>
      <c r="G450" t="s">
        <v>54</v>
      </c>
      <c r="H450" t="s">
        <v>84</v>
      </c>
      <c r="I450" t="s">
        <v>85</v>
      </c>
      <c r="J450" t="s">
        <v>41</v>
      </c>
      <c r="K450" t="s">
        <v>66</v>
      </c>
      <c r="L450" t="s">
        <v>1447</v>
      </c>
      <c r="M450" t="s">
        <v>50</v>
      </c>
      <c r="N450">
        <v>2</v>
      </c>
      <c r="O450">
        <v>201.21</v>
      </c>
      <c r="P450">
        <v>0.15</v>
      </c>
      <c r="Q450" s="7">
        <f>IF(P450="", 0, P450)</f>
        <v>0.15</v>
      </c>
      <c r="R450">
        <v>342.06</v>
      </c>
      <c r="S450">
        <v>244.57</v>
      </c>
      <c r="T450" s="7">
        <f>N450*O450*(1-Q450)</f>
        <v>342.05700000000002</v>
      </c>
      <c r="U450" s="7">
        <f t="shared" ref="U450:U513" si="42">T450-S450</f>
        <v>97.487000000000023</v>
      </c>
      <c r="V450">
        <v>97.49</v>
      </c>
      <c r="W450" s="12">
        <f t="shared" ref="W450:W513" si="43">IF(T450=0,0,U450/T450)</f>
        <v>0.28500220723446684</v>
      </c>
      <c r="X450" t="s">
        <v>32</v>
      </c>
      <c r="Y450" t="str">
        <f t="shared" ref="Y450:Y513" si="44">PROPER(TRIM(X450))</f>
        <v>Paid</v>
      </c>
      <c r="Z450" t="s">
        <v>33</v>
      </c>
      <c r="AA450">
        <f>C450-B450</f>
        <v>642</v>
      </c>
      <c r="AB450" t="str">
        <f>IF(B450="","Missing Order Date",
IF(C450="","Missing Ship Date","OK"))</f>
        <v>OK</v>
      </c>
      <c r="AC450" s="7" t="str">
        <f>IF(C450&lt;B450, "Invalid", "Valid")</f>
        <v>Valid</v>
      </c>
      <c r="AD450" s="7" t="str">
        <f>IF(COUNTIF($A:$A, A450)&gt;1, "Duplicate", "Unique")</f>
        <v>Unique</v>
      </c>
      <c r="AE450" s="7" t="str">
        <f>IF(G450="","Unknown",G450)</f>
        <v>South</v>
      </c>
      <c r="AF450" s="7" t="str">
        <f>IF(M450="","Unknown",M450)</f>
        <v>First Class</v>
      </c>
      <c r="AG450" s="7" t="str">
        <f>IF(P450&lt;0,"Invalid",
IF(P450&gt;1,"Invalid","Valid"))</f>
        <v>Valid</v>
      </c>
      <c r="AH450" s="7" t="str">
        <f>TEXT(B450,"mmmm")</f>
        <v>January</v>
      </c>
      <c r="AI450" s="7">
        <f t="shared" ref="AI450:AI513" si="45">YEAR(B450)</f>
        <v>2024</v>
      </c>
      <c r="AJ450" s="7" t="str">
        <f>IF(OR(R450&lt;0,C450&lt;B450),"Invalid",
IF(OR(G450="Unknown",M450="Unknown"),"Warning","Clean"))</f>
        <v>Clean</v>
      </c>
      <c r="AK450" s="7" t="str">
        <f>IF(C450&lt;B450,"Ship Before Order","OK")</f>
        <v>OK</v>
      </c>
      <c r="AL450" s="7" t="str">
        <f>IF(ISNUMBER(B450),"Valid","Invalid")</f>
        <v>Valid</v>
      </c>
      <c r="AM450" s="7" t="str">
        <f t="shared" ref="AM450:AM513" si="46">IF(R450&lt;&gt;T450, "Missmatched", "Ok")</f>
        <v>Missmatched</v>
      </c>
      <c r="AN450" s="7" t="str">
        <f t="shared" ref="AN450:AN513" si="47">IF(V450&lt;&gt;U450, "Missmatched", "Ok")</f>
        <v>Missmatched</v>
      </c>
    </row>
    <row r="451" spans="1:40">
      <c r="A451" t="s">
        <v>1448</v>
      </c>
      <c r="B451" s="6">
        <v>45449</v>
      </c>
      <c r="C451" s="4">
        <v>45949</v>
      </c>
      <c r="D451" t="s">
        <v>1342</v>
      </c>
      <c r="E451" t="s">
        <v>89</v>
      </c>
      <c r="F451" t="s">
        <v>90</v>
      </c>
      <c r="G451" t="s">
        <v>38</v>
      </c>
      <c r="H451" t="s">
        <v>166</v>
      </c>
      <c r="I451" t="s">
        <v>167</v>
      </c>
      <c r="J451" t="s">
        <v>74</v>
      </c>
      <c r="K451" t="s">
        <v>274</v>
      </c>
      <c r="L451" t="s">
        <v>1449</v>
      </c>
      <c r="M451" t="s">
        <v>31</v>
      </c>
      <c r="N451">
        <v>6</v>
      </c>
      <c r="O451">
        <v>3270.36</v>
      </c>
      <c r="P451">
        <v>0</v>
      </c>
      <c r="Q451" s="7">
        <f>IF(P451="", 0, P451)</f>
        <v>0</v>
      </c>
      <c r="R451">
        <v>19622.16</v>
      </c>
      <c r="S451">
        <v>14271.27</v>
      </c>
      <c r="T451" s="7">
        <f>N451*O451*(1-Q451)</f>
        <v>19622.16</v>
      </c>
      <c r="U451" s="7">
        <f t="shared" si="42"/>
        <v>5350.8899999999994</v>
      </c>
      <c r="V451">
        <v>5350.89</v>
      </c>
      <c r="W451" s="12">
        <f t="shared" si="43"/>
        <v>0.27269627808559299</v>
      </c>
      <c r="X451" t="s">
        <v>32</v>
      </c>
      <c r="Y451" t="str">
        <f t="shared" si="44"/>
        <v>Paid</v>
      </c>
      <c r="Z451" t="s">
        <v>33</v>
      </c>
      <c r="AA451">
        <f>C451-B451</f>
        <v>500</v>
      </c>
      <c r="AB451" t="str">
        <f>IF(B451="","Missing Order Date",
IF(C451="","Missing Ship Date","OK"))</f>
        <v>OK</v>
      </c>
      <c r="AC451" s="7" t="str">
        <f>IF(C451&lt;B451, "Invalid", "Valid")</f>
        <v>Valid</v>
      </c>
      <c r="AD451" s="7" t="str">
        <f>IF(COUNTIF($A:$A, A451)&gt;1, "Duplicate", "Unique")</f>
        <v>Unique</v>
      </c>
      <c r="AE451" s="7" t="str">
        <f>IF(G451="","Unknown",G451)</f>
        <v>East</v>
      </c>
      <c r="AF451" s="7" t="str">
        <f>IF(M451="","Unknown",M451)</f>
        <v>Second Class</v>
      </c>
      <c r="AG451" s="7" t="str">
        <f>IF(P451&lt;0,"Invalid",
IF(P451&gt;1,"Invalid","Valid"))</f>
        <v>Valid</v>
      </c>
      <c r="AH451" s="7" t="str">
        <f>TEXT(B451,"mmmm")</f>
        <v>June</v>
      </c>
      <c r="AI451" s="7">
        <f t="shared" si="45"/>
        <v>2024</v>
      </c>
      <c r="AJ451" s="7" t="str">
        <f>IF(OR(R451&lt;0,C451&lt;B451),"Invalid",
IF(OR(G451="Unknown",M451="Unknown"),"Warning","Clean"))</f>
        <v>Clean</v>
      </c>
      <c r="AK451" s="7" t="str">
        <f>IF(C451&lt;B451,"Ship Before Order","OK")</f>
        <v>OK</v>
      </c>
      <c r="AL451" s="7" t="str">
        <f>IF(ISNUMBER(B451),"Valid","Invalid")</f>
        <v>Valid</v>
      </c>
      <c r="AM451" s="7" t="str">
        <f t="shared" si="46"/>
        <v>Ok</v>
      </c>
      <c r="AN451" s="7" t="str">
        <f t="shared" si="47"/>
        <v>Ok</v>
      </c>
    </row>
    <row r="452" spans="1:40">
      <c r="A452" t="s">
        <v>1450</v>
      </c>
      <c r="B452" s="6">
        <v>45997</v>
      </c>
      <c r="C452" s="4">
        <v>45950</v>
      </c>
      <c r="D452" t="s">
        <v>1451</v>
      </c>
      <c r="E452" t="s">
        <v>62</v>
      </c>
      <c r="F452" t="s">
        <v>90</v>
      </c>
      <c r="G452" t="s">
        <v>25</v>
      </c>
      <c r="H452" t="s">
        <v>350</v>
      </c>
      <c r="I452" t="s">
        <v>351</v>
      </c>
      <c r="J452" t="s">
        <v>41</v>
      </c>
      <c r="K452" t="s">
        <v>66</v>
      </c>
      <c r="L452" t="s">
        <v>1452</v>
      </c>
      <c r="M452" t="s">
        <v>59</v>
      </c>
      <c r="N452">
        <v>9</v>
      </c>
      <c r="O452">
        <v>2278.5700000000002</v>
      </c>
      <c r="P452">
        <v>0.25</v>
      </c>
      <c r="Q452" s="7">
        <f>IF(P452="", 0, P452)</f>
        <v>0.25</v>
      </c>
      <c r="R452">
        <v>15380.35</v>
      </c>
      <c r="S452">
        <v>9907.3700000000008</v>
      </c>
      <c r="T452" s="7">
        <f>N452*O452*(1-Q452)</f>
        <v>15380.3475</v>
      </c>
      <c r="U452" s="7">
        <f t="shared" si="42"/>
        <v>5472.9774999999991</v>
      </c>
      <c r="V452">
        <v>5472.98</v>
      </c>
      <c r="W452" s="12">
        <f t="shared" si="43"/>
        <v>0.35584225258889624</v>
      </c>
      <c r="X452" t="s">
        <v>32</v>
      </c>
      <c r="Y452" t="str">
        <f t="shared" si="44"/>
        <v>Paid</v>
      </c>
      <c r="Z452" t="s">
        <v>33</v>
      </c>
      <c r="AA452">
        <f>C452-B452</f>
        <v>-47</v>
      </c>
      <c r="AB452" t="str">
        <f>IF(B452="","Missing Order Date",
IF(C452="","Missing Ship Date","OK"))</f>
        <v>OK</v>
      </c>
      <c r="AC452" s="7" t="str">
        <f>IF(C452&lt;B452, "Invalid", "Valid")</f>
        <v>Invalid</v>
      </c>
      <c r="AD452" s="7" t="str">
        <f>IF(COUNTIF($A:$A, A452)&gt;1, "Duplicate", "Unique")</f>
        <v>Unique</v>
      </c>
      <c r="AE452" s="7" t="str">
        <f>IF(G452="","Unknown",G452)</f>
        <v>North</v>
      </c>
      <c r="AF452" s="7" t="str">
        <f>IF(M452="","Unknown",M452)</f>
        <v>Standard Class</v>
      </c>
      <c r="AG452" s="7" t="str">
        <f>IF(P452&lt;0,"Invalid",
IF(P452&gt;1,"Invalid","Valid"))</f>
        <v>Valid</v>
      </c>
      <c r="AH452" s="7" t="str">
        <f>TEXT(B452,"mmmm")</f>
        <v>December</v>
      </c>
      <c r="AI452" s="7">
        <f t="shared" si="45"/>
        <v>2025</v>
      </c>
      <c r="AJ452" s="7" t="str">
        <f>IF(OR(R452&lt;0,C452&lt;B452),"Invalid",
IF(OR(G452="Unknown",M452="Unknown"),"Warning","Clean"))</f>
        <v>Invalid</v>
      </c>
      <c r="AK452" s="7" t="str">
        <f>IF(C452&lt;B452,"Ship Before Order","OK")</f>
        <v>Ship Before Order</v>
      </c>
      <c r="AL452" s="7" t="str">
        <f>IF(ISNUMBER(B452),"Valid","Invalid")</f>
        <v>Valid</v>
      </c>
      <c r="AM452" s="7" t="str">
        <f t="shared" si="46"/>
        <v>Missmatched</v>
      </c>
      <c r="AN452" s="7" t="str">
        <f t="shared" si="47"/>
        <v>Missmatched</v>
      </c>
    </row>
    <row r="453" spans="1:40">
      <c r="A453" t="s">
        <v>1453</v>
      </c>
      <c r="B453" s="6">
        <v>45375</v>
      </c>
      <c r="C453" s="4">
        <v>45951</v>
      </c>
      <c r="D453" t="s">
        <v>1454</v>
      </c>
      <c r="E453" t="s">
        <v>141</v>
      </c>
      <c r="F453" t="s">
        <v>37</v>
      </c>
      <c r="G453" t="s">
        <v>25</v>
      </c>
      <c r="H453" t="s">
        <v>236</v>
      </c>
      <c r="I453" t="s">
        <v>237</v>
      </c>
      <c r="J453" t="s">
        <v>28</v>
      </c>
      <c r="K453" t="s">
        <v>29</v>
      </c>
      <c r="L453" t="s">
        <v>1455</v>
      </c>
      <c r="M453" t="s">
        <v>31</v>
      </c>
      <c r="N453">
        <v>8</v>
      </c>
      <c r="O453">
        <v>1917.64</v>
      </c>
      <c r="P453">
        <v>0.15</v>
      </c>
      <c r="Q453" s="7">
        <f>IF(P453="", 0, P453)</f>
        <v>0.15</v>
      </c>
      <c r="R453">
        <v>13039.95</v>
      </c>
      <c r="S453">
        <v>11127.82</v>
      </c>
      <c r="T453" s="7">
        <f>N453*O453*(1-Q453)</f>
        <v>13039.952000000001</v>
      </c>
      <c r="U453" s="7">
        <f t="shared" si="42"/>
        <v>1912.1320000000014</v>
      </c>
      <c r="V453">
        <v>1912.13</v>
      </c>
      <c r="W453" s="12">
        <f t="shared" si="43"/>
        <v>0.1466364293365498</v>
      </c>
      <c r="X453" t="s">
        <v>32</v>
      </c>
      <c r="Y453" t="str">
        <f t="shared" si="44"/>
        <v>Paid</v>
      </c>
      <c r="Z453" t="s">
        <v>68</v>
      </c>
      <c r="AA453">
        <f>C453-B453</f>
        <v>576</v>
      </c>
      <c r="AB453" t="str">
        <f>IF(B453="","Missing Order Date",
IF(C453="","Missing Ship Date","OK"))</f>
        <v>OK</v>
      </c>
      <c r="AC453" s="7" t="str">
        <f>IF(C453&lt;B453, "Invalid", "Valid")</f>
        <v>Valid</v>
      </c>
      <c r="AD453" s="7" t="str">
        <f>IF(COUNTIF($A:$A, A453)&gt;1, "Duplicate", "Unique")</f>
        <v>Unique</v>
      </c>
      <c r="AE453" s="7" t="str">
        <f>IF(G453="","Unknown",G453)</f>
        <v>North</v>
      </c>
      <c r="AF453" s="7" t="str">
        <f>IF(M453="","Unknown",M453)</f>
        <v>Second Class</v>
      </c>
      <c r="AG453" s="7" t="str">
        <f>IF(P453&lt;0,"Invalid",
IF(P453&gt;1,"Invalid","Valid"))</f>
        <v>Valid</v>
      </c>
      <c r="AH453" s="7" t="str">
        <f>TEXT(B453,"mmmm")</f>
        <v>March</v>
      </c>
      <c r="AI453" s="7">
        <f t="shared" si="45"/>
        <v>2024</v>
      </c>
      <c r="AJ453" s="7" t="str">
        <f>IF(OR(R453&lt;0,C453&lt;B453),"Invalid",
IF(OR(G453="Unknown",M453="Unknown"),"Warning","Clean"))</f>
        <v>Clean</v>
      </c>
      <c r="AK453" s="7" t="str">
        <f>IF(C453&lt;B453,"Ship Before Order","OK")</f>
        <v>OK</v>
      </c>
      <c r="AL453" s="7" t="str">
        <f>IF(ISNUMBER(B453),"Valid","Invalid")</f>
        <v>Valid</v>
      </c>
      <c r="AM453" s="7" t="str">
        <f t="shared" si="46"/>
        <v>Missmatched</v>
      </c>
      <c r="AN453" s="7" t="str">
        <f t="shared" si="47"/>
        <v>Missmatched</v>
      </c>
    </row>
    <row r="454" spans="1:40">
      <c r="A454" t="s">
        <v>1456</v>
      </c>
      <c r="B454" s="6">
        <v>45422</v>
      </c>
      <c r="C454" s="4">
        <v>45952</v>
      </c>
      <c r="D454" t="s">
        <v>1457</v>
      </c>
      <c r="E454" t="s">
        <v>162</v>
      </c>
      <c r="F454" t="s">
        <v>95</v>
      </c>
      <c r="G454" t="s">
        <v>38</v>
      </c>
      <c r="H454" t="s">
        <v>228</v>
      </c>
      <c r="I454" t="s">
        <v>229</v>
      </c>
      <c r="J454" t="s">
        <v>74</v>
      </c>
      <c r="K454" t="s">
        <v>75</v>
      </c>
      <c r="L454" t="s">
        <v>1458</v>
      </c>
      <c r="M454" t="s">
        <v>31</v>
      </c>
      <c r="N454">
        <v>6</v>
      </c>
      <c r="O454">
        <v>2013.33</v>
      </c>
      <c r="P454">
        <v>0.2</v>
      </c>
      <c r="Q454" s="7">
        <f>IF(P454="", 0, P454)</f>
        <v>0.2</v>
      </c>
      <c r="R454">
        <v>9663.98</v>
      </c>
      <c r="S454">
        <v>5628.93</v>
      </c>
      <c r="T454" s="7">
        <f>N454*O454*(1-Q454)</f>
        <v>9663.9840000000004</v>
      </c>
      <c r="U454" s="7">
        <f t="shared" si="42"/>
        <v>4035.0540000000001</v>
      </c>
      <c r="V454">
        <v>4035.05</v>
      </c>
      <c r="W454" s="12">
        <f t="shared" si="43"/>
        <v>0.41753525254180884</v>
      </c>
      <c r="X454" t="s">
        <v>32</v>
      </c>
      <c r="Y454" t="str">
        <f t="shared" si="44"/>
        <v>Paid</v>
      </c>
      <c r="Z454" t="s">
        <v>33</v>
      </c>
      <c r="AA454">
        <f>C454-B454</f>
        <v>530</v>
      </c>
      <c r="AB454" t="str">
        <f>IF(B454="","Missing Order Date",
IF(C454="","Missing Ship Date","OK"))</f>
        <v>OK</v>
      </c>
      <c r="AC454" s="7" t="str">
        <f>IF(C454&lt;B454, "Invalid", "Valid")</f>
        <v>Valid</v>
      </c>
      <c r="AD454" s="7" t="str">
        <f>IF(COUNTIF($A:$A, A454)&gt;1, "Duplicate", "Unique")</f>
        <v>Unique</v>
      </c>
      <c r="AE454" s="7" t="str">
        <f>IF(G454="","Unknown",G454)</f>
        <v>East</v>
      </c>
      <c r="AF454" s="7" t="str">
        <f>IF(M454="","Unknown",M454)</f>
        <v>Second Class</v>
      </c>
      <c r="AG454" s="7" t="str">
        <f>IF(P454&lt;0,"Invalid",
IF(P454&gt;1,"Invalid","Valid"))</f>
        <v>Valid</v>
      </c>
      <c r="AH454" s="7" t="str">
        <f>TEXT(B454,"mmmm")</f>
        <v>May</v>
      </c>
      <c r="AI454" s="7">
        <f t="shared" si="45"/>
        <v>2024</v>
      </c>
      <c r="AJ454" s="7" t="str">
        <f>IF(OR(R454&lt;0,C454&lt;B454),"Invalid",
IF(OR(G454="Unknown",M454="Unknown"),"Warning","Clean"))</f>
        <v>Clean</v>
      </c>
      <c r="AK454" s="7" t="str">
        <f>IF(C454&lt;B454,"Ship Before Order","OK")</f>
        <v>OK</v>
      </c>
      <c r="AL454" s="7" t="str">
        <f>IF(ISNUMBER(B454),"Valid","Invalid")</f>
        <v>Valid</v>
      </c>
      <c r="AM454" s="7" t="str">
        <f t="shared" si="46"/>
        <v>Missmatched</v>
      </c>
      <c r="AN454" s="7" t="str">
        <f t="shared" si="47"/>
        <v>Missmatched</v>
      </c>
    </row>
    <row r="455" spans="1:40">
      <c r="A455" t="s">
        <v>1459</v>
      </c>
      <c r="B455" s="6">
        <v>45721</v>
      </c>
      <c r="C455" s="4">
        <v>45953</v>
      </c>
      <c r="D455" t="s">
        <v>1460</v>
      </c>
      <c r="E455" t="s">
        <v>141</v>
      </c>
      <c r="F455" t="s">
        <v>37</v>
      </c>
      <c r="G455" t="s">
        <v>63</v>
      </c>
      <c r="H455" t="s">
        <v>72</v>
      </c>
      <c r="I455" t="s">
        <v>73</v>
      </c>
      <c r="J455" t="s">
        <v>28</v>
      </c>
      <c r="K455" t="s">
        <v>91</v>
      </c>
      <c r="L455" t="s">
        <v>1461</v>
      </c>
      <c r="M455" t="s">
        <v>44</v>
      </c>
      <c r="N455">
        <v>5</v>
      </c>
      <c r="O455">
        <v>1483.52</v>
      </c>
      <c r="P455">
        <v>0</v>
      </c>
      <c r="Q455" s="7">
        <f>IF(P455="", 0, P455)</f>
        <v>0</v>
      </c>
      <c r="R455">
        <v>7417.6</v>
      </c>
      <c r="S455">
        <v>4955.8599999999997</v>
      </c>
      <c r="T455" s="7">
        <f>N455*O455*(1-Q455)</f>
        <v>7417.6</v>
      </c>
      <c r="U455" s="7">
        <f t="shared" si="42"/>
        <v>2461.7400000000007</v>
      </c>
      <c r="V455">
        <v>2461.7399999999998</v>
      </c>
      <c r="W455" s="12">
        <f t="shared" si="43"/>
        <v>0.3318782355478862</v>
      </c>
      <c r="X455" t="s">
        <v>32</v>
      </c>
      <c r="Y455" t="str">
        <f t="shared" si="44"/>
        <v>Paid</v>
      </c>
      <c r="Z455" t="s">
        <v>33</v>
      </c>
      <c r="AA455">
        <f>C455-B455</f>
        <v>232</v>
      </c>
      <c r="AB455" t="str">
        <f>IF(B455="","Missing Order Date",
IF(C455="","Missing Ship Date","OK"))</f>
        <v>OK</v>
      </c>
      <c r="AC455" s="7" t="str">
        <f>IF(C455&lt;B455, "Invalid", "Valid")</f>
        <v>Valid</v>
      </c>
      <c r="AD455" s="7" t="str">
        <f>IF(COUNTIF($A:$A, A455)&gt;1, "Duplicate", "Unique")</f>
        <v>Unique</v>
      </c>
      <c r="AE455" s="7" t="str">
        <f>IF(G455="","Unknown",G455)</f>
        <v>West</v>
      </c>
      <c r="AF455" s="7" t="str">
        <f>IF(M455="","Unknown",M455)</f>
        <v>Same Day</v>
      </c>
      <c r="AG455" s="7" t="str">
        <f>IF(P455&lt;0,"Invalid",
IF(P455&gt;1,"Invalid","Valid"))</f>
        <v>Valid</v>
      </c>
      <c r="AH455" s="7" t="str">
        <f>TEXT(B455,"mmmm")</f>
        <v>March</v>
      </c>
      <c r="AI455" s="7">
        <f t="shared" si="45"/>
        <v>2025</v>
      </c>
      <c r="AJ455" s="7" t="str">
        <f>IF(OR(R455&lt;0,C455&lt;B455),"Invalid",
IF(OR(G455="Unknown",M455="Unknown"),"Warning","Clean"))</f>
        <v>Clean</v>
      </c>
      <c r="AK455" s="7" t="str">
        <f>IF(C455&lt;B455,"Ship Before Order","OK")</f>
        <v>OK</v>
      </c>
      <c r="AL455" s="7" t="str">
        <f>IF(ISNUMBER(B455),"Valid","Invalid")</f>
        <v>Valid</v>
      </c>
      <c r="AM455" s="7" t="str">
        <f t="shared" si="46"/>
        <v>Ok</v>
      </c>
      <c r="AN455" s="7" t="str">
        <f t="shared" si="47"/>
        <v>Ok</v>
      </c>
    </row>
    <row r="456" spans="1:40">
      <c r="A456" t="s">
        <v>1462</v>
      </c>
      <c r="B456" s="6">
        <v>45739</v>
      </c>
      <c r="C456" s="4">
        <v>45954</v>
      </c>
      <c r="D456" t="s">
        <v>1463</v>
      </c>
      <c r="E456" t="s">
        <v>71</v>
      </c>
      <c r="F456" t="s">
        <v>37</v>
      </c>
      <c r="G456" t="s">
        <v>25</v>
      </c>
      <c r="H456" t="s">
        <v>26</v>
      </c>
      <c r="I456" t="s">
        <v>27</v>
      </c>
      <c r="J456" t="s">
        <v>41</v>
      </c>
      <c r="K456" t="s">
        <v>57</v>
      </c>
      <c r="L456" t="s">
        <v>1464</v>
      </c>
      <c r="M456" t="s">
        <v>59</v>
      </c>
      <c r="N456">
        <v>9</v>
      </c>
      <c r="O456">
        <v>3298</v>
      </c>
      <c r="P456">
        <v>0.15</v>
      </c>
      <c r="Q456" s="7">
        <f>IF(P456="", 0, P456)</f>
        <v>0.15</v>
      </c>
      <c r="R456">
        <v>25229.7</v>
      </c>
      <c r="S456">
        <v>20170.43</v>
      </c>
      <c r="T456" s="7">
        <f>N456*O456*(1-Q456)</f>
        <v>25229.7</v>
      </c>
      <c r="U456" s="7">
        <f t="shared" si="42"/>
        <v>5059.2700000000004</v>
      </c>
      <c r="V456">
        <v>5059.2700000000004</v>
      </c>
      <c r="W456" s="12">
        <f t="shared" si="43"/>
        <v>0.20052834556098567</v>
      </c>
      <c r="X456" t="s">
        <v>32</v>
      </c>
      <c r="Y456" t="str">
        <f t="shared" si="44"/>
        <v>Paid</v>
      </c>
      <c r="Z456" t="s">
        <v>33</v>
      </c>
      <c r="AA456">
        <f>C456-B456</f>
        <v>215</v>
      </c>
      <c r="AB456" t="str">
        <f>IF(B456="","Missing Order Date",
IF(C456="","Missing Ship Date","OK"))</f>
        <v>OK</v>
      </c>
      <c r="AC456" s="7" t="str">
        <f>IF(C456&lt;B456, "Invalid", "Valid")</f>
        <v>Valid</v>
      </c>
      <c r="AD456" s="7" t="str">
        <f>IF(COUNTIF($A:$A, A456)&gt;1, "Duplicate", "Unique")</f>
        <v>Unique</v>
      </c>
      <c r="AE456" s="7" t="str">
        <f>IF(G456="","Unknown",G456)</f>
        <v>North</v>
      </c>
      <c r="AF456" s="7" t="str">
        <f>IF(M456="","Unknown",M456)</f>
        <v>Standard Class</v>
      </c>
      <c r="AG456" s="7" t="str">
        <f>IF(P456&lt;0,"Invalid",
IF(P456&gt;1,"Invalid","Valid"))</f>
        <v>Valid</v>
      </c>
      <c r="AH456" s="7" t="str">
        <f>TEXT(B456,"mmmm")</f>
        <v>March</v>
      </c>
      <c r="AI456" s="7">
        <f t="shared" si="45"/>
        <v>2025</v>
      </c>
      <c r="AJ456" s="7" t="str">
        <f>IF(OR(R456&lt;0,C456&lt;B456),"Invalid",
IF(OR(G456="Unknown",M456="Unknown"),"Warning","Clean"))</f>
        <v>Clean</v>
      </c>
      <c r="AK456" s="7" t="str">
        <f>IF(C456&lt;B456,"Ship Before Order","OK")</f>
        <v>OK</v>
      </c>
      <c r="AL456" s="7" t="str">
        <f>IF(ISNUMBER(B456),"Valid","Invalid")</f>
        <v>Valid</v>
      </c>
      <c r="AM456" s="7" t="str">
        <f t="shared" si="46"/>
        <v>Ok</v>
      </c>
      <c r="AN456" s="7" t="str">
        <f t="shared" si="47"/>
        <v>Ok</v>
      </c>
    </row>
    <row r="457" spans="1:40">
      <c r="A457" t="s">
        <v>1465</v>
      </c>
      <c r="B457" s="6">
        <v>45491</v>
      </c>
      <c r="C457" s="4">
        <v>45955</v>
      </c>
      <c r="D457" t="s">
        <v>1466</v>
      </c>
      <c r="E457" t="s">
        <v>79</v>
      </c>
      <c r="F457" t="s">
        <v>37</v>
      </c>
      <c r="G457" t="s">
        <v>54</v>
      </c>
      <c r="H457" t="s">
        <v>55</v>
      </c>
      <c r="I457" t="s">
        <v>56</v>
      </c>
      <c r="J457" t="s">
        <v>28</v>
      </c>
      <c r="K457" t="s">
        <v>48</v>
      </c>
      <c r="L457" t="s">
        <v>1467</v>
      </c>
      <c r="M457" t="s">
        <v>59</v>
      </c>
      <c r="N457">
        <v>4</v>
      </c>
      <c r="O457">
        <v>808.77</v>
      </c>
      <c r="P457">
        <v>0</v>
      </c>
      <c r="Q457" s="7">
        <f>IF(P457="", 0, P457)</f>
        <v>0</v>
      </c>
      <c r="R457">
        <v>3235.08</v>
      </c>
      <c r="S457">
        <v>1848.6</v>
      </c>
      <c r="T457" s="7">
        <f>N457*O457*(1-Q457)</f>
        <v>3235.08</v>
      </c>
      <c r="U457" s="7">
        <f t="shared" si="42"/>
        <v>1386.48</v>
      </c>
      <c r="V457">
        <v>1386.48</v>
      </c>
      <c r="W457" s="12">
        <f t="shared" si="43"/>
        <v>0.42857672762342819</v>
      </c>
      <c r="X457" t="s">
        <v>32</v>
      </c>
      <c r="Y457" t="str">
        <f t="shared" si="44"/>
        <v>Paid</v>
      </c>
      <c r="Z457" t="s">
        <v>33</v>
      </c>
      <c r="AA457">
        <f>C457-B457</f>
        <v>464</v>
      </c>
      <c r="AB457" t="str">
        <f>IF(B457="","Missing Order Date",
IF(C457="","Missing Ship Date","OK"))</f>
        <v>OK</v>
      </c>
      <c r="AC457" s="7" t="str">
        <f>IF(C457&lt;B457, "Invalid", "Valid")</f>
        <v>Valid</v>
      </c>
      <c r="AD457" s="7" t="str">
        <f>IF(COUNTIF($A:$A, A457)&gt;1, "Duplicate", "Unique")</f>
        <v>Unique</v>
      </c>
      <c r="AE457" s="7" t="str">
        <f>IF(G457="","Unknown",G457)</f>
        <v>South</v>
      </c>
      <c r="AF457" s="7" t="str">
        <f>IF(M457="","Unknown",M457)</f>
        <v>Standard Class</v>
      </c>
      <c r="AG457" s="7" t="str">
        <f>IF(P457&lt;0,"Invalid",
IF(P457&gt;1,"Invalid","Valid"))</f>
        <v>Valid</v>
      </c>
      <c r="AH457" s="7" t="str">
        <f>TEXT(B457,"mmmm")</f>
        <v>July</v>
      </c>
      <c r="AI457" s="7">
        <f t="shared" si="45"/>
        <v>2024</v>
      </c>
      <c r="AJ457" s="7" t="str">
        <f>IF(OR(R457&lt;0,C457&lt;B457),"Invalid",
IF(OR(G457="Unknown",M457="Unknown"),"Warning","Clean"))</f>
        <v>Clean</v>
      </c>
      <c r="AK457" s="7" t="str">
        <f>IF(C457&lt;B457,"Ship Before Order","OK")</f>
        <v>OK</v>
      </c>
      <c r="AL457" s="7" t="str">
        <f>IF(ISNUMBER(B457),"Valid","Invalid")</f>
        <v>Valid</v>
      </c>
      <c r="AM457" s="7" t="str">
        <f t="shared" si="46"/>
        <v>Ok</v>
      </c>
      <c r="AN457" s="7" t="str">
        <f t="shared" si="47"/>
        <v>Ok</v>
      </c>
    </row>
    <row r="458" spans="1:40">
      <c r="A458" t="s">
        <v>1468</v>
      </c>
      <c r="B458" s="6">
        <v>45342</v>
      </c>
      <c r="C458" s="4">
        <v>45956</v>
      </c>
      <c r="D458" t="s">
        <v>1469</v>
      </c>
      <c r="E458" t="s">
        <v>79</v>
      </c>
      <c r="F458" t="s">
        <v>90</v>
      </c>
      <c r="G458" t="s">
        <v>25</v>
      </c>
      <c r="H458" t="s">
        <v>136</v>
      </c>
      <c r="I458" t="s">
        <v>137</v>
      </c>
      <c r="J458" t="s">
        <v>74</v>
      </c>
      <c r="K458" t="s">
        <v>75</v>
      </c>
      <c r="L458" t="s">
        <v>1470</v>
      </c>
      <c r="M458" t="s">
        <v>44</v>
      </c>
      <c r="N458">
        <v>5</v>
      </c>
      <c r="O458">
        <v>2604.91</v>
      </c>
      <c r="P458">
        <v>0.15</v>
      </c>
      <c r="Q458" s="7">
        <f>IF(P458="", 0, P458)</f>
        <v>0.15</v>
      </c>
      <c r="R458">
        <v>11070.87</v>
      </c>
      <c r="S458">
        <v>6623.61</v>
      </c>
      <c r="T458" s="7">
        <f>N458*O458*(1-Q458)</f>
        <v>11070.867499999998</v>
      </c>
      <c r="U458" s="7">
        <f t="shared" si="42"/>
        <v>4447.2574999999988</v>
      </c>
      <c r="V458">
        <v>4447.26</v>
      </c>
      <c r="W458" s="12">
        <f t="shared" si="43"/>
        <v>0.40170813172499803</v>
      </c>
      <c r="X458" t="s">
        <v>32</v>
      </c>
      <c r="Y458" t="str">
        <f t="shared" si="44"/>
        <v>Paid</v>
      </c>
      <c r="Z458" t="s">
        <v>103</v>
      </c>
      <c r="AA458">
        <f>C458-B458</f>
        <v>614</v>
      </c>
      <c r="AB458" t="str">
        <f>IF(B458="","Missing Order Date",
IF(C458="","Missing Ship Date","OK"))</f>
        <v>OK</v>
      </c>
      <c r="AC458" s="7" t="str">
        <f>IF(C458&lt;B458, "Invalid", "Valid")</f>
        <v>Valid</v>
      </c>
      <c r="AD458" s="7" t="str">
        <f>IF(COUNTIF($A:$A, A458)&gt;1, "Duplicate", "Unique")</f>
        <v>Unique</v>
      </c>
      <c r="AE458" s="7" t="str">
        <f>IF(G458="","Unknown",G458)</f>
        <v>North</v>
      </c>
      <c r="AF458" s="7" t="str">
        <f>IF(M458="","Unknown",M458)</f>
        <v>Same Day</v>
      </c>
      <c r="AG458" s="7" t="str">
        <f>IF(P458&lt;0,"Invalid",
IF(P458&gt;1,"Invalid","Valid"))</f>
        <v>Valid</v>
      </c>
      <c r="AH458" s="7" t="str">
        <f>TEXT(B458,"mmmm")</f>
        <v>February</v>
      </c>
      <c r="AI458" s="7">
        <f t="shared" si="45"/>
        <v>2024</v>
      </c>
      <c r="AJ458" s="7" t="str">
        <f>IF(OR(R458&lt;0,C458&lt;B458),"Invalid",
IF(OR(G458="Unknown",M458="Unknown"),"Warning","Clean"))</f>
        <v>Clean</v>
      </c>
      <c r="AK458" s="7" t="str">
        <f>IF(C458&lt;B458,"Ship Before Order","OK")</f>
        <v>OK</v>
      </c>
      <c r="AL458" s="7" t="str">
        <f>IF(ISNUMBER(B458),"Valid","Invalid")</f>
        <v>Valid</v>
      </c>
      <c r="AM458" s="7" t="str">
        <f t="shared" si="46"/>
        <v>Missmatched</v>
      </c>
      <c r="AN458" s="7" t="str">
        <f t="shared" si="47"/>
        <v>Missmatched</v>
      </c>
    </row>
    <row r="459" spans="1:40">
      <c r="A459" t="s">
        <v>1471</v>
      </c>
      <c r="B459" s="6">
        <v>45387</v>
      </c>
      <c r="C459" s="4">
        <v>45957</v>
      </c>
      <c r="D459" t="s">
        <v>1472</v>
      </c>
      <c r="E459" t="s">
        <v>36</v>
      </c>
      <c r="F459" t="s">
        <v>37</v>
      </c>
      <c r="G459" t="s">
        <v>63</v>
      </c>
      <c r="H459" t="s">
        <v>190</v>
      </c>
      <c r="I459" t="s">
        <v>191</v>
      </c>
      <c r="J459" t="s">
        <v>41</v>
      </c>
      <c r="K459" t="s">
        <v>42</v>
      </c>
      <c r="L459" t="s">
        <v>1473</v>
      </c>
      <c r="M459" t="s">
        <v>59</v>
      </c>
      <c r="N459">
        <v>7</v>
      </c>
      <c r="O459">
        <v>2851.51</v>
      </c>
      <c r="P459">
        <v>0</v>
      </c>
      <c r="Q459" s="7">
        <f>IF(P459="", 0, P459)</f>
        <v>0</v>
      </c>
      <c r="R459">
        <v>19960.57</v>
      </c>
      <c r="S459">
        <v>16603.599999999999</v>
      </c>
      <c r="T459" s="7">
        <f>N459*O459*(1-Q459)</f>
        <v>19960.57</v>
      </c>
      <c r="U459" s="7">
        <f t="shared" si="42"/>
        <v>3356.9700000000012</v>
      </c>
      <c r="V459">
        <v>3356.97</v>
      </c>
      <c r="W459" s="12">
        <f t="shared" si="43"/>
        <v>0.1681800670020947</v>
      </c>
      <c r="X459" t="s">
        <v>32</v>
      </c>
      <c r="Y459" t="str">
        <f t="shared" si="44"/>
        <v>Paid</v>
      </c>
      <c r="Z459" t="s">
        <v>33</v>
      </c>
      <c r="AA459">
        <f>C459-B459</f>
        <v>570</v>
      </c>
      <c r="AB459" t="str">
        <f>IF(B459="","Missing Order Date",
IF(C459="","Missing Ship Date","OK"))</f>
        <v>OK</v>
      </c>
      <c r="AC459" s="7" t="str">
        <f>IF(C459&lt;B459, "Invalid", "Valid")</f>
        <v>Valid</v>
      </c>
      <c r="AD459" s="7" t="str">
        <f>IF(COUNTIF($A:$A, A459)&gt;1, "Duplicate", "Unique")</f>
        <v>Unique</v>
      </c>
      <c r="AE459" s="7" t="str">
        <f>IF(G459="","Unknown",G459)</f>
        <v>West</v>
      </c>
      <c r="AF459" s="7" t="str">
        <f>IF(M459="","Unknown",M459)</f>
        <v>Standard Class</v>
      </c>
      <c r="AG459" s="7" t="str">
        <f>IF(P459&lt;0,"Invalid",
IF(P459&gt;1,"Invalid","Valid"))</f>
        <v>Valid</v>
      </c>
      <c r="AH459" s="7" t="str">
        <f>TEXT(B459,"mmmm")</f>
        <v>April</v>
      </c>
      <c r="AI459" s="7">
        <f t="shared" si="45"/>
        <v>2024</v>
      </c>
      <c r="AJ459" s="7" t="str">
        <f>IF(OR(R459&lt;0,C459&lt;B459),"Invalid",
IF(OR(G459="Unknown",M459="Unknown"),"Warning","Clean"))</f>
        <v>Clean</v>
      </c>
      <c r="AK459" s="7" t="str">
        <f>IF(C459&lt;B459,"Ship Before Order","OK")</f>
        <v>OK</v>
      </c>
      <c r="AL459" s="7" t="str">
        <f>IF(ISNUMBER(B459),"Valid","Invalid")</f>
        <v>Valid</v>
      </c>
      <c r="AM459" s="7" t="str">
        <f t="shared" si="46"/>
        <v>Ok</v>
      </c>
      <c r="AN459" s="7" t="str">
        <f t="shared" si="47"/>
        <v>Ok</v>
      </c>
    </row>
    <row r="460" spans="1:40">
      <c r="A460" t="s">
        <v>1474</v>
      </c>
      <c r="B460" s="6">
        <v>45567</v>
      </c>
      <c r="C460" s="4">
        <v>45958</v>
      </c>
      <c r="D460" t="s">
        <v>1475</v>
      </c>
      <c r="E460" t="s">
        <v>23</v>
      </c>
      <c r="F460" t="s">
        <v>90</v>
      </c>
      <c r="G460" t="s">
        <v>25</v>
      </c>
      <c r="H460" t="s">
        <v>26</v>
      </c>
      <c r="I460" t="s">
        <v>27</v>
      </c>
      <c r="J460" t="s">
        <v>74</v>
      </c>
      <c r="K460" t="s">
        <v>171</v>
      </c>
      <c r="L460" t="s">
        <v>1476</v>
      </c>
      <c r="M460" t="s">
        <v>31</v>
      </c>
      <c r="N460">
        <v>3</v>
      </c>
      <c r="O460">
        <v>3183.72</v>
      </c>
      <c r="P460">
        <v>0.1</v>
      </c>
      <c r="Q460" s="7">
        <f>IF(P460="", 0, P460)</f>
        <v>0.1</v>
      </c>
      <c r="R460">
        <v>8596.0400000000009</v>
      </c>
      <c r="S460">
        <v>5378.16</v>
      </c>
      <c r="T460" s="7">
        <f>N460*O460*(1-Q460)</f>
        <v>8596.0439999999999</v>
      </c>
      <c r="U460" s="7">
        <f t="shared" si="42"/>
        <v>3217.884</v>
      </c>
      <c r="V460">
        <v>3217.88</v>
      </c>
      <c r="W460" s="12">
        <f t="shared" si="43"/>
        <v>0.37434475672762962</v>
      </c>
      <c r="X460" t="s">
        <v>32</v>
      </c>
      <c r="Y460" t="str">
        <f t="shared" si="44"/>
        <v>Paid</v>
      </c>
      <c r="Z460" t="s">
        <v>33</v>
      </c>
      <c r="AA460">
        <f>C460-B460</f>
        <v>391</v>
      </c>
      <c r="AB460" t="str">
        <f>IF(B460="","Missing Order Date",
IF(C460="","Missing Ship Date","OK"))</f>
        <v>OK</v>
      </c>
      <c r="AC460" s="7" t="str">
        <f>IF(C460&lt;B460, "Invalid", "Valid")</f>
        <v>Valid</v>
      </c>
      <c r="AD460" s="7" t="str">
        <f>IF(COUNTIF($A:$A, A460)&gt;1, "Duplicate", "Unique")</f>
        <v>Unique</v>
      </c>
      <c r="AE460" s="7" t="str">
        <f>IF(G460="","Unknown",G460)</f>
        <v>North</v>
      </c>
      <c r="AF460" s="7" t="str">
        <f>IF(M460="","Unknown",M460)</f>
        <v>Second Class</v>
      </c>
      <c r="AG460" s="7" t="str">
        <f>IF(P460&lt;0,"Invalid",
IF(P460&gt;1,"Invalid","Valid"))</f>
        <v>Valid</v>
      </c>
      <c r="AH460" s="7" t="str">
        <f>TEXT(B460,"mmmm")</f>
        <v>October</v>
      </c>
      <c r="AI460" s="7">
        <f t="shared" si="45"/>
        <v>2024</v>
      </c>
      <c r="AJ460" s="7" t="str">
        <f>IF(OR(R460&lt;0,C460&lt;B460),"Invalid",
IF(OR(G460="Unknown",M460="Unknown"),"Warning","Clean"))</f>
        <v>Clean</v>
      </c>
      <c r="AK460" s="7" t="str">
        <f>IF(C460&lt;B460,"Ship Before Order","OK")</f>
        <v>OK</v>
      </c>
      <c r="AL460" s="7" t="str">
        <f>IF(ISNUMBER(B460),"Valid","Invalid")</f>
        <v>Valid</v>
      </c>
      <c r="AM460" s="7" t="str">
        <f t="shared" si="46"/>
        <v>Missmatched</v>
      </c>
      <c r="AN460" s="7" t="str">
        <f t="shared" si="47"/>
        <v>Missmatched</v>
      </c>
    </row>
    <row r="461" spans="1:40">
      <c r="A461" t="s">
        <v>1477</v>
      </c>
      <c r="B461" s="6">
        <v>45379</v>
      </c>
      <c r="C461" s="4">
        <v>45959</v>
      </c>
      <c r="D461" t="s">
        <v>1478</v>
      </c>
      <c r="E461" t="s">
        <v>62</v>
      </c>
      <c r="F461" t="s">
        <v>95</v>
      </c>
      <c r="G461" t="s">
        <v>63</v>
      </c>
      <c r="H461" t="s">
        <v>190</v>
      </c>
      <c r="I461" t="s">
        <v>191</v>
      </c>
      <c r="J461" t="s">
        <v>28</v>
      </c>
      <c r="K461" t="s">
        <v>29</v>
      </c>
      <c r="L461" t="s">
        <v>1479</v>
      </c>
      <c r="M461" t="s">
        <v>50</v>
      </c>
      <c r="N461">
        <v>3</v>
      </c>
      <c r="O461">
        <v>1150.92</v>
      </c>
      <c r="P461">
        <v>0</v>
      </c>
      <c r="Q461" s="7">
        <f>IF(P461="", 0, P461)</f>
        <v>0</v>
      </c>
      <c r="R461">
        <v>3452.76</v>
      </c>
      <c r="S461">
        <v>2077.96</v>
      </c>
      <c r="T461" s="7">
        <f>N461*O461*(1-Q461)</f>
        <v>3452.76</v>
      </c>
      <c r="U461" s="7">
        <f t="shared" si="42"/>
        <v>1374.8000000000002</v>
      </c>
      <c r="V461">
        <v>1374.8</v>
      </c>
      <c r="W461" s="12">
        <f t="shared" si="43"/>
        <v>0.39817421425178701</v>
      </c>
      <c r="X461" t="s">
        <v>32</v>
      </c>
      <c r="Y461" t="str">
        <f t="shared" si="44"/>
        <v>Paid</v>
      </c>
      <c r="Z461" t="s">
        <v>33</v>
      </c>
      <c r="AA461">
        <f>C461-B461</f>
        <v>580</v>
      </c>
      <c r="AB461" t="str">
        <f>IF(B461="","Missing Order Date",
IF(C461="","Missing Ship Date","OK"))</f>
        <v>OK</v>
      </c>
      <c r="AC461" s="7" t="str">
        <f>IF(C461&lt;B461, "Invalid", "Valid")</f>
        <v>Valid</v>
      </c>
      <c r="AD461" s="7" t="str">
        <f>IF(COUNTIF($A:$A, A461)&gt;1, "Duplicate", "Unique")</f>
        <v>Unique</v>
      </c>
      <c r="AE461" s="7" t="str">
        <f>IF(G461="","Unknown",G461)</f>
        <v>West</v>
      </c>
      <c r="AF461" s="7" t="str">
        <f>IF(M461="","Unknown",M461)</f>
        <v>First Class</v>
      </c>
      <c r="AG461" s="7" t="str">
        <f>IF(P461&lt;0,"Invalid",
IF(P461&gt;1,"Invalid","Valid"))</f>
        <v>Valid</v>
      </c>
      <c r="AH461" s="7" t="str">
        <f>TEXT(B461,"mmmm")</f>
        <v>March</v>
      </c>
      <c r="AI461" s="7">
        <f t="shared" si="45"/>
        <v>2024</v>
      </c>
      <c r="AJ461" s="7" t="str">
        <f>IF(OR(R461&lt;0,C461&lt;B461),"Invalid",
IF(OR(G461="Unknown",M461="Unknown"),"Warning","Clean"))</f>
        <v>Clean</v>
      </c>
      <c r="AK461" s="7" t="str">
        <f>IF(C461&lt;B461,"Ship Before Order","OK")</f>
        <v>OK</v>
      </c>
      <c r="AL461" s="7" t="str">
        <f>IF(ISNUMBER(B461),"Valid","Invalid")</f>
        <v>Valid</v>
      </c>
      <c r="AM461" s="7" t="str">
        <f t="shared" si="46"/>
        <v>Ok</v>
      </c>
      <c r="AN461" s="7" t="str">
        <f t="shared" si="47"/>
        <v>Ok</v>
      </c>
    </row>
    <row r="462" spans="1:40">
      <c r="A462" t="s">
        <v>1480</v>
      </c>
      <c r="B462" s="6">
        <v>45930</v>
      </c>
      <c r="C462" s="4">
        <v>45960</v>
      </c>
      <c r="D462" t="s">
        <v>1481</v>
      </c>
      <c r="E462" t="s">
        <v>128</v>
      </c>
      <c r="F462" t="s">
        <v>90</v>
      </c>
      <c r="G462" t="s">
        <v>2785</v>
      </c>
      <c r="H462" t="s">
        <v>26</v>
      </c>
      <c r="I462" t="s">
        <v>27</v>
      </c>
      <c r="J462" t="s">
        <v>74</v>
      </c>
      <c r="K462" t="s">
        <v>80</v>
      </c>
      <c r="L462" t="s">
        <v>1482</v>
      </c>
      <c r="M462" t="s">
        <v>31</v>
      </c>
      <c r="N462">
        <v>9</v>
      </c>
      <c r="O462">
        <v>1359.88</v>
      </c>
      <c r="P462">
        <v>0.05</v>
      </c>
      <c r="Q462" s="7">
        <f>IF(P462="", 0, P462)</f>
        <v>0.05</v>
      </c>
      <c r="R462">
        <v>11626.97</v>
      </c>
      <c r="S462">
        <v>7394.07</v>
      </c>
      <c r="T462" s="7">
        <f>N462*O462*(1-Q462)</f>
        <v>11626.974000000002</v>
      </c>
      <c r="U462" s="7">
        <f t="shared" si="42"/>
        <v>4232.9040000000023</v>
      </c>
      <c r="V462">
        <v>4232.8999999999996</v>
      </c>
      <c r="W462" s="12">
        <f t="shared" si="43"/>
        <v>0.36405895463428417</v>
      </c>
      <c r="X462" t="s">
        <v>32</v>
      </c>
      <c r="Y462" t="str">
        <f t="shared" si="44"/>
        <v>Paid</v>
      </c>
      <c r="Z462" t="s">
        <v>33</v>
      </c>
      <c r="AA462">
        <f>C462-B462</f>
        <v>30</v>
      </c>
      <c r="AB462" t="str">
        <f>IF(B462="","Missing Order Date",
IF(C462="","Missing Ship Date","OK"))</f>
        <v>OK</v>
      </c>
      <c r="AC462" s="7" t="str">
        <f>IF(C462&lt;B462, "Invalid", "Valid")</f>
        <v>Valid</v>
      </c>
      <c r="AD462" s="7" t="str">
        <f>IF(COUNTIF($A:$A, A462)&gt;1, "Duplicate", "Unique")</f>
        <v>Unique</v>
      </c>
      <c r="AE462" s="7" t="str">
        <f>IF(G462="","Unknown",G462)</f>
        <v>Unknown</v>
      </c>
      <c r="AF462" s="7" t="str">
        <f>IF(M462="","Unknown",M462)</f>
        <v>Second Class</v>
      </c>
      <c r="AG462" s="7" t="str">
        <f>IF(P462&lt;0,"Invalid",
IF(P462&gt;1,"Invalid","Valid"))</f>
        <v>Valid</v>
      </c>
      <c r="AH462" s="7" t="str">
        <f>TEXT(B462,"mmmm")</f>
        <v>September</v>
      </c>
      <c r="AI462" s="7">
        <f t="shared" si="45"/>
        <v>2025</v>
      </c>
      <c r="AJ462" s="7" t="str">
        <f>IF(OR(R462&lt;0,C462&lt;B462),"Invalid",
IF(OR(G462="Unknown",M462="Unknown"),"Warning","Clean"))</f>
        <v>Clean</v>
      </c>
      <c r="AK462" s="7" t="str">
        <f>IF(C462&lt;B462,"Ship Before Order","OK")</f>
        <v>OK</v>
      </c>
      <c r="AL462" s="7" t="str">
        <f>IF(ISNUMBER(B462),"Valid","Invalid")</f>
        <v>Valid</v>
      </c>
      <c r="AM462" s="7" t="str">
        <f t="shared" si="46"/>
        <v>Missmatched</v>
      </c>
      <c r="AN462" s="7" t="str">
        <f t="shared" si="47"/>
        <v>Missmatched</v>
      </c>
    </row>
    <row r="463" spans="1:40">
      <c r="A463" t="s">
        <v>1483</v>
      </c>
      <c r="B463" s="6">
        <v>45802</v>
      </c>
      <c r="C463" s="4">
        <v>45961</v>
      </c>
      <c r="D463" t="s">
        <v>1484</v>
      </c>
      <c r="E463" t="s">
        <v>79</v>
      </c>
      <c r="F463" t="s">
        <v>90</v>
      </c>
      <c r="G463" t="s">
        <v>54</v>
      </c>
      <c r="H463" t="s">
        <v>84</v>
      </c>
      <c r="I463" t="s">
        <v>85</v>
      </c>
      <c r="J463" t="s">
        <v>28</v>
      </c>
      <c r="K463" t="s">
        <v>29</v>
      </c>
      <c r="L463" t="s">
        <v>1485</v>
      </c>
      <c r="M463" t="s">
        <v>59</v>
      </c>
      <c r="N463">
        <v>3</v>
      </c>
      <c r="O463">
        <v>3378.15</v>
      </c>
      <c r="P463">
        <v>0.15</v>
      </c>
      <c r="Q463" s="7">
        <f>IF(P463="", 0, P463)</f>
        <v>0.15</v>
      </c>
      <c r="R463">
        <v>8614.2800000000007</v>
      </c>
      <c r="S463">
        <v>7052.08</v>
      </c>
      <c r="T463" s="7">
        <f>N463*O463*(1-Q463)</f>
        <v>8614.2825000000012</v>
      </c>
      <c r="U463" s="7">
        <f t="shared" si="42"/>
        <v>1562.2025000000012</v>
      </c>
      <c r="V463">
        <v>1562.2</v>
      </c>
      <c r="W463" s="12">
        <f t="shared" si="43"/>
        <v>0.18135027496486225</v>
      </c>
      <c r="X463" t="s">
        <v>32</v>
      </c>
      <c r="Y463" t="str">
        <f t="shared" si="44"/>
        <v>Paid</v>
      </c>
      <c r="Z463" t="s">
        <v>33</v>
      </c>
      <c r="AA463">
        <f>C463-B463</f>
        <v>159</v>
      </c>
      <c r="AB463" t="str">
        <f>IF(B463="","Missing Order Date",
IF(C463="","Missing Ship Date","OK"))</f>
        <v>OK</v>
      </c>
      <c r="AC463" s="7" t="str">
        <f>IF(C463&lt;B463, "Invalid", "Valid")</f>
        <v>Valid</v>
      </c>
      <c r="AD463" s="7" t="str">
        <f>IF(COUNTIF($A:$A, A463)&gt;1, "Duplicate", "Unique")</f>
        <v>Unique</v>
      </c>
      <c r="AE463" s="7" t="str">
        <f>IF(G463="","Unknown",G463)</f>
        <v>South</v>
      </c>
      <c r="AF463" s="7" t="str">
        <f>IF(M463="","Unknown",M463)</f>
        <v>Standard Class</v>
      </c>
      <c r="AG463" s="7" t="str">
        <f>IF(P463&lt;0,"Invalid",
IF(P463&gt;1,"Invalid","Valid"))</f>
        <v>Valid</v>
      </c>
      <c r="AH463" s="7" t="str">
        <f>TEXT(B463,"mmmm")</f>
        <v>May</v>
      </c>
      <c r="AI463" s="7">
        <f t="shared" si="45"/>
        <v>2025</v>
      </c>
      <c r="AJ463" s="7" t="str">
        <f>IF(OR(R463&lt;0,C463&lt;B463),"Invalid",
IF(OR(G463="Unknown",M463="Unknown"),"Warning","Clean"))</f>
        <v>Clean</v>
      </c>
      <c r="AK463" s="7" t="str">
        <f>IF(C463&lt;B463,"Ship Before Order","OK")</f>
        <v>OK</v>
      </c>
      <c r="AL463" s="7" t="str">
        <f>IF(ISNUMBER(B463),"Valid","Invalid")</f>
        <v>Valid</v>
      </c>
      <c r="AM463" s="7" t="str">
        <f t="shared" si="46"/>
        <v>Missmatched</v>
      </c>
      <c r="AN463" s="7" t="str">
        <f t="shared" si="47"/>
        <v>Missmatched</v>
      </c>
    </row>
    <row r="464" spans="1:40">
      <c r="A464" t="s">
        <v>1486</v>
      </c>
      <c r="B464" s="6">
        <v>45558</v>
      </c>
      <c r="C464" s="4">
        <v>45962</v>
      </c>
      <c r="D464" t="s">
        <v>1487</v>
      </c>
      <c r="E464" t="s">
        <v>128</v>
      </c>
      <c r="F464" t="s">
        <v>95</v>
      </c>
      <c r="G464" t="s">
        <v>25</v>
      </c>
      <c r="H464" t="s">
        <v>350</v>
      </c>
      <c r="I464" t="s">
        <v>351</v>
      </c>
      <c r="J464" t="s">
        <v>28</v>
      </c>
      <c r="K464" t="s">
        <v>153</v>
      </c>
      <c r="L464" t="s">
        <v>1488</v>
      </c>
      <c r="M464" t="s">
        <v>50</v>
      </c>
      <c r="N464">
        <v>2</v>
      </c>
      <c r="O464">
        <v>1275.1400000000001</v>
      </c>
      <c r="P464">
        <v>0.2</v>
      </c>
      <c r="Q464" s="7">
        <f>IF(P464="", 0, P464)</f>
        <v>0.2</v>
      </c>
      <c r="R464">
        <v>2040.22</v>
      </c>
      <c r="S464">
        <v>1395.71</v>
      </c>
      <c r="T464" s="7">
        <f>N464*O464*(1-Q464)</f>
        <v>2040.2240000000002</v>
      </c>
      <c r="U464" s="7">
        <f t="shared" si="42"/>
        <v>644.51400000000012</v>
      </c>
      <c r="V464">
        <v>644.51</v>
      </c>
      <c r="W464" s="12">
        <f t="shared" si="43"/>
        <v>0.31590354784572677</v>
      </c>
      <c r="X464" t="s">
        <v>32</v>
      </c>
      <c r="Y464" t="str">
        <f t="shared" si="44"/>
        <v>Paid</v>
      </c>
      <c r="Z464" t="s">
        <v>33</v>
      </c>
      <c r="AA464">
        <f>C464-B464</f>
        <v>404</v>
      </c>
      <c r="AB464" t="str">
        <f>IF(B464="","Missing Order Date",
IF(C464="","Missing Ship Date","OK"))</f>
        <v>OK</v>
      </c>
      <c r="AC464" s="7" t="str">
        <f>IF(C464&lt;B464, "Invalid", "Valid")</f>
        <v>Valid</v>
      </c>
      <c r="AD464" s="7" t="str">
        <f>IF(COUNTIF($A:$A, A464)&gt;1, "Duplicate", "Unique")</f>
        <v>Unique</v>
      </c>
      <c r="AE464" s="7" t="str">
        <f>IF(G464="","Unknown",G464)</f>
        <v>North</v>
      </c>
      <c r="AF464" s="7" t="str">
        <f>IF(M464="","Unknown",M464)</f>
        <v>First Class</v>
      </c>
      <c r="AG464" s="7" t="str">
        <f>IF(P464&lt;0,"Invalid",
IF(P464&gt;1,"Invalid","Valid"))</f>
        <v>Valid</v>
      </c>
      <c r="AH464" s="7" t="str">
        <f>TEXT(B464,"mmmm")</f>
        <v>September</v>
      </c>
      <c r="AI464" s="7">
        <f t="shared" si="45"/>
        <v>2024</v>
      </c>
      <c r="AJ464" s="7" t="str">
        <f>IF(OR(R464&lt;0,C464&lt;B464),"Invalid",
IF(OR(G464="Unknown",M464="Unknown"),"Warning","Clean"))</f>
        <v>Clean</v>
      </c>
      <c r="AK464" s="7" t="str">
        <f>IF(C464&lt;B464,"Ship Before Order","OK")</f>
        <v>OK</v>
      </c>
      <c r="AL464" s="7" t="str">
        <f>IF(ISNUMBER(B464),"Valid","Invalid")</f>
        <v>Valid</v>
      </c>
      <c r="AM464" s="7" t="str">
        <f t="shared" si="46"/>
        <v>Missmatched</v>
      </c>
      <c r="AN464" s="7" t="str">
        <f t="shared" si="47"/>
        <v>Missmatched</v>
      </c>
    </row>
    <row r="465" spans="1:40">
      <c r="A465" t="s">
        <v>1489</v>
      </c>
      <c r="B465" s="6">
        <v>45695</v>
      </c>
      <c r="C465" s="4">
        <v>45963</v>
      </c>
      <c r="D465" t="s">
        <v>1490</v>
      </c>
      <c r="E465" t="s">
        <v>53</v>
      </c>
      <c r="F465" t="s">
        <v>90</v>
      </c>
      <c r="G465" t="s">
        <v>63</v>
      </c>
      <c r="H465" t="s">
        <v>72</v>
      </c>
      <c r="I465" t="s">
        <v>73</v>
      </c>
      <c r="J465" t="s">
        <v>74</v>
      </c>
      <c r="K465" t="s">
        <v>171</v>
      </c>
      <c r="L465" t="s">
        <v>1491</v>
      </c>
      <c r="M465" t="s">
        <v>59</v>
      </c>
      <c r="N465">
        <v>4</v>
      </c>
      <c r="O465">
        <v>889.5</v>
      </c>
      <c r="P465">
        <v>0.2</v>
      </c>
      <c r="Q465" s="7">
        <f>IF(P465="", 0, P465)</f>
        <v>0.2</v>
      </c>
      <c r="R465">
        <v>2846.4</v>
      </c>
      <c r="S465">
        <v>2132.37</v>
      </c>
      <c r="T465" s="7">
        <f>N465*O465*(1-Q465)</f>
        <v>2846.4</v>
      </c>
      <c r="U465" s="7">
        <f t="shared" si="42"/>
        <v>714.0300000000002</v>
      </c>
      <c r="V465">
        <v>714.03</v>
      </c>
      <c r="W465" s="12">
        <f t="shared" si="43"/>
        <v>0.25085370994940986</v>
      </c>
      <c r="X465" t="s">
        <v>32</v>
      </c>
      <c r="Y465" t="str">
        <f t="shared" si="44"/>
        <v>Paid</v>
      </c>
      <c r="Z465" t="s">
        <v>33</v>
      </c>
      <c r="AA465">
        <f>C465-B465</f>
        <v>268</v>
      </c>
      <c r="AB465" t="str">
        <f>IF(B465="","Missing Order Date",
IF(C465="","Missing Ship Date","OK"))</f>
        <v>OK</v>
      </c>
      <c r="AC465" s="7" t="str">
        <f>IF(C465&lt;B465, "Invalid", "Valid")</f>
        <v>Valid</v>
      </c>
      <c r="AD465" s="7" t="str">
        <f>IF(COUNTIF($A:$A, A465)&gt;1, "Duplicate", "Unique")</f>
        <v>Unique</v>
      </c>
      <c r="AE465" s="7" t="str">
        <f>IF(G465="","Unknown",G465)</f>
        <v>West</v>
      </c>
      <c r="AF465" s="7" t="str">
        <f>IF(M465="","Unknown",M465)</f>
        <v>Standard Class</v>
      </c>
      <c r="AG465" s="7" t="str">
        <f>IF(P465&lt;0,"Invalid",
IF(P465&gt;1,"Invalid","Valid"))</f>
        <v>Valid</v>
      </c>
      <c r="AH465" s="7" t="str">
        <f>TEXT(B465,"mmmm")</f>
        <v>February</v>
      </c>
      <c r="AI465" s="7">
        <f t="shared" si="45"/>
        <v>2025</v>
      </c>
      <c r="AJ465" s="7" t="str">
        <f>IF(OR(R465&lt;0,C465&lt;B465),"Invalid",
IF(OR(G465="Unknown",M465="Unknown"),"Warning","Clean"))</f>
        <v>Clean</v>
      </c>
      <c r="AK465" s="7" t="str">
        <f>IF(C465&lt;B465,"Ship Before Order","OK")</f>
        <v>OK</v>
      </c>
      <c r="AL465" s="7" t="str">
        <f>IF(ISNUMBER(B465),"Valid","Invalid")</f>
        <v>Valid</v>
      </c>
      <c r="AM465" s="7" t="str">
        <f t="shared" si="46"/>
        <v>Ok</v>
      </c>
      <c r="AN465" s="7" t="str">
        <f t="shared" si="47"/>
        <v>Ok</v>
      </c>
    </row>
    <row r="466" spans="1:40">
      <c r="A466" t="s">
        <v>1492</v>
      </c>
      <c r="B466" s="6">
        <v>45727</v>
      </c>
      <c r="C466" s="4">
        <v>45964</v>
      </c>
      <c r="D466" t="s">
        <v>1493</v>
      </c>
      <c r="E466" t="s">
        <v>53</v>
      </c>
      <c r="F466" t="s">
        <v>90</v>
      </c>
      <c r="G466" t="s">
        <v>38</v>
      </c>
      <c r="H466" t="s">
        <v>145</v>
      </c>
      <c r="I466" t="s">
        <v>146</v>
      </c>
      <c r="J466" t="s">
        <v>28</v>
      </c>
      <c r="K466" t="s">
        <v>29</v>
      </c>
      <c r="L466" t="s">
        <v>1494</v>
      </c>
      <c r="M466" t="s">
        <v>44</v>
      </c>
      <c r="N466">
        <v>3</v>
      </c>
      <c r="O466">
        <v>3625.08</v>
      </c>
      <c r="P466">
        <v>0.05</v>
      </c>
      <c r="Q466" s="7">
        <f>IF(P466="", 0, P466)</f>
        <v>0.05</v>
      </c>
      <c r="R466">
        <v>10331.48</v>
      </c>
      <c r="S466">
        <v>7131.91</v>
      </c>
      <c r="T466" s="7">
        <f>N466*O466*(1-Q466)</f>
        <v>10331.477999999999</v>
      </c>
      <c r="U466" s="7">
        <f t="shared" si="42"/>
        <v>3199.5679999999993</v>
      </c>
      <c r="V466">
        <v>3199.57</v>
      </c>
      <c r="W466" s="12">
        <f t="shared" si="43"/>
        <v>0.30969121746181905</v>
      </c>
      <c r="X466" t="s">
        <v>111</v>
      </c>
      <c r="Y466" t="str">
        <f t="shared" si="44"/>
        <v>Pending</v>
      </c>
      <c r="Z466" t="s">
        <v>68</v>
      </c>
      <c r="AA466">
        <f>C466-B466</f>
        <v>237</v>
      </c>
      <c r="AB466" t="str">
        <f>IF(B466="","Missing Order Date",
IF(C466="","Missing Ship Date","OK"))</f>
        <v>OK</v>
      </c>
      <c r="AC466" s="7" t="str">
        <f>IF(C466&lt;B466, "Invalid", "Valid")</f>
        <v>Valid</v>
      </c>
      <c r="AD466" s="7" t="str">
        <f>IF(COUNTIF($A:$A, A466)&gt;1, "Duplicate", "Unique")</f>
        <v>Unique</v>
      </c>
      <c r="AE466" s="7" t="str">
        <f>IF(G466="","Unknown",G466)</f>
        <v>East</v>
      </c>
      <c r="AF466" s="7" t="str">
        <f>IF(M466="","Unknown",M466)</f>
        <v>Same Day</v>
      </c>
      <c r="AG466" s="7" t="str">
        <f>IF(P466&lt;0,"Invalid",
IF(P466&gt;1,"Invalid","Valid"))</f>
        <v>Valid</v>
      </c>
      <c r="AH466" s="7" t="str">
        <f>TEXT(B466,"mmmm")</f>
        <v>March</v>
      </c>
      <c r="AI466" s="7">
        <f t="shared" si="45"/>
        <v>2025</v>
      </c>
      <c r="AJ466" s="7" t="str">
        <f>IF(OR(R466&lt;0,C466&lt;B466),"Invalid",
IF(OR(G466="Unknown",M466="Unknown"),"Warning","Clean"))</f>
        <v>Clean</v>
      </c>
      <c r="AK466" s="7" t="str">
        <f>IF(C466&lt;B466,"Ship Before Order","OK")</f>
        <v>OK</v>
      </c>
      <c r="AL466" s="7" t="str">
        <f>IF(ISNUMBER(B466),"Valid","Invalid")</f>
        <v>Valid</v>
      </c>
      <c r="AM466" s="7" t="str">
        <f t="shared" si="46"/>
        <v>Missmatched</v>
      </c>
      <c r="AN466" s="7" t="str">
        <f t="shared" si="47"/>
        <v>Missmatched</v>
      </c>
    </row>
    <row r="467" spans="1:40">
      <c r="A467" t="s">
        <v>1495</v>
      </c>
      <c r="B467" s="6">
        <v>45320</v>
      </c>
      <c r="C467" s="4">
        <v>45965</v>
      </c>
      <c r="D467" t="s">
        <v>1496</v>
      </c>
      <c r="E467" t="s">
        <v>128</v>
      </c>
      <c r="F467" t="s">
        <v>37</v>
      </c>
      <c r="G467" t="s">
        <v>63</v>
      </c>
      <c r="H467" t="s">
        <v>72</v>
      </c>
      <c r="I467" t="s">
        <v>73</v>
      </c>
      <c r="J467" t="s">
        <v>28</v>
      </c>
      <c r="K467" t="s">
        <v>91</v>
      </c>
      <c r="L467" t="s">
        <v>1497</v>
      </c>
      <c r="M467" t="s">
        <v>59</v>
      </c>
      <c r="N467">
        <v>2</v>
      </c>
      <c r="O467">
        <v>1258.9000000000001</v>
      </c>
      <c r="P467">
        <v>0</v>
      </c>
      <c r="Q467" s="7">
        <f>IF(P467="", 0, P467)</f>
        <v>0</v>
      </c>
      <c r="R467">
        <v>2517.8000000000002</v>
      </c>
      <c r="S467">
        <v>1478.54</v>
      </c>
      <c r="T467" s="7">
        <f>N467*O467*(1-Q467)</f>
        <v>2517.8000000000002</v>
      </c>
      <c r="U467" s="7">
        <f t="shared" si="42"/>
        <v>1039.2600000000002</v>
      </c>
      <c r="V467">
        <v>1039.26</v>
      </c>
      <c r="W467" s="12">
        <f t="shared" si="43"/>
        <v>0.41276511239971408</v>
      </c>
      <c r="X467" t="s">
        <v>32</v>
      </c>
      <c r="Y467" t="str">
        <f t="shared" si="44"/>
        <v>Paid</v>
      </c>
      <c r="Z467" t="s">
        <v>33</v>
      </c>
      <c r="AA467">
        <f>C467-B467</f>
        <v>645</v>
      </c>
      <c r="AB467" t="str">
        <f>IF(B467="","Missing Order Date",
IF(C467="","Missing Ship Date","OK"))</f>
        <v>OK</v>
      </c>
      <c r="AC467" s="7" t="str">
        <f>IF(C467&lt;B467, "Invalid", "Valid")</f>
        <v>Valid</v>
      </c>
      <c r="AD467" s="7" t="str">
        <f>IF(COUNTIF($A:$A, A467)&gt;1, "Duplicate", "Unique")</f>
        <v>Unique</v>
      </c>
      <c r="AE467" s="7" t="str">
        <f>IF(G467="","Unknown",G467)</f>
        <v>West</v>
      </c>
      <c r="AF467" s="7" t="str">
        <f>IF(M467="","Unknown",M467)</f>
        <v>Standard Class</v>
      </c>
      <c r="AG467" s="7" t="str">
        <f>IF(P467&lt;0,"Invalid",
IF(P467&gt;1,"Invalid","Valid"))</f>
        <v>Valid</v>
      </c>
      <c r="AH467" s="7" t="str">
        <f>TEXT(B467,"mmmm")</f>
        <v>January</v>
      </c>
      <c r="AI467" s="7">
        <f t="shared" si="45"/>
        <v>2024</v>
      </c>
      <c r="AJ467" s="7" t="str">
        <f>IF(OR(R467&lt;0,C467&lt;B467),"Invalid",
IF(OR(G467="Unknown",M467="Unknown"),"Warning","Clean"))</f>
        <v>Clean</v>
      </c>
      <c r="AK467" s="7" t="str">
        <f>IF(C467&lt;B467,"Ship Before Order","OK")</f>
        <v>OK</v>
      </c>
      <c r="AL467" s="7" t="str">
        <f>IF(ISNUMBER(B467),"Valid","Invalid")</f>
        <v>Valid</v>
      </c>
      <c r="AM467" s="7" t="str">
        <f t="shared" si="46"/>
        <v>Ok</v>
      </c>
      <c r="AN467" s="7" t="str">
        <f t="shared" si="47"/>
        <v>Ok</v>
      </c>
    </row>
    <row r="468" spans="1:40">
      <c r="A468" t="s">
        <v>1498</v>
      </c>
      <c r="B468" s="6">
        <v>45295</v>
      </c>
      <c r="C468" s="4">
        <v>45966</v>
      </c>
      <c r="D468" t="s">
        <v>1499</v>
      </c>
      <c r="E468" t="s">
        <v>36</v>
      </c>
      <c r="F468" t="s">
        <v>37</v>
      </c>
      <c r="G468" t="s">
        <v>38</v>
      </c>
      <c r="H468" t="s">
        <v>145</v>
      </c>
      <c r="I468" t="s">
        <v>146</v>
      </c>
      <c r="J468" t="s">
        <v>74</v>
      </c>
      <c r="K468" t="s">
        <v>75</v>
      </c>
      <c r="L468" t="s">
        <v>1500</v>
      </c>
      <c r="M468" t="s">
        <v>44</v>
      </c>
      <c r="N468">
        <v>9</v>
      </c>
      <c r="O468">
        <v>1591.96</v>
      </c>
      <c r="P468">
        <v>0.2</v>
      </c>
      <c r="Q468" s="7">
        <f>IF(P468="", 0, P468)</f>
        <v>0.2</v>
      </c>
      <c r="R468">
        <v>11462.11</v>
      </c>
      <c r="S468">
        <v>7105.48</v>
      </c>
      <c r="T468" s="7">
        <f>N468*O468*(1-Q468)</f>
        <v>11462.112000000001</v>
      </c>
      <c r="U468" s="7">
        <f t="shared" si="42"/>
        <v>4356.6320000000014</v>
      </c>
      <c r="V468">
        <v>4356.63</v>
      </c>
      <c r="W468" s="12">
        <f t="shared" si="43"/>
        <v>0.38008981241851425</v>
      </c>
      <c r="X468" t="s">
        <v>32</v>
      </c>
      <c r="Y468" t="str">
        <f t="shared" si="44"/>
        <v>Paid</v>
      </c>
      <c r="Z468" t="s">
        <v>33</v>
      </c>
      <c r="AA468">
        <f>C468-B468</f>
        <v>671</v>
      </c>
      <c r="AB468" t="str">
        <f>IF(B468="","Missing Order Date",
IF(C468="","Missing Ship Date","OK"))</f>
        <v>OK</v>
      </c>
      <c r="AC468" s="7" t="str">
        <f>IF(C468&lt;B468, "Invalid", "Valid")</f>
        <v>Valid</v>
      </c>
      <c r="AD468" s="7" t="str">
        <f>IF(COUNTIF($A:$A, A468)&gt;1, "Duplicate", "Unique")</f>
        <v>Unique</v>
      </c>
      <c r="AE468" s="7" t="str">
        <f>IF(G468="","Unknown",G468)</f>
        <v>East</v>
      </c>
      <c r="AF468" s="7" t="str">
        <f>IF(M468="","Unknown",M468)</f>
        <v>Same Day</v>
      </c>
      <c r="AG468" s="7" t="str">
        <f>IF(P468&lt;0,"Invalid",
IF(P468&gt;1,"Invalid","Valid"))</f>
        <v>Valid</v>
      </c>
      <c r="AH468" s="7" t="str">
        <f>TEXT(B468,"mmmm")</f>
        <v>January</v>
      </c>
      <c r="AI468" s="7">
        <f t="shared" si="45"/>
        <v>2024</v>
      </c>
      <c r="AJ468" s="7" t="str">
        <f>IF(OR(R468&lt;0,C468&lt;B468),"Invalid",
IF(OR(G468="Unknown",M468="Unknown"),"Warning","Clean"))</f>
        <v>Clean</v>
      </c>
      <c r="AK468" s="7" t="str">
        <f>IF(C468&lt;B468,"Ship Before Order","OK")</f>
        <v>OK</v>
      </c>
      <c r="AL468" s="7" t="str">
        <f>IF(ISNUMBER(B468),"Valid","Invalid")</f>
        <v>Valid</v>
      </c>
      <c r="AM468" s="7" t="str">
        <f t="shared" si="46"/>
        <v>Missmatched</v>
      </c>
      <c r="AN468" s="7" t="str">
        <f t="shared" si="47"/>
        <v>Missmatched</v>
      </c>
    </row>
    <row r="469" spans="1:40">
      <c r="A469" t="s">
        <v>1501</v>
      </c>
      <c r="B469" s="6">
        <v>45524</v>
      </c>
      <c r="C469" s="4">
        <v>45967</v>
      </c>
      <c r="D469" t="s">
        <v>1502</v>
      </c>
      <c r="E469" t="s">
        <v>89</v>
      </c>
      <c r="F469" t="s">
        <v>90</v>
      </c>
      <c r="G469" t="s">
        <v>38</v>
      </c>
      <c r="H469" t="s">
        <v>39</v>
      </c>
      <c r="I469" t="s">
        <v>40</v>
      </c>
      <c r="J469" t="s">
        <v>74</v>
      </c>
      <c r="K469" t="s">
        <v>80</v>
      </c>
      <c r="L469" t="s">
        <v>1503</v>
      </c>
      <c r="M469" t="s">
        <v>50</v>
      </c>
      <c r="N469">
        <v>5</v>
      </c>
      <c r="O469">
        <v>4288.33</v>
      </c>
      <c r="P469">
        <v>0.1</v>
      </c>
      <c r="Q469" s="7">
        <f>IF(P469="", 0, P469)</f>
        <v>0.1</v>
      </c>
      <c r="R469">
        <v>19297.490000000002</v>
      </c>
      <c r="S469">
        <v>15451.66</v>
      </c>
      <c r="T469" s="7">
        <f>N469*O469*(1-Q469)</f>
        <v>19297.485000000001</v>
      </c>
      <c r="U469" s="7">
        <f t="shared" si="42"/>
        <v>3845.8250000000007</v>
      </c>
      <c r="V469">
        <v>3845.83</v>
      </c>
      <c r="W469" s="12">
        <f t="shared" si="43"/>
        <v>0.1992915138941681</v>
      </c>
      <c r="X469" t="s">
        <v>102</v>
      </c>
      <c r="Y469" t="str">
        <f t="shared" si="44"/>
        <v>Refunded</v>
      </c>
      <c r="Z469" t="s">
        <v>68</v>
      </c>
      <c r="AA469">
        <f>C469-B469</f>
        <v>443</v>
      </c>
      <c r="AB469" t="str">
        <f>IF(B469="","Missing Order Date",
IF(C469="","Missing Ship Date","OK"))</f>
        <v>OK</v>
      </c>
      <c r="AC469" s="7" t="str">
        <f>IF(C469&lt;B469, "Invalid", "Valid")</f>
        <v>Valid</v>
      </c>
      <c r="AD469" s="7" t="str">
        <f>IF(COUNTIF($A:$A, A469)&gt;1, "Duplicate", "Unique")</f>
        <v>Unique</v>
      </c>
      <c r="AE469" s="7" t="str">
        <f>IF(G469="","Unknown",G469)</f>
        <v>East</v>
      </c>
      <c r="AF469" s="7" t="str">
        <f>IF(M469="","Unknown",M469)</f>
        <v>First Class</v>
      </c>
      <c r="AG469" s="7" t="str">
        <f>IF(P469&lt;0,"Invalid",
IF(P469&gt;1,"Invalid","Valid"))</f>
        <v>Valid</v>
      </c>
      <c r="AH469" s="7" t="str">
        <f>TEXT(B469,"mmmm")</f>
        <v>August</v>
      </c>
      <c r="AI469" s="7">
        <f t="shared" si="45"/>
        <v>2024</v>
      </c>
      <c r="AJ469" s="7" t="str">
        <f>IF(OR(R469&lt;0,C469&lt;B469),"Invalid",
IF(OR(G469="Unknown",M469="Unknown"),"Warning","Clean"))</f>
        <v>Clean</v>
      </c>
      <c r="AK469" s="7" t="str">
        <f>IF(C469&lt;B469,"Ship Before Order","OK")</f>
        <v>OK</v>
      </c>
      <c r="AL469" s="7" t="str">
        <f>IF(ISNUMBER(B469),"Valid","Invalid")</f>
        <v>Valid</v>
      </c>
      <c r="AM469" s="7" t="str">
        <f t="shared" si="46"/>
        <v>Missmatched</v>
      </c>
      <c r="AN469" s="7" t="str">
        <f t="shared" si="47"/>
        <v>Missmatched</v>
      </c>
    </row>
    <row r="470" spans="1:40">
      <c r="A470" t="s">
        <v>1504</v>
      </c>
      <c r="B470" s="6">
        <v>45901</v>
      </c>
      <c r="C470" s="4">
        <v>45968</v>
      </c>
      <c r="D470" t="s">
        <v>1505</v>
      </c>
      <c r="E470" t="s">
        <v>128</v>
      </c>
      <c r="F470" t="s">
        <v>95</v>
      </c>
      <c r="G470" t="s">
        <v>38</v>
      </c>
      <c r="H470" t="s">
        <v>99</v>
      </c>
      <c r="I470" t="s">
        <v>100</v>
      </c>
      <c r="J470" t="s">
        <v>28</v>
      </c>
      <c r="K470" t="s">
        <v>153</v>
      </c>
      <c r="L470" t="s">
        <v>1506</v>
      </c>
      <c r="M470" t="s">
        <v>31</v>
      </c>
      <c r="N470">
        <v>3</v>
      </c>
      <c r="O470">
        <v>2188.33</v>
      </c>
      <c r="P470">
        <v>0</v>
      </c>
      <c r="Q470" s="7">
        <f>IF(P470="", 0, P470)</f>
        <v>0</v>
      </c>
      <c r="R470">
        <v>6564.99</v>
      </c>
      <c r="S470">
        <v>5407.24</v>
      </c>
      <c r="T470" s="7">
        <f>N470*O470*(1-Q470)</f>
        <v>6564.99</v>
      </c>
      <c r="U470" s="7">
        <f t="shared" si="42"/>
        <v>1157.75</v>
      </c>
      <c r="V470">
        <v>1157.75</v>
      </c>
      <c r="W470" s="12">
        <f t="shared" si="43"/>
        <v>0.17635213458055535</v>
      </c>
      <c r="X470" t="s">
        <v>32</v>
      </c>
      <c r="Y470" t="str">
        <f t="shared" si="44"/>
        <v>Paid</v>
      </c>
      <c r="Z470" t="s">
        <v>33</v>
      </c>
      <c r="AA470">
        <f>C470-B470</f>
        <v>67</v>
      </c>
      <c r="AB470" t="str">
        <f>IF(B470="","Missing Order Date",
IF(C470="","Missing Ship Date","OK"))</f>
        <v>OK</v>
      </c>
      <c r="AC470" s="7" t="str">
        <f>IF(C470&lt;B470, "Invalid", "Valid")</f>
        <v>Valid</v>
      </c>
      <c r="AD470" s="7" t="str">
        <f>IF(COUNTIF($A:$A, A470)&gt;1, "Duplicate", "Unique")</f>
        <v>Unique</v>
      </c>
      <c r="AE470" s="7" t="str">
        <f>IF(G470="","Unknown",G470)</f>
        <v>East</v>
      </c>
      <c r="AF470" s="7" t="str">
        <f>IF(M470="","Unknown",M470)</f>
        <v>Second Class</v>
      </c>
      <c r="AG470" s="7" t="str">
        <f>IF(P470&lt;0,"Invalid",
IF(P470&gt;1,"Invalid","Valid"))</f>
        <v>Valid</v>
      </c>
      <c r="AH470" s="7" t="str">
        <f>TEXT(B470,"mmmm")</f>
        <v>September</v>
      </c>
      <c r="AI470" s="7">
        <f t="shared" si="45"/>
        <v>2025</v>
      </c>
      <c r="AJ470" s="7" t="str">
        <f>IF(OR(R470&lt;0,C470&lt;B470),"Invalid",
IF(OR(G470="Unknown",M470="Unknown"),"Warning","Clean"))</f>
        <v>Clean</v>
      </c>
      <c r="AK470" s="7" t="str">
        <f>IF(C470&lt;B470,"Ship Before Order","OK")</f>
        <v>OK</v>
      </c>
      <c r="AL470" s="7" t="str">
        <f>IF(ISNUMBER(B470),"Valid","Invalid")</f>
        <v>Valid</v>
      </c>
      <c r="AM470" s="7" t="str">
        <f t="shared" si="46"/>
        <v>Ok</v>
      </c>
      <c r="AN470" s="7" t="str">
        <f t="shared" si="47"/>
        <v>Ok</v>
      </c>
    </row>
    <row r="471" spans="1:40">
      <c r="A471" t="s">
        <v>1507</v>
      </c>
      <c r="B471" s="6">
        <v>45310</v>
      </c>
      <c r="C471" s="4">
        <v>45969</v>
      </c>
      <c r="D471" t="s">
        <v>1508</v>
      </c>
      <c r="E471" t="s">
        <v>89</v>
      </c>
      <c r="F471" t="s">
        <v>90</v>
      </c>
      <c r="G471" t="s">
        <v>63</v>
      </c>
      <c r="H471" t="s">
        <v>190</v>
      </c>
      <c r="I471" t="s">
        <v>191</v>
      </c>
      <c r="J471" t="s">
        <v>74</v>
      </c>
      <c r="K471" t="s">
        <v>80</v>
      </c>
      <c r="L471" t="s">
        <v>1509</v>
      </c>
      <c r="M471" t="s">
        <v>50</v>
      </c>
      <c r="N471">
        <v>3</v>
      </c>
      <c r="O471">
        <v>1041.6600000000001</v>
      </c>
      <c r="P471">
        <v>0.1</v>
      </c>
      <c r="Q471" s="7">
        <f>IF(P471="", 0, P471)</f>
        <v>0.1</v>
      </c>
      <c r="R471">
        <v>2812.48</v>
      </c>
      <c r="S471">
        <v>2282.12</v>
      </c>
      <c r="T471" s="7">
        <f>N471*O471*(1-Q471)</f>
        <v>2812.4820000000004</v>
      </c>
      <c r="U471" s="7">
        <f t="shared" si="42"/>
        <v>530.36200000000053</v>
      </c>
      <c r="V471">
        <v>530.36</v>
      </c>
      <c r="W471" s="12">
        <f t="shared" si="43"/>
        <v>0.18857436243147527</v>
      </c>
      <c r="X471" t="s">
        <v>32</v>
      </c>
      <c r="Y471" t="str">
        <f t="shared" si="44"/>
        <v>Paid</v>
      </c>
      <c r="Z471" t="s">
        <v>33</v>
      </c>
      <c r="AA471">
        <f>C471-B471</f>
        <v>659</v>
      </c>
      <c r="AB471" t="str">
        <f>IF(B471="","Missing Order Date",
IF(C471="","Missing Ship Date","OK"))</f>
        <v>OK</v>
      </c>
      <c r="AC471" s="7" t="str">
        <f>IF(C471&lt;B471, "Invalid", "Valid")</f>
        <v>Valid</v>
      </c>
      <c r="AD471" s="7" t="str">
        <f>IF(COUNTIF($A:$A, A471)&gt;1, "Duplicate", "Unique")</f>
        <v>Unique</v>
      </c>
      <c r="AE471" s="7" t="str">
        <f>IF(G471="","Unknown",G471)</f>
        <v>West</v>
      </c>
      <c r="AF471" s="7" t="str">
        <f>IF(M471="","Unknown",M471)</f>
        <v>First Class</v>
      </c>
      <c r="AG471" s="7" t="str">
        <f>IF(P471&lt;0,"Invalid",
IF(P471&gt;1,"Invalid","Valid"))</f>
        <v>Valid</v>
      </c>
      <c r="AH471" s="7" t="str">
        <f>TEXT(B471,"mmmm")</f>
        <v>January</v>
      </c>
      <c r="AI471" s="7">
        <f t="shared" si="45"/>
        <v>2024</v>
      </c>
      <c r="AJ471" s="7" t="str">
        <f>IF(OR(R471&lt;0,C471&lt;B471),"Invalid",
IF(OR(G471="Unknown",M471="Unknown"),"Warning","Clean"))</f>
        <v>Clean</v>
      </c>
      <c r="AK471" s="7" t="str">
        <f>IF(C471&lt;B471,"Ship Before Order","OK")</f>
        <v>OK</v>
      </c>
      <c r="AL471" s="7" t="str">
        <f>IF(ISNUMBER(B471),"Valid","Invalid")</f>
        <v>Valid</v>
      </c>
      <c r="AM471" s="7" t="str">
        <f t="shared" si="46"/>
        <v>Missmatched</v>
      </c>
      <c r="AN471" s="7" t="str">
        <f t="shared" si="47"/>
        <v>Missmatched</v>
      </c>
    </row>
    <row r="472" spans="1:40">
      <c r="A472" t="s">
        <v>1510</v>
      </c>
      <c r="B472" s="6">
        <v>45501</v>
      </c>
      <c r="C472" s="4">
        <v>45970</v>
      </c>
      <c r="D472" t="s">
        <v>1511</v>
      </c>
      <c r="E472" t="s">
        <v>89</v>
      </c>
      <c r="F472" t="s">
        <v>24</v>
      </c>
      <c r="G472" t="s">
        <v>25</v>
      </c>
      <c r="H472" t="s">
        <v>26</v>
      </c>
      <c r="I472" t="s">
        <v>27</v>
      </c>
      <c r="J472" t="s">
        <v>41</v>
      </c>
      <c r="K472" t="s">
        <v>42</v>
      </c>
      <c r="L472" t="s">
        <v>1512</v>
      </c>
      <c r="M472" t="s">
        <v>44</v>
      </c>
      <c r="N472">
        <v>2</v>
      </c>
      <c r="O472">
        <v>4424.78</v>
      </c>
      <c r="P472">
        <v>0.2</v>
      </c>
      <c r="Q472" s="7">
        <f>IF(P472="", 0, P472)</f>
        <v>0.2</v>
      </c>
      <c r="R472">
        <v>7079.65</v>
      </c>
      <c r="S472">
        <v>4465.91</v>
      </c>
      <c r="T472" s="7">
        <f>N472*O472*(1-Q472)</f>
        <v>7079.6480000000001</v>
      </c>
      <c r="U472" s="7">
        <f t="shared" si="42"/>
        <v>2613.7380000000003</v>
      </c>
      <c r="V472">
        <v>2613.7399999999998</v>
      </c>
      <c r="W472" s="12">
        <f t="shared" si="43"/>
        <v>0.36919038912669105</v>
      </c>
      <c r="X472" t="s">
        <v>32</v>
      </c>
      <c r="Y472" t="str">
        <f t="shared" si="44"/>
        <v>Paid</v>
      </c>
      <c r="Z472" t="s">
        <v>33</v>
      </c>
      <c r="AA472">
        <f>C472-B472</f>
        <v>469</v>
      </c>
      <c r="AB472" t="str">
        <f>IF(B472="","Missing Order Date",
IF(C472="","Missing Ship Date","OK"))</f>
        <v>OK</v>
      </c>
      <c r="AC472" s="7" t="str">
        <f>IF(C472&lt;B472, "Invalid", "Valid")</f>
        <v>Valid</v>
      </c>
      <c r="AD472" s="7" t="str">
        <f>IF(COUNTIF($A:$A, A472)&gt;1, "Duplicate", "Unique")</f>
        <v>Unique</v>
      </c>
      <c r="AE472" s="7" t="str">
        <f>IF(G472="","Unknown",G472)</f>
        <v>North</v>
      </c>
      <c r="AF472" s="7" t="str">
        <f>IF(M472="","Unknown",M472)</f>
        <v>Same Day</v>
      </c>
      <c r="AG472" s="7" t="str">
        <f>IF(P472&lt;0,"Invalid",
IF(P472&gt;1,"Invalid","Valid"))</f>
        <v>Valid</v>
      </c>
      <c r="AH472" s="7" t="str">
        <f>TEXT(B472,"mmmm")</f>
        <v>July</v>
      </c>
      <c r="AI472" s="7">
        <f t="shared" si="45"/>
        <v>2024</v>
      </c>
      <c r="AJ472" s="7" t="str">
        <f>IF(OR(R472&lt;0,C472&lt;B472),"Invalid",
IF(OR(G472="Unknown",M472="Unknown"),"Warning","Clean"))</f>
        <v>Clean</v>
      </c>
      <c r="AK472" s="7" t="str">
        <f>IF(C472&lt;B472,"Ship Before Order","OK")</f>
        <v>OK</v>
      </c>
      <c r="AL472" s="7" t="str">
        <f>IF(ISNUMBER(B472),"Valid","Invalid")</f>
        <v>Valid</v>
      </c>
      <c r="AM472" s="7" t="str">
        <f t="shared" si="46"/>
        <v>Missmatched</v>
      </c>
      <c r="AN472" s="7" t="str">
        <f t="shared" si="47"/>
        <v>Missmatched</v>
      </c>
    </row>
    <row r="473" spans="1:40">
      <c r="A473" t="s">
        <v>1513</v>
      </c>
      <c r="B473" s="6">
        <v>45333</v>
      </c>
      <c r="C473" s="4">
        <v>45971</v>
      </c>
      <c r="D473" t="s">
        <v>1514</v>
      </c>
      <c r="E473" t="s">
        <v>264</v>
      </c>
      <c r="F473" t="s">
        <v>24</v>
      </c>
      <c r="G473" t="s">
        <v>54</v>
      </c>
      <c r="H473" t="s">
        <v>55</v>
      </c>
      <c r="I473" t="s">
        <v>56</v>
      </c>
      <c r="J473" t="s">
        <v>28</v>
      </c>
      <c r="K473" t="s">
        <v>153</v>
      </c>
      <c r="L473" t="s">
        <v>1515</v>
      </c>
      <c r="M473" t="s">
        <v>59</v>
      </c>
      <c r="N473">
        <v>3</v>
      </c>
      <c r="O473">
        <v>3019.14</v>
      </c>
      <c r="P473">
        <v>0.25</v>
      </c>
      <c r="Q473" s="7">
        <f>IF(P473="", 0, P473)</f>
        <v>0.25</v>
      </c>
      <c r="R473">
        <v>6793.07</v>
      </c>
      <c r="S473">
        <v>4985.22</v>
      </c>
      <c r="T473" s="7">
        <f>N473*O473*(1-Q473)</f>
        <v>6793.0650000000005</v>
      </c>
      <c r="U473" s="7">
        <f t="shared" si="42"/>
        <v>1807.8450000000003</v>
      </c>
      <c r="V473">
        <v>1807.85</v>
      </c>
      <c r="W473" s="12">
        <f t="shared" si="43"/>
        <v>0.26613097327936652</v>
      </c>
      <c r="X473" t="s">
        <v>32</v>
      </c>
      <c r="Y473" t="str">
        <f t="shared" si="44"/>
        <v>Paid</v>
      </c>
      <c r="Z473" t="s">
        <v>33</v>
      </c>
      <c r="AA473">
        <f>C473-B473</f>
        <v>638</v>
      </c>
      <c r="AB473" t="str">
        <f>IF(B473="","Missing Order Date",
IF(C473="","Missing Ship Date","OK"))</f>
        <v>OK</v>
      </c>
      <c r="AC473" s="7" t="str">
        <f>IF(C473&lt;B473, "Invalid", "Valid")</f>
        <v>Valid</v>
      </c>
      <c r="AD473" s="7" t="str">
        <f>IF(COUNTIF($A:$A, A473)&gt;1, "Duplicate", "Unique")</f>
        <v>Unique</v>
      </c>
      <c r="AE473" s="7" t="str">
        <f>IF(G473="","Unknown",G473)</f>
        <v>South</v>
      </c>
      <c r="AF473" s="7" t="str">
        <f>IF(M473="","Unknown",M473)</f>
        <v>Standard Class</v>
      </c>
      <c r="AG473" s="7" t="str">
        <f>IF(P473&lt;0,"Invalid",
IF(P473&gt;1,"Invalid","Valid"))</f>
        <v>Valid</v>
      </c>
      <c r="AH473" s="7" t="str">
        <f>TEXT(B473,"mmmm")</f>
        <v>February</v>
      </c>
      <c r="AI473" s="7">
        <f t="shared" si="45"/>
        <v>2024</v>
      </c>
      <c r="AJ473" s="7" t="str">
        <f>IF(OR(R473&lt;0,C473&lt;B473),"Invalid",
IF(OR(G473="Unknown",M473="Unknown"),"Warning","Clean"))</f>
        <v>Clean</v>
      </c>
      <c r="AK473" s="7" t="str">
        <f>IF(C473&lt;B473,"Ship Before Order","OK")</f>
        <v>OK</v>
      </c>
      <c r="AL473" s="7" t="str">
        <f>IF(ISNUMBER(B473),"Valid","Invalid")</f>
        <v>Valid</v>
      </c>
      <c r="AM473" s="7" t="str">
        <f t="shared" si="46"/>
        <v>Missmatched</v>
      </c>
      <c r="AN473" s="7" t="str">
        <f t="shared" si="47"/>
        <v>Missmatched</v>
      </c>
    </row>
    <row r="474" spans="1:40">
      <c r="A474" t="s">
        <v>1516</v>
      </c>
      <c r="B474" s="6">
        <v>45353</v>
      </c>
      <c r="C474" s="4">
        <v>45972</v>
      </c>
      <c r="D474" t="s">
        <v>1517</v>
      </c>
      <c r="E474" t="s">
        <v>141</v>
      </c>
      <c r="F474" t="s">
        <v>90</v>
      </c>
      <c r="G474" t="s">
        <v>38</v>
      </c>
      <c r="H474" t="s">
        <v>39</v>
      </c>
      <c r="I474" t="s">
        <v>40</v>
      </c>
      <c r="J474" t="s">
        <v>28</v>
      </c>
      <c r="K474" t="s">
        <v>124</v>
      </c>
      <c r="L474" t="s">
        <v>1518</v>
      </c>
      <c r="M474" t="s">
        <v>59</v>
      </c>
      <c r="N474">
        <v>7</v>
      </c>
      <c r="O474">
        <v>263.45999999999998</v>
      </c>
      <c r="P474">
        <v>0</v>
      </c>
      <c r="Q474" s="7">
        <f>IF(P474="", 0, P474)</f>
        <v>0</v>
      </c>
      <c r="R474">
        <v>1844.22</v>
      </c>
      <c r="S474">
        <v>1094.21</v>
      </c>
      <c r="T474" s="7">
        <f>N474*O474*(1-Q474)</f>
        <v>1844.2199999999998</v>
      </c>
      <c r="U474" s="7">
        <f t="shared" si="42"/>
        <v>750.00999999999976</v>
      </c>
      <c r="V474">
        <v>750.01</v>
      </c>
      <c r="W474" s="12">
        <f t="shared" si="43"/>
        <v>0.40668141544934977</v>
      </c>
      <c r="X474" t="s">
        <v>32</v>
      </c>
      <c r="Y474" t="str">
        <f t="shared" si="44"/>
        <v>Paid</v>
      </c>
      <c r="Z474" t="s">
        <v>33</v>
      </c>
      <c r="AA474">
        <f>C474-B474</f>
        <v>619</v>
      </c>
      <c r="AB474" t="str">
        <f>IF(B474="","Missing Order Date",
IF(C474="","Missing Ship Date","OK"))</f>
        <v>OK</v>
      </c>
      <c r="AC474" s="7" t="str">
        <f>IF(C474&lt;B474, "Invalid", "Valid")</f>
        <v>Valid</v>
      </c>
      <c r="AD474" s="7" t="str">
        <f>IF(COUNTIF($A:$A, A474)&gt;1, "Duplicate", "Unique")</f>
        <v>Unique</v>
      </c>
      <c r="AE474" s="7" t="str">
        <f>IF(G474="","Unknown",G474)</f>
        <v>East</v>
      </c>
      <c r="AF474" s="7" t="str">
        <f>IF(M474="","Unknown",M474)</f>
        <v>Standard Class</v>
      </c>
      <c r="AG474" s="7" t="str">
        <f>IF(P474&lt;0,"Invalid",
IF(P474&gt;1,"Invalid","Valid"))</f>
        <v>Valid</v>
      </c>
      <c r="AH474" s="7" t="str">
        <f>TEXT(B474,"mmmm")</f>
        <v>March</v>
      </c>
      <c r="AI474" s="7">
        <f t="shared" si="45"/>
        <v>2024</v>
      </c>
      <c r="AJ474" s="7" t="str">
        <f>IF(OR(R474&lt;0,C474&lt;B474),"Invalid",
IF(OR(G474="Unknown",M474="Unknown"),"Warning","Clean"))</f>
        <v>Clean</v>
      </c>
      <c r="AK474" s="7" t="str">
        <f>IF(C474&lt;B474,"Ship Before Order","OK")</f>
        <v>OK</v>
      </c>
      <c r="AL474" s="7" t="str">
        <f>IF(ISNUMBER(B474),"Valid","Invalid")</f>
        <v>Valid</v>
      </c>
      <c r="AM474" s="7" t="str">
        <f t="shared" si="46"/>
        <v>Ok</v>
      </c>
      <c r="AN474" s="7" t="str">
        <f t="shared" si="47"/>
        <v>Ok</v>
      </c>
    </row>
    <row r="475" spans="1:40">
      <c r="A475" t="s">
        <v>1519</v>
      </c>
      <c r="B475" s="6">
        <v>45609</v>
      </c>
      <c r="C475" s="4">
        <v>45973</v>
      </c>
      <c r="D475" t="s">
        <v>1520</v>
      </c>
      <c r="E475" t="s">
        <v>114</v>
      </c>
      <c r="F475" t="s">
        <v>24</v>
      </c>
      <c r="G475" t="s">
        <v>63</v>
      </c>
      <c r="H475" t="s">
        <v>190</v>
      </c>
      <c r="I475" t="s">
        <v>191</v>
      </c>
      <c r="J475" t="s">
        <v>74</v>
      </c>
      <c r="K475" t="s">
        <v>80</v>
      </c>
      <c r="L475" t="s">
        <v>1521</v>
      </c>
      <c r="M475" t="s">
        <v>59</v>
      </c>
      <c r="N475">
        <v>6</v>
      </c>
      <c r="O475">
        <v>191.45</v>
      </c>
      <c r="P475">
        <v>0.2</v>
      </c>
      <c r="Q475" s="7">
        <f>IF(P475="", 0, P475)</f>
        <v>0.2</v>
      </c>
      <c r="R475">
        <v>918.96</v>
      </c>
      <c r="S475">
        <v>554.17999999999995</v>
      </c>
      <c r="T475" s="7">
        <f>N475*O475*(1-Q475)</f>
        <v>918.95999999999992</v>
      </c>
      <c r="U475" s="7">
        <f t="shared" si="42"/>
        <v>364.78</v>
      </c>
      <c r="V475">
        <v>364.78</v>
      </c>
      <c r="W475" s="12">
        <f t="shared" si="43"/>
        <v>0.39694872464525116</v>
      </c>
      <c r="X475" t="s">
        <v>32</v>
      </c>
      <c r="Y475" t="str">
        <f t="shared" si="44"/>
        <v>Paid</v>
      </c>
      <c r="Z475" t="s">
        <v>33</v>
      </c>
      <c r="AA475">
        <f>C475-B475</f>
        <v>364</v>
      </c>
      <c r="AB475" t="str">
        <f>IF(B475="","Missing Order Date",
IF(C475="","Missing Ship Date","OK"))</f>
        <v>OK</v>
      </c>
      <c r="AC475" s="7" t="str">
        <f>IF(C475&lt;B475, "Invalid", "Valid")</f>
        <v>Valid</v>
      </c>
      <c r="AD475" s="7" t="str">
        <f>IF(COUNTIF($A:$A, A475)&gt;1, "Duplicate", "Unique")</f>
        <v>Unique</v>
      </c>
      <c r="AE475" s="7" t="str">
        <f>IF(G475="","Unknown",G475)</f>
        <v>West</v>
      </c>
      <c r="AF475" s="7" t="str">
        <f>IF(M475="","Unknown",M475)</f>
        <v>Standard Class</v>
      </c>
      <c r="AG475" s="7" t="str">
        <f>IF(P475&lt;0,"Invalid",
IF(P475&gt;1,"Invalid","Valid"))</f>
        <v>Valid</v>
      </c>
      <c r="AH475" s="7" t="str">
        <f>TEXT(B475,"mmmm")</f>
        <v>November</v>
      </c>
      <c r="AI475" s="7">
        <f t="shared" si="45"/>
        <v>2024</v>
      </c>
      <c r="AJ475" s="7" t="str">
        <f>IF(OR(R475&lt;0,C475&lt;B475),"Invalid",
IF(OR(G475="Unknown",M475="Unknown"),"Warning","Clean"))</f>
        <v>Clean</v>
      </c>
      <c r="AK475" s="7" t="str">
        <f>IF(C475&lt;B475,"Ship Before Order","OK")</f>
        <v>OK</v>
      </c>
      <c r="AL475" s="7" t="str">
        <f>IF(ISNUMBER(B475),"Valid","Invalid")</f>
        <v>Valid</v>
      </c>
      <c r="AM475" s="7" t="str">
        <f t="shared" si="46"/>
        <v>Ok</v>
      </c>
      <c r="AN475" s="7" t="str">
        <f t="shared" si="47"/>
        <v>Ok</v>
      </c>
    </row>
    <row r="476" spans="1:40">
      <c r="A476" t="s">
        <v>1522</v>
      </c>
      <c r="B476" s="6">
        <v>45446</v>
      </c>
      <c r="C476" s="4">
        <v>45974</v>
      </c>
      <c r="D476" t="s">
        <v>1523</v>
      </c>
      <c r="E476" t="s">
        <v>162</v>
      </c>
      <c r="F476" t="s">
        <v>90</v>
      </c>
      <c r="G476" t="s">
        <v>25</v>
      </c>
      <c r="H476" t="s">
        <v>122</v>
      </c>
      <c r="I476" t="s">
        <v>123</v>
      </c>
      <c r="J476" t="s">
        <v>41</v>
      </c>
      <c r="K476" t="s">
        <v>57</v>
      </c>
      <c r="L476" t="s">
        <v>1524</v>
      </c>
      <c r="M476" t="s">
        <v>59</v>
      </c>
      <c r="N476">
        <v>3</v>
      </c>
      <c r="O476">
        <v>1633.57</v>
      </c>
      <c r="P476">
        <v>0</v>
      </c>
      <c r="Q476" s="7">
        <f>IF(P476="", 0, P476)</f>
        <v>0</v>
      </c>
      <c r="R476">
        <v>4900.71</v>
      </c>
      <c r="S476">
        <v>2713.9</v>
      </c>
      <c r="T476" s="7">
        <f>N476*O476*(1-Q476)</f>
        <v>4900.71</v>
      </c>
      <c r="U476" s="7">
        <f t="shared" si="42"/>
        <v>2186.81</v>
      </c>
      <c r="V476">
        <v>2186.81</v>
      </c>
      <c r="W476" s="12">
        <f t="shared" si="43"/>
        <v>0.44622309828575857</v>
      </c>
      <c r="X476" t="s">
        <v>32</v>
      </c>
      <c r="Y476" t="str">
        <f t="shared" si="44"/>
        <v>Paid</v>
      </c>
      <c r="Z476" t="s">
        <v>33</v>
      </c>
      <c r="AA476">
        <f>C476-B476</f>
        <v>528</v>
      </c>
      <c r="AB476" t="str">
        <f>IF(B476="","Missing Order Date",
IF(C476="","Missing Ship Date","OK"))</f>
        <v>OK</v>
      </c>
      <c r="AC476" s="7" t="str">
        <f>IF(C476&lt;B476, "Invalid", "Valid")</f>
        <v>Valid</v>
      </c>
      <c r="AD476" s="7" t="str">
        <f>IF(COUNTIF($A:$A, A476)&gt;1, "Duplicate", "Unique")</f>
        <v>Unique</v>
      </c>
      <c r="AE476" s="7" t="str">
        <f>IF(G476="","Unknown",G476)</f>
        <v>North</v>
      </c>
      <c r="AF476" s="7" t="str">
        <f>IF(M476="","Unknown",M476)</f>
        <v>Standard Class</v>
      </c>
      <c r="AG476" s="7" t="str">
        <f>IF(P476&lt;0,"Invalid",
IF(P476&gt;1,"Invalid","Valid"))</f>
        <v>Valid</v>
      </c>
      <c r="AH476" s="7" t="str">
        <f>TEXT(B476,"mmmm")</f>
        <v>June</v>
      </c>
      <c r="AI476" s="7">
        <f t="shared" si="45"/>
        <v>2024</v>
      </c>
      <c r="AJ476" s="7" t="str">
        <f>IF(OR(R476&lt;0,C476&lt;B476),"Invalid",
IF(OR(G476="Unknown",M476="Unknown"),"Warning","Clean"))</f>
        <v>Clean</v>
      </c>
      <c r="AK476" s="7" t="str">
        <f>IF(C476&lt;B476,"Ship Before Order","OK")</f>
        <v>OK</v>
      </c>
      <c r="AL476" s="7" t="str">
        <f>IF(ISNUMBER(B476),"Valid","Invalid")</f>
        <v>Valid</v>
      </c>
      <c r="AM476" s="7" t="str">
        <f t="shared" si="46"/>
        <v>Ok</v>
      </c>
      <c r="AN476" s="7" t="str">
        <f t="shared" si="47"/>
        <v>Ok</v>
      </c>
    </row>
    <row r="477" spans="1:40">
      <c r="A477" t="s">
        <v>1525</v>
      </c>
      <c r="B477" s="6">
        <v>45660</v>
      </c>
      <c r="C477" s="4">
        <v>45975</v>
      </c>
      <c r="D477" t="s">
        <v>1526</v>
      </c>
      <c r="E477" t="s">
        <v>71</v>
      </c>
      <c r="F477" t="s">
        <v>24</v>
      </c>
      <c r="G477" t="s">
        <v>38</v>
      </c>
      <c r="H477" t="s">
        <v>99</v>
      </c>
      <c r="I477" t="s">
        <v>100</v>
      </c>
      <c r="J477" t="s">
        <v>41</v>
      </c>
      <c r="K477" t="s">
        <v>66</v>
      </c>
      <c r="L477" t="s">
        <v>1527</v>
      </c>
      <c r="M477" t="s">
        <v>44</v>
      </c>
      <c r="N477">
        <v>8</v>
      </c>
      <c r="O477">
        <v>3378.82</v>
      </c>
      <c r="P477">
        <v>0.25</v>
      </c>
      <c r="Q477" s="7">
        <f>IF(P477="", 0, P477)</f>
        <v>0.25</v>
      </c>
      <c r="R477">
        <v>20272.919999999998</v>
      </c>
      <c r="S477">
        <v>15873.38</v>
      </c>
      <c r="T477" s="7">
        <f>N477*O477*(1-Q477)</f>
        <v>20272.920000000002</v>
      </c>
      <c r="U477" s="7">
        <f t="shared" si="42"/>
        <v>4399.5400000000027</v>
      </c>
      <c r="V477">
        <v>4399.54</v>
      </c>
      <c r="W477" s="12">
        <f t="shared" si="43"/>
        <v>0.21701560505344086</v>
      </c>
      <c r="X477" t="s">
        <v>111</v>
      </c>
      <c r="Y477" t="str">
        <f t="shared" si="44"/>
        <v>Pending</v>
      </c>
      <c r="Z477" t="s">
        <v>103</v>
      </c>
      <c r="AA477">
        <f>C477-B477</f>
        <v>315</v>
      </c>
      <c r="AB477" t="str">
        <f>IF(B477="","Missing Order Date",
IF(C477="","Missing Ship Date","OK"))</f>
        <v>OK</v>
      </c>
      <c r="AC477" s="7" t="str">
        <f>IF(C477&lt;B477, "Invalid", "Valid")</f>
        <v>Valid</v>
      </c>
      <c r="AD477" s="7" t="str">
        <f>IF(COUNTIF($A:$A, A477)&gt;1, "Duplicate", "Unique")</f>
        <v>Unique</v>
      </c>
      <c r="AE477" s="7" t="str">
        <f>IF(G477="","Unknown",G477)</f>
        <v>East</v>
      </c>
      <c r="AF477" s="7" t="str">
        <f>IF(M477="","Unknown",M477)</f>
        <v>Same Day</v>
      </c>
      <c r="AG477" s="7" t="str">
        <f>IF(P477&lt;0,"Invalid",
IF(P477&gt;1,"Invalid","Valid"))</f>
        <v>Valid</v>
      </c>
      <c r="AH477" s="7" t="str">
        <f>TEXT(B477,"mmmm")</f>
        <v>January</v>
      </c>
      <c r="AI477" s="7">
        <f t="shared" si="45"/>
        <v>2025</v>
      </c>
      <c r="AJ477" s="7" t="str">
        <f>IF(OR(R477&lt;0,C477&lt;B477),"Invalid",
IF(OR(G477="Unknown",M477="Unknown"),"Warning","Clean"))</f>
        <v>Clean</v>
      </c>
      <c r="AK477" s="7" t="str">
        <f>IF(C477&lt;B477,"Ship Before Order","OK")</f>
        <v>OK</v>
      </c>
      <c r="AL477" s="7" t="str">
        <f>IF(ISNUMBER(B477),"Valid","Invalid")</f>
        <v>Valid</v>
      </c>
      <c r="AM477" s="7" t="str">
        <f t="shared" si="46"/>
        <v>Ok</v>
      </c>
      <c r="AN477" s="7" t="str">
        <f t="shared" si="47"/>
        <v>Ok</v>
      </c>
    </row>
    <row r="478" spans="1:40">
      <c r="A478" t="s">
        <v>1528</v>
      </c>
      <c r="B478" s="6">
        <v>45478</v>
      </c>
      <c r="C478" s="4">
        <v>45976</v>
      </c>
      <c r="D478" t="s">
        <v>1529</v>
      </c>
      <c r="E478" t="s">
        <v>132</v>
      </c>
      <c r="F478" t="s">
        <v>37</v>
      </c>
      <c r="G478" t="s">
        <v>25</v>
      </c>
      <c r="H478" t="s">
        <v>26</v>
      </c>
      <c r="I478" t="s">
        <v>27</v>
      </c>
      <c r="J478" t="s">
        <v>28</v>
      </c>
      <c r="K478" t="s">
        <v>124</v>
      </c>
      <c r="L478" t="s">
        <v>1530</v>
      </c>
      <c r="M478" t="s">
        <v>50</v>
      </c>
      <c r="N478">
        <v>3</v>
      </c>
      <c r="O478">
        <v>383.58</v>
      </c>
      <c r="P478">
        <v>0.1</v>
      </c>
      <c r="Q478" s="7">
        <f>IF(P478="", 0, P478)</f>
        <v>0.1</v>
      </c>
      <c r="R478">
        <v>1035.67</v>
      </c>
      <c r="S478">
        <v>595.41999999999996</v>
      </c>
      <c r="T478" s="7">
        <f>N478*O478*(1-Q478)</f>
        <v>1035.6659999999999</v>
      </c>
      <c r="U478" s="7">
        <f t="shared" si="42"/>
        <v>440.24599999999998</v>
      </c>
      <c r="V478">
        <v>440.25</v>
      </c>
      <c r="W478" s="12">
        <f t="shared" si="43"/>
        <v>0.42508492120046426</v>
      </c>
      <c r="X478" t="s">
        <v>32</v>
      </c>
      <c r="Y478" t="str">
        <f t="shared" si="44"/>
        <v>Paid</v>
      </c>
      <c r="Z478" t="s">
        <v>33</v>
      </c>
      <c r="AA478">
        <f>C478-B478</f>
        <v>498</v>
      </c>
      <c r="AB478" t="str">
        <f>IF(B478="","Missing Order Date",
IF(C478="","Missing Ship Date","OK"))</f>
        <v>OK</v>
      </c>
      <c r="AC478" s="7" t="str">
        <f>IF(C478&lt;B478, "Invalid", "Valid")</f>
        <v>Valid</v>
      </c>
      <c r="AD478" s="7" t="str">
        <f>IF(COUNTIF($A:$A, A478)&gt;1, "Duplicate", "Unique")</f>
        <v>Unique</v>
      </c>
      <c r="AE478" s="7" t="str">
        <f>IF(G478="","Unknown",G478)</f>
        <v>North</v>
      </c>
      <c r="AF478" s="7" t="str">
        <f>IF(M478="","Unknown",M478)</f>
        <v>First Class</v>
      </c>
      <c r="AG478" s="7" t="str">
        <f>IF(P478&lt;0,"Invalid",
IF(P478&gt;1,"Invalid","Valid"))</f>
        <v>Valid</v>
      </c>
      <c r="AH478" s="7" t="str">
        <f>TEXT(B478,"mmmm")</f>
        <v>July</v>
      </c>
      <c r="AI478" s="7">
        <f t="shared" si="45"/>
        <v>2024</v>
      </c>
      <c r="AJ478" s="7" t="str">
        <f>IF(OR(R478&lt;0,C478&lt;B478),"Invalid",
IF(OR(G478="Unknown",M478="Unknown"),"Warning","Clean"))</f>
        <v>Clean</v>
      </c>
      <c r="AK478" s="7" t="str">
        <f>IF(C478&lt;B478,"Ship Before Order","OK")</f>
        <v>OK</v>
      </c>
      <c r="AL478" s="7" t="str">
        <f>IF(ISNUMBER(B478),"Valid","Invalid")</f>
        <v>Valid</v>
      </c>
      <c r="AM478" s="7" t="str">
        <f t="shared" si="46"/>
        <v>Missmatched</v>
      </c>
      <c r="AN478" s="7" t="str">
        <f t="shared" si="47"/>
        <v>Missmatched</v>
      </c>
    </row>
    <row r="479" spans="1:40">
      <c r="A479" t="s">
        <v>1531</v>
      </c>
      <c r="B479" s="6">
        <v>45892</v>
      </c>
      <c r="C479" s="4">
        <v>45977</v>
      </c>
      <c r="D479" t="s">
        <v>1532</v>
      </c>
      <c r="E479" t="s">
        <v>71</v>
      </c>
      <c r="F479" t="s">
        <v>90</v>
      </c>
      <c r="G479" t="s">
        <v>63</v>
      </c>
      <c r="H479" t="s">
        <v>180</v>
      </c>
      <c r="I479" t="s">
        <v>181</v>
      </c>
      <c r="J479" t="s">
        <v>41</v>
      </c>
      <c r="K479" t="s">
        <v>66</v>
      </c>
      <c r="L479" t="s">
        <v>1533</v>
      </c>
      <c r="M479" t="s">
        <v>59</v>
      </c>
      <c r="N479">
        <v>6</v>
      </c>
      <c r="O479">
        <v>2193.23</v>
      </c>
      <c r="P479">
        <v>0.1</v>
      </c>
      <c r="Q479" s="7">
        <f>IF(P479="", 0, P479)</f>
        <v>0.1</v>
      </c>
      <c r="R479">
        <v>11843.44</v>
      </c>
      <c r="S479">
        <v>9356.8799999999992</v>
      </c>
      <c r="T479" s="7">
        <f>N479*O479*(1-Q479)</f>
        <v>11843.442000000001</v>
      </c>
      <c r="U479" s="7">
        <f t="shared" si="42"/>
        <v>2486.5620000000017</v>
      </c>
      <c r="V479">
        <v>2486.56</v>
      </c>
      <c r="W479" s="12">
        <f t="shared" si="43"/>
        <v>0.20995264721184953</v>
      </c>
      <c r="X479" t="s">
        <v>32</v>
      </c>
      <c r="Y479" t="str">
        <f t="shared" si="44"/>
        <v>Paid</v>
      </c>
      <c r="Z479" t="s">
        <v>68</v>
      </c>
      <c r="AA479">
        <f>C479-B479</f>
        <v>85</v>
      </c>
      <c r="AB479" t="str">
        <f>IF(B479="","Missing Order Date",
IF(C479="","Missing Ship Date","OK"))</f>
        <v>OK</v>
      </c>
      <c r="AC479" s="7" t="str">
        <f>IF(C479&lt;B479, "Invalid", "Valid")</f>
        <v>Valid</v>
      </c>
      <c r="AD479" s="7" t="str">
        <f>IF(COUNTIF($A:$A, A479)&gt;1, "Duplicate", "Unique")</f>
        <v>Unique</v>
      </c>
      <c r="AE479" s="7" t="str">
        <f>IF(G479="","Unknown",G479)</f>
        <v>West</v>
      </c>
      <c r="AF479" s="7" t="str">
        <f>IF(M479="","Unknown",M479)</f>
        <v>Standard Class</v>
      </c>
      <c r="AG479" s="7" t="str">
        <f>IF(P479&lt;0,"Invalid",
IF(P479&gt;1,"Invalid","Valid"))</f>
        <v>Valid</v>
      </c>
      <c r="AH479" s="7" t="str">
        <f>TEXT(B479,"mmmm")</f>
        <v>August</v>
      </c>
      <c r="AI479" s="7">
        <f t="shared" si="45"/>
        <v>2025</v>
      </c>
      <c r="AJ479" s="7" t="str">
        <f>IF(OR(R479&lt;0,C479&lt;B479),"Invalid",
IF(OR(G479="Unknown",M479="Unknown"),"Warning","Clean"))</f>
        <v>Clean</v>
      </c>
      <c r="AK479" s="7" t="str">
        <f>IF(C479&lt;B479,"Ship Before Order","OK")</f>
        <v>OK</v>
      </c>
      <c r="AL479" s="7" t="str">
        <f>IF(ISNUMBER(B479),"Valid","Invalid")</f>
        <v>Valid</v>
      </c>
      <c r="AM479" s="7" t="str">
        <f t="shared" si="46"/>
        <v>Missmatched</v>
      </c>
      <c r="AN479" s="7" t="str">
        <f t="shared" si="47"/>
        <v>Missmatched</v>
      </c>
    </row>
    <row r="480" spans="1:40">
      <c r="A480" t="s">
        <v>1534</v>
      </c>
      <c r="B480" s="6">
        <v>45541</v>
      </c>
      <c r="C480" s="4">
        <v>45978</v>
      </c>
      <c r="D480" t="s">
        <v>1535</v>
      </c>
      <c r="E480" t="s">
        <v>36</v>
      </c>
      <c r="F480" t="s">
        <v>95</v>
      </c>
      <c r="G480" t="s">
        <v>2785</v>
      </c>
      <c r="H480" t="s">
        <v>136</v>
      </c>
      <c r="I480" t="s">
        <v>137</v>
      </c>
      <c r="J480" t="s">
        <v>74</v>
      </c>
      <c r="K480" t="s">
        <v>274</v>
      </c>
      <c r="L480" t="s">
        <v>1536</v>
      </c>
      <c r="M480" t="s">
        <v>44</v>
      </c>
      <c r="N480">
        <v>7</v>
      </c>
      <c r="O480">
        <v>4079.71</v>
      </c>
      <c r="P480">
        <v>0.1</v>
      </c>
      <c r="Q480" s="7">
        <f>IF(P480="", 0, P480)</f>
        <v>0.1</v>
      </c>
      <c r="R480">
        <v>25702.17</v>
      </c>
      <c r="S480">
        <v>14571.48</v>
      </c>
      <c r="T480" s="7">
        <f>N480*O480*(1-Q480)</f>
        <v>25702.173000000003</v>
      </c>
      <c r="U480" s="7">
        <f t="shared" si="42"/>
        <v>11130.693000000003</v>
      </c>
      <c r="V480">
        <v>11130.69</v>
      </c>
      <c r="W480" s="12">
        <f t="shared" si="43"/>
        <v>0.43306427826160854</v>
      </c>
      <c r="X480" t="s">
        <v>102</v>
      </c>
      <c r="Y480" t="str">
        <f t="shared" si="44"/>
        <v>Refunded</v>
      </c>
      <c r="Z480" t="s">
        <v>103</v>
      </c>
      <c r="AA480">
        <f>C480-B480</f>
        <v>437</v>
      </c>
      <c r="AB480" t="str">
        <f>IF(B480="","Missing Order Date",
IF(C480="","Missing Ship Date","OK"))</f>
        <v>OK</v>
      </c>
      <c r="AC480" s="7" t="str">
        <f>IF(C480&lt;B480, "Invalid", "Valid")</f>
        <v>Valid</v>
      </c>
      <c r="AD480" s="7" t="str">
        <f>IF(COUNTIF($A:$A, A480)&gt;1, "Duplicate", "Unique")</f>
        <v>Unique</v>
      </c>
      <c r="AE480" s="7" t="str">
        <f>IF(G480="","Unknown",G480)</f>
        <v>Unknown</v>
      </c>
      <c r="AF480" s="7" t="str">
        <f>IF(M480="","Unknown",M480)</f>
        <v>Same Day</v>
      </c>
      <c r="AG480" s="7" t="str">
        <f>IF(P480&lt;0,"Invalid",
IF(P480&gt;1,"Invalid","Valid"))</f>
        <v>Valid</v>
      </c>
      <c r="AH480" s="7" t="str">
        <f>TEXT(B480,"mmmm")</f>
        <v>September</v>
      </c>
      <c r="AI480" s="7">
        <f t="shared" si="45"/>
        <v>2024</v>
      </c>
      <c r="AJ480" s="7" t="str">
        <f>IF(OR(R480&lt;0,C480&lt;B480),"Invalid",
IF(OR(G480="Unknown",M480="Unknown"),"Warning","Clean"))</f>
        <v>Clean</v>
      </c>
      <c r="AK480" s="7" t="str">
        <f>IF(C480&lt;B480,"Ship Before Order","OK")</f>
        <v>OK</v>
      </c>
      <c r="AL480" s="7" t="str">
        <f>IF(ISNUMBER(B480),"Valid","Invalid")</f>
        <v>Valid</v>
      </c>
      <c r="AM480" s="7" t="str">
        <f t="shared" si="46"/>
        <v>Missmatched</v>
      </c>
      <c r="AN480" s="7" t="str">
        <f t="shared" si="47"/>
        <v>Missmatched</v>
      </c>
    </row>
    <row r="481" spans="1:40">
      <c r="A481" t="s">
        <v>1537</v>
      </c>
      <c r="B481" s="6">
        <v>45345</v>
      </c>
      <c r="C481" s="4">
        <v>45979</v>
      </c>
      <c r="D481" t="s">
        <v>1538</v>
      </c>
      <c r="E481" t="s">
        <v>53</v>
      </c>
      <c r="F481" t="s">
        <v>90</v>
      </c>
      <c r="G481" t="s">
        <v>38</v>
      </c>
      <c r="H481" t="s">
        <v>39</v>
      </c>
      <c r="I481" t="s">
        <v>40</v>
      </c>
      <c r="J481" t="s">
        <v>41</v>
      </c>
      <c r="K481" t="s">
        <v>66</v>
      </c>
      <c r="L481" t="s">
        <v>1539</v>
      </c>
      <c r="M481" t="s">
        <v>31</v>
      </c>
      <c r="N481">
        <v>1</v>
      </c>
      <c r="O481">
        <v>2202.5500000000002</v>
      </c>
      <c r="Q481" s="7">
        <f>IF(P481="", 0, P481)</f>
        <v>0</v>
      </c>
      <c r="R481">
        <v>1651.91</v>
      </c>
      <c r="S481">
        <v>1034.57</v>
      </c>
      <c r="T481" s="7">
        <f>N481*O481*(1-Q481)</f>
        <v>2202.5500000000002</v>
      </c>
      <c r="U481" s="7">
        <f t="shared" si="42"/>
        <v>1167.9800000000002</v>
      </c>
      <c r="V481">
        <v>617.34</v>
      </c>
      <c r="W481" s="12">
        <f t="shared" si="43"/>
        <v>0.53028535107035035</v>
      </c>
      <c r="X481" t="s">
        <v>32</v>
      </c>
      <c r="Y481" t="str">
        <f t="shared" si="44"/>
        <v>Paid</v>
      </c>
      <c r="Z481" t="s">
        <v>33</v>
      </c>
      <c r="AA481">
        <f>C481-B481</f>
        <v>634</v>
      </c>
      <c r="AB481" t="str">
        <f>IF(B481="","Missing Order Date",
IF(C481="","Missing Ship Date","OK"))</f>
        <v>OK</v>
      </c>
      <c r="AC481" s="7" t="str">
        <f>IF(C481&lt;B481, "Invalid", "Valid")</f>
        <v>Valid</v>
      </c>
      <c r="AD481" s="7" t="str">
        <f>IF(COUNTIF($A:$A, A481)&gt;1, "Duplicate", "Unique")</f>
        <v>Unique</v>
      </c>
      <c r="AE481" s="7" t="str">
        <f>IF(G481="","Unknown",G481)</f>
        <v>East</v>
      </c>
      <c r="AF481" s="7" t="str">
        <f>IF(M481="","Unknown",M481)</f>
        <v>Second Class</v>
      </c>
      <c r="AG481" s="7" t="str">
        <f>IF(P481&lt;0,"Invalid",
IF(P481&gt;1,"Invalid","Valid"))</f>
        <v>Valid</v>
      </c>
      <c r="AH481" s="7" t="str">
        <f>TEXT(B481,"mmmm")</f>
        <v>February</v>
      </c>
      <c r="AI481" s="7">
        <f t="shared" si="45"/>
        <v>2024</v>
      </c>
      <c r="AJ481" s="7" t="str">
        <f>IF(OR(R481&lt;0,C481&lt;B481),"Invalid",
IF(OR(G481="Unknown",M481="Unknown"),"Warning","Clean"))</f>
        <v>Clean</v>
      </c>
      <c r="AK481" s="7" t="str">
        <f>IF(C481&lt;B481,"Ship Before Order","OK")</f>
        <v>OK</v>
      </c>
      <c r="AL481" s="7" t="str">
        <f>IF(ISNUMBER(B481),"Valid","Invalid")</f>
        <v>Valid</v>
      </c>
      <c r="AM481" s="7" t="str">
        <f t="shared" si="46"/>
        <v>Missmatched</v>
      </c>
      <c r="AN481" s="7" t="str">
        <f t="shared" si="47"/>
        <v>Missmatched</v>
      </c>
    </row>
    <row r="482" spans="1:40">
      <c r="A482" t="s">
        <v>1540</v>
      </c>
      <c r="B482" s="6">
        <v>45778</v>
      </c>
      <c r="C482" s="4">
        <v>45980</v>
      </c>
      <c r="D482" t="s">
        <v>1541</v>
      </c>
      <c r="E482" t="s">
        <v>79</v>
      </c>
      <c r="F482" t="s">
        <v>37</v>
      </c>
      <c r="G482" t="s">
        <v>54</v>
      </c>
      <c r="H482" t="s">
        <v>247</v>
      </c>
      <c r="I482" t="s">
        <v>248</v>
      </c>
      <c r="J482" t="s">
        <v>28</v>
      </c>
      <c r="K482" t="s">
        <v>124</v>
      </c>
      <c r="L482" t="s">
        <v>1542</v>
      </c>
      <c r="M482" t="s">
        <v>2785</v>
      </c>
      <c r="N482">
        <v>5</v>
      </c>
      <c r="O482">
        <v>905.16</v>
      </c>
      <c r="P482">
        <v>0</v>
      </c>
      <c r="Q482" s="7">
        <f>IF(P482="", 0, P482)</f>
        <v>0</v>
      </c>
      <c r="R482">
        <v>4525.8</v>
      </c>
      <c r="S482">
        <v>2714.51</v>
      </c>
      <c r="T482" s="7">
        <f>N482*O482*(1-Q482)</f>
        <v>4525.8</v>
      </c>
      <c r="U482" s="7">
        <f t="shared" si="42"/>
        <v>1811.29</v>
      </c>
      <c r="V482">
        <v>1811.29</v>
      </c>
      <c r="W482" s="12">
        <f t="shared" si="43"/>
        <v>0.40021432674886204</v>
      </c>
      <c r="X482" t="s">
        <v>32</v>
      </c>
      <c r="Y482" t="str">
        <f t="shared" si="44"/>
        <v>Paid</v>
      </c>
      <c r="Z482" t="s">
        <v>33</v>
      </c>
      <c r="AA482">
        <f>C482-B482</f>
        <v>202</v>
      </c>
      <c r="AB482" t="str">
        <f>IF(B482="","Missing Order Date",
IF(C482="","Missing Ship Date","OK"))</f>
        <v>OK</v>
      </c>
      <c r="AC482" s="7" t="str">
        <f>IF(C482&lt;B482, "Invalid", "Valid")</f>
        <v>Valid</v>
      </c>
      <c r="AD482" s="7" t="str">
        <f>IF(COUNTIF($A:$A, A482)&gt;1, "Duplicate", "Unique")</f>
        <v>Unique</v>
      </c>
      <c r="AE482" s="7" t="str">
        <f>IF(G482="","Unknown",G482)</f>
        <v>South</v>
      </c>
      <c r="AF482" s="7" t="str">
        <f>IF(M482="","Unknown",M482)</f>
        <v>Unknown</v>
      </c>
      <c r="AG482" s="7" t="str">
        <f>IF(P482&lt;0,"Invalid",
IF(P482&gt;1,"Invalid","Valid"))</f>
        <v>Valid</v>
      </c>
      <c r="AH482" s="7" t="str">
        <f>TEXT(B482,"mmmm")</f>
        <v>May</v>
      </c>
      <c r="AI482" s="7">
        <f t="shared" si="45"/>
        <v>2025</v>
      </c>
      <c r="AJ482" s="7" t="str">
        <f>IF(OR(R482&lt;0,C482&lt;B482),"Invalid",
IF(OR(G482="Unknown",M482="Unknown"),"Warning","Clean"))</f>
        <v>Clean</v>
      </c>
      <c r="AK482" s="7" t="str">
        <f>IF(C482&lt;B482,"Ship Before Order","OK")</f>
        <v>OK</v>
      </c>
      <c r="AL482" s="7" t="str">
        <f>IF(ISNUMBER(B482),"Valid","Invalid")</f>
        <v>Valid</v>
      </c>
      <c r="AM482" s="7" t="str">
        <f t="shared" si="46"/>
        <v>Ok</v>
      </c>
      <c r="AN482" s="7" t="str">
        <f t="shared" si="47"/>
        <v>Ok</v>
      </c>
    </row>
    <row r="483" spans="1:40">
      <c r="A483" t="s">
        <v>1543</v>
      </c>
      <c r="B483" s="6">
        <v>45783</v>
      </c>
      <c r="C483" s="4">
        <v>45981</v>
      </c>
      <c r="D483" t="s">
        <v>1544</v>
      </c>
      <c r="E483" t="s">
        <v>47</v>
      </c>
      <c r="F483" t="s">
        <v>24</v>
      </c>
      <c r="G483" t="s">
        <v>25</v>
      </c>
      <c r="H483" t="s">
        <v>136</v>
      </c>
      <c r="I483" t="s">
        <v>137</v>
      </c>
      <c r="J483" t="s">
        <v>74</v>
      </c>
      <c r="K483" t="s">
        <v>274</v>
      </c>
      <c r="L483" t="s">
        <v>1545</v>
      </c>
      <c r="M483" t="s">
        <v>44</v>
      </c>
      <c r="N483">
        <v>4</v>
      </c>
      <c r="O483">
        <v>2793.88</v>
      </c>
      <c r="P483" t="s">
        <v>767</v>
      </c>
      <c r="Q483" s="7" t="str">
        <f>IF(P483="", 0, P483)</f>
        <v>85%</v>
      </c>
      <c r="R483">
        <v>10616.74</v>
      </c>
      <c r="S483">
        <v>6353.59</v>
      </c>
      <c r="T483" s="7">
        <f>N483*O483*(1-Q483)</f>
        <v>1676.3280000000002</v>
      </c>
      <c r="U483" s="7">
        <f t="shared" si="42"/>
        <v>-4677.2619999999997</v>
      </c>
      <c r="V483">
        <v>4263.1499999999996</v>
      </c>
      <c r="W483" s="12">
        <f t="shared" si="43"/>
        <v>-2.7901830667983827</v>
      </c>
      <c r="X483" t="s">
        <v>32</v>
      </c>
      <c r="Y483" t="str">
        <f t="shared" si="44"/>
        <v>Paid</v>
      </c>
      <c r="Z483" t="s">
        <v>33</v>
      </c>
      <c r="AA483">
        <f>C483-B483</f>
        <v>198</v>
      </c>
      <c r="AB483" t="str">
        <f>IF(B483="","Missing Order Date",
IF(C483="","Missing Ship Date","OK"))</f>
        <v>OK</v>
      </c>
      <c r="AC483" s="7" t="str">
        <f>IF(C483&lt;B483, "Invalid", "Valid")</f>
        <v>Valid</v>
      </c>
      <c r="AD483" s="7" t="str">
        <f>IF(COUNTIF($A:$A, A483)&gt;1, "Duplicate", "Unique")</f>
        <v>Unique</v>
      </c>
      <c r="AE483" s="7" t="str">
        <f>IF(G483="","Unknown",G483)</f>
        <v>North</v>
      </c>
      <c r="AF483" s="7" t="str">
        <f>IF(M483="","Unknown",M483)</f>
        <v>Same Day</v>
      </c>
      <c r="AG483" s="7" t="str">
        <f>IF(P483&lt;0,"Invalid",
IF(P483&gt;1,"Invalid","Valid"))</f>
        <v>Invalid</v>
      </c>
      <c r="AH483" s="7" t="str">
        <f>TEXT(B483,"mmmm")</f>
        <v>May</v>
      </c>
      <c r="AI483" s="7">
        <f t="shared" si="45"/>
        <v>2025</v>
      </c>
      <c r="AJ483" s="7" t="str">
        <f>IF(OR(R483&lt;0,C483&lt;B483),"Invalid",
IF(OR(G483="Unknown",M483="Unknown"),"Warning","Clean"))</f>
        <v>Clean</v>
      </c>
      <c r="AK483" s="7" t="str">
        <f>IF(C483&lt;B483,"Ship Before Order","OK")</f>
        <v>OK</v>
      </c>
      <c r="AL483" s="7" t="str">
        <f>IF(ISNUMBER(B483),"Valid","Invalid")</f>
        <v>Valid</v>
      </c>
      <c r="AM483" s="7" t="str">
        <f t="shared" si="46"/>
        <v>Missmatched</v>
      </c>
      <c r="AN483" s="7" t="str">
        <f t="shared" si="47"/>
        <v>Missmatched</v>
      </c>
    </row>
    <row r="484" spans="1:40">
      <c r="A484" t="s">
        <v>1546</v>
      </c>
      <c r="B484" s="6">
        <v>45495</v>
      </c>
      <c r="C484" s="4">
        <v>45982</v>
      </c>
      <c r="D484" t="s">
        <v>1547</v>
      </c>
      <c r="E484" t="s">
        <v>114</v>
      </c>
      <c r="F484" t="s">
        <v>24</v>
      </c>
      <c r="G484" t="s">
        <v>54</v>
      </c>
      <c r="H484" t="s">
        <v>175</v>
      </c>
      <c r="I484" t="s">
        <v>176</v>
      </c>
      <c r="J484" t="s">
        <v>74</v>
      </c>
      <c r="K484" t="s">
        <v>75</v>
      </c>
      <c r="L484" t="s">
        <v>1548</v>
      </c>
      <c r="M484" t="s">
        <v>31</v>
      </c>
      <c r="N484">
        <v>3</v>
      </c>
      <c r="O484">
        <v>1286.22</v>
      </c>
      <c r="P484">
        <v>0.25</v>
      </c>
      <c r="Q484" s="7">
        <f>IF(P484="", 0, P484)</f>
        <v>0.25</v>
      </c>
      <c r="R484">
        <v>2893.99</v>
      </c>
      <c r="S484">
        <v>1856.03</v>
      </c>
      <c r="T484" s="7">
        <f>N484*O484*(1-Q484)</f>
        <v>2893.9949999999999</v>
      </c>
      <c r="U484" s="7">
        <f t="shared" si="42"/>
        <v>1037.9649999999999</v>
      </c>
      <c r="V484">
        <v>1037.96</v>
      </c>
      <c r="W484" s="12">
        <f t="shared" si="43"/>
        <v>0.35866164247001114</v>
      </c>
      <c r="X484" t="s">
        <v>32</v>
      </c>
      <c r="Y484" t="str">
        <f t="shared" si="44"/>
        <v>Paid</v>
      </c>
      <c r="Z484" t="s">
        <v>33</v>
      </c>
      <c r="AA484">
        <f>C484-B484</f>
        <v>487</v>
      </c>
      <c r="AB484" t="str">
        <f>IF(B484="","Missing Order Date",
IF(C484="","Missing Ship Date","OK"))</f>
        <v>OK</v>
      </c>
      <c r="AC484" s="7" t="str">
        <f>IF(C484&lt;B484, "Invalid", "Valid")</f>
        <v>Valid</v>
      </c>
      <c r="AD484" s="7" t="str">
        <f>IF(COUNTIF($A:$A, A484)&gt;1, "Duplicate", "Unique")</f>
        <v>Unique</v>
      </c>
      <c r="AE484" s="7" t="str">
        <f>IF(G484="","Unknown",G484)</f>
        <v>South</v>
      </c>
      <c r="AF484" s="7" t="str">
        <f>IF(M484="","Unknown",M484)</f>
        <v>Second Class</v>
      </c>
      <c r="AG484" s="7" t="str">
        <f>IF(P484&lt;0,"Invalid",
IF(P484&gt;1,"Invalid","Valid"))</f>
        <v>Valid</v>
      </c>
      <c r="AH484" s="7" t="str">
        <f>TEXT(B484,"mmmm")</f>
        <v>July</v>
      </c>
      <c r="AI484" s="7">
        <f t="shared" si="45"/>
        <v>2024</v>
      </c>
      <c r="AJ484" s="7" t="str">
        <f>IF(OR(R484&lt;0,C484&lt;B484),"Invalid",
IF(OR(G484="Unknown",M484="Unknown"),"Warning","Clean"))</f>
        <v>Clean</v>
      </c>
      <c r="AK484" s="7" t="str">
        <f>IF(C484&lt;B484,"Ship Before Order","OK")</f>
        <v>OK</v>
      </c>
      <c r="AL484" s="7" t="str">
        <f>IF(ISNUMBER(B484),"Valid","Invalid")</f>
        <v>Valid</v>
      </c>
      <c r="AM484" s="7" t="str">
        <f t="shared" si="46"/>
        <v>Missmatched</v>
      </c>
      <c r="AN484" s="7" t="str">
        <f t="shared" si="47"/>
        <v>Missmatched</v>
      </c>
    </row>
    <row r="485" spans="1:40">
      <c r="A485" t="s">
        <v>1549</v>
      </c>
      <c r="B485" s="6">
        <v>45651</v>
      </c>
      <c r="C485" s="4">
        <v>45983</v>
      </c>
      <c r="D485" t="s">
        <v>1550</v>
      </c>
      <c r="E485" t="s">
        <v>36</v>
      </c>
      <c r="F485" t="s">
        <v>90</v>
      </c>
      <c r="G485" t="s">
        <v>38</v>
      </c>
      <c r="H485" t="s">
        <v>145</v>
      </c>
      <c r="I485" t="s">
        <v>146</v>
      </c>
      <c r="J485" t="s">
        <v>74</v>
      </c>
      <c r="K485" t="s">
        <v>80</v>
      </c>
      <c r="L485" t="s">
        <v>1551</v>
      </c>
      <c r="M485" t="s">
        <v>59</v>
      </c>
      <c r="N485">
        <v>1</v>
      </c>
      <c r="O485">
        <v>829.66</v>
      </c>
      <c r="P485">
        <v>0.15</v>
      </c>
      <c r="Q485" s="7">
        <f>IF(P485="", 0, P485)</f>
        <v>0.15</v>
      </c>
      <c r="R485">
        <v>705.21</v>
      </c>
      <c r="S485">
        <v>438.32</v>
      </c>
      <c r="T485" s="7">
        <f>N485*O485*(1-Q485)</f>
        <v>705.2109999999999</v>
      </c>
      <c r="U485" s="7">
        <f t="shared" si="42"/>
        <v>266.89099999999991</v>
      </c>
      <c r="V485">
        <v>266.89</v>
      </c>
      <c r="W485" s="12">
        <f t="shared" si="43"/>
        <v>0.37845552607659261</v>
      </c>
      <c r="X485" t="s">
        <v>32</v>
      </c>
      <c r="Y485" t="str">
        <f t="shared" si="44"/>
        <v>Paid</v>
      </c>
      <c r="Z485" t="s">
        <v>33</v>
      </c>
      <c r="AA485">
        <f>C485-B485</f>
        <v>332</v>
      </c>
      <c r="AB485" t="str">
        <f>IF(B485="","Missing Order Date",
IF(C485="","Missing Ship Date","OK"))</f>
        <v>OK</v>
      </c>
      <c r="AC485" s="7" t="str">
        <f>IF(C485&lt;B485, "Invalid", "Valid")</f>
        <v>Valid</v>
      </c>
      <c r="AD485" s="7" t="str">
        <f>IF(COUNTIF($A:$A, A485)&gt;1, "Duplicate", "Unique")</f>
        <v>Unique</v>
      </c>
      <c r="AE485" s="7" t="str">
        <f>IF(G485="","Unknown",G485)</f>
        <v>East</v>
      </c>
      <c r="AF485" s="7" t="str">
        <f>IF(M485="","Unknown",M485)</f>
        <v>Standard Class</v>
      </c>
      <c r="AG485" s="7" t="str">
        <f>IF(P485&lt;0,"Invalid",
IF(P485&gt;1,"Invalid","Valid"))</f>
        <v>Valid</v>
      </c>
      <c r="AH485" s="7" t="str">
        <f>TEXT(B485,"mmmm")</f>
        <v>December</v>
      </c>
      <c r="AI485" s="7">
        <f t="shared" si="45"/>
        <v>2024</v>
      </c>
      <c r="AJ485" s="7" t="str">
        <f>IF(OR(R485&lt;0,C485&lt;B485),"Invalid",
IF(OR(G485="Unknown",M485="Unknown"),"Warning","Clean"))</f>
        <v>Clean</v>
      </c>
      <c r="AK485" s="7" t="str">
        <f>IF(C485&lt;B485,"Ship Before Order","OK")</f>
        <v>OK</v>
      </c>
      <c r="AL485" s="7" t="str">
        <f>IF(ISNUMBER(B485),"Valid","Invalid")</f>
        <v>Valid</v>
      </c>
      <c r="AM485" s="7" t="str">
        <f t="shared" si="46"/>
        <v>Missmatched</v>
      </c>
      <c r="AN485" s="7" t="str">
        <f t="shared" si="47"/>
        <v>Missmatched</v>
      </c>
    </row>
    <row r="486" spans="1:40">
      <c r="A486" t="s">
        <v>1552</v>
      </c>
      <c r="B486" s="6">
        <v>45654</v>
      </c>
      <c r="C486" s="4">
        <v>45984</v>
      </c>
      <c r="D486" t="s">
        <v>1553</v>
      </c>
      <c r="E486" t="s">
        <v>36</v>
      </c>
      <c r="F486" t="s">
        <v>37</v>
      </c>
      <c r="G486" t="s">
        <v>54</v>
      </c>
      <c r="H486" t="s">
        <v>84</v>
      </c>
      <c r="I486" t="s">
        <v>85</v>
      </c>
      <c r="J486" t="s">
        <v>41</v>
      </c>
      <c r="K486" t="s">
        <v>57</v>
      </c>
      <c r="L486" t="s">
        <v>1554</v>
      </c>
      <c r="M486" t="s">
        <v>50</v>
      </c>
      <c r="N486">
        <v>6</v>
      </c>
      <c r="O486">
        <v>3641.22</v>
      </c>
      <c r="P486">
        <v>0.25</v>
      </c>
      <c r="Q486" s="7">
        <f>IF(P486="", 0, P486)</f>
        <v>0.25</v>
      </c>
      <c r="R486">
        <v>16385.490000000002</v>
      </c>
      <c r="S486">
        <v>13679.24</v>
      </c>
      <c r="T486" s="7">
        <f>N486*O486*(1-Q486)</f>
        <v>16385.489999999998</v>
      </c>
      <c r="U486" s="7">
        <f t="shared" si="42"/>
        <v>2706.2499999999982</v>
      </c>
      <c r="V486">
        <v>2706.25</v>
      </c>
      <c r="W486" s="12">
        <f t="shared" si="43"/>
        <v>0.16516137143289572</v>
      </c>
      <c r="X486" t="s">
        <v>32</v>
      </c>
      <c r="Y486" t="str">
        <f t="shared" si="44"/>
        <v>Paid</v>
      </c>
      <c r="Z486" t="s">
        <v>33</v>
      </c>
      <c r="AA486">
        <f>C486-B486</f>
        <v>330</v>
      </c>
      <c r="AB486" t="str">
        <f>IF(B486="","Missing Order Date",
IF(C486="","Missing Ship Date","OK"))</f>
        <v>OK</v>
      </c>
      <c r="AC486" s="7" t="str">
        <f>IF(C486&lt;B486, "Invalid", "Valid")</f>
        <v>Valid</v>
      </c>
      <c r="AD486" s="7" t="str">
        <f>IF(COUNTIF($A:$A, A486)&gt;1, "Duplicate", "Unique")</f>
        <v>Unique</v>
      </c>
      <c r="AE486" s="7" t="str">
        <f>IF(G486="","Unknown",G486)</f>
        <v>South</v>
      </c>
      <c r="AF486" s="7" t="str">
        <f>IF(M486="","Unknown",M486)</f>
        <v>First Class</v>
      </c>
      <c r="AG486" s="7" t="str">
        <f>IF(P486&lt;0,"Invalid",
IF(P486&gt;1,"Invalid","Valid"))</f>
        <v>Valid</v>
      </c>
      <c r="AH486" s="7" t="str">
        <f>TEXT(B486,"mmmm")</f>
        <v>December</v>
      </c>
      <c r="AI486" s="7">
        <f t="shared" si="45"/>
        <v>2024</v>
      </c>
      <c r="AJ486" s="7" t="str">
        <f>IF(OR(R486&lt;0,C486&lt;B486),"Invalid",
IF(OR(G486="Unknown",M486="Unknown"),"Warning","Clean"))</f>
        <v>Clean</v>
      </c>
      <c r="AK486" s="7" t="str">
        <f>IF(C486&lt;B486,"Ship Before Order","OK")</f>
        <v>OK</v>
      </c>
      <c r="AL486" s="7" t="str">
        <f>IF(ISNUMBER(B486),"Valid","Invalid")</f>
        <v>Valid</v>
      </c>
      <c r="AM486" s="7" t="str">
        <f t="shared" si="46"/>
        <v>Ok</v>
      </c>
      <c r="AN486" s="7" t="str">
        <f t="shared" si="47"/>
        <v>Ok</v>
      </c>
    </row>
    <row r="487" spans="1:40">
      <c r="A487" t="s">
        <v>1555</v>
      </c>
      <c r="B487" s="6">
        <v>45679</v>
      </c>
      <c r="C487" s="4">
        <v>45985</v>
      </c>
      <c r="D487" t="s">
        <v>1556</v>
      </c>
      <c r="E487" t="s">
        <v>118</v>
      </c>
      <c r="F487" t="s">
        <v>90</v>
      </c>
      <c r="G487" t="s">
        <v>63</v>
      </c>
      <c r="H487" t="s">
        <v>190</v>
      </c>
      <c r="I487" t="s">
        <v>191</v>
      </c>
      <c r="J487" t="s">
        <v>41</v>
      </c>
      <c r="K487" t="s">
        <v>158</v>
      </c>
      <c r="L487" t="s">
        <v>1557</v>
      </c>
      <c r="M487" t="s">
        <v>59</v>
      </c>
      <c r="N487">
        <v>4</v>
      </c>
      <c r="O487">
        <v>2555.19</v>
      </c>
      <c r="P487">
        <v>0.25</v>
      </c>
      <c r="Q487" s="7">
        <f>IF(P487="", 0, P487)</f>
        <v>0.25</v>
      </c>
      <c r="R487">
        <v>7665.57</v>
      </c>
      <c r="S487">
        <v>5595.6</v>
      </c>
      <c r="T487" s="7">
        <f>N487*O487*(1-Q487)</f>
        <v>7665.57</v>
      </c>
      <c r="U487" s="7">
        <f t="shared" si="42"/>
        <v>2069.9699999999993</v>
      </c>
      <c r="V487">
        <v>2069.9699999999998</v>
      </c>
      <c r="W487" s="12">
        <f t="shared" si="43"/>
        <v>0.27003471366121495</v>
      </c>
      <c r="X487" t="s">
        <v>32</v>
      </c>
      <c r="Y487" t="str">
        <f t="shared" si="44"/>
        <v>Paid</v>
      </c>
      <c r="Z487" t="s">
        <v>33</v>
      </c>
      <c r="AA487">
        <f>C487-B487</f>
        <v>306</v>
      </c>
      <c r="AB487" t="str">
        <f>IF(B487="","Missing Order Date",
IF(C487="","Missing Ship Date","OK"))</f>
        <v>OK</v>
      </c>
      <c r="AC487" s="7" t="str">
        <f>IF(C487&lt;B487, "Invalid", "Valid")</f>
        <v>Valid</v>
      </c>
      <c r="AD487" s="7" t="str">
        <f>IF(COUNTIF($A:$A, A487)&gt;1, "Duplicate", "Unique")</f>
        <v>Unique</v>
      </c>
      <c r="AE487" s="7" t="str">
        <f>IF(G487="","Unknown",G487)</f>
        <v>West</v>
      </c>
      <c r="AF487" s="7" t="str">
        <f>IF(M487="","Unknown",M487)</f>
        <v>Standard Class</v>
      </c>
      <c r="AG487" s="7" t="str">
        <f>IF(P487&lt;0,"Invalid",
IF(P487&gt;1,"Invalid","Valid"))</f>
        <v>Valid</v>
      </c>
      <c r="AH487" s="7" t="str">
        <f>TEXT(B487,"mmmm")</f>
        <v>January</v>
      </c>
      <c r="AI487" s="7">
        <f t="shared" si="45"/>
        <v>2025</v>
      </c>
      <c r="AJ487" s="7" t="str">
        <f>IF(OR(R487&lt;0,C487&lt;B487),"Invalid",
IF(OR(G487="Unknown",M487="Unknown"),"Warning","Clean"))</f>
        <v>Clean</v>
      </c>
      <c r="AK487" s="7" t="str">
        <f>IF(C487&lt;B487,"Ship Before Order","OK")</f>
        <v>OK</v>
      </c>
      <c r="AL487" s="7" t="str">
        <f>IF(ISNUMBER(B487),"Valid","Invalid")</f>
        <v>Valid</v>
      </c>
      <c r="AM487" s="7" t="str">
        <f t="shared" si="46"/>
        <v>Ok</v>
      </c>
      <c r="AN487" s="7" t="str">
        <f t="shared" si="47"/>
        <v>Ok</v>
      </c>
    </row>
    <row r="488" spans="1:40">
      <c r="A488" t="s">
        <v>1558</v>
      </c>
      <c r="B488" s="6">
        <v>45830</v>
      </c>
      <c r="C488" s="4">
        <v>45986</v>
      </c>
      <c r="D488" t="s">
        <v>1559</v>
      </c>
      <c r="E488" t="s">
        <v>118</v>
      </c>
      <c r="F488" t="s">
        <v>90</v>
      </c>
      <c r="G488" t="s">
        <v>63</v>
      </c>
      <c r="H488" t="s">
        <v>190</v>
      </c>
      <c r="I488" t="s">
        <v>191</v>
      </c>
      <c r="J488" t="s">
        <v>41</v>
      </c>
      <c r="K488" t="s">
        <v>42</v>
      </c>
      <c r="L488" t="s">
        <v>1560</v>
      </c>
      <c r="M488" t="s">
        <v>59</v>
      </c>
      <c r="N488">
        <v>3</v>
      </c>
      <c r="O488">
        <v>1946.18</v>
      </c>
      <c r="P488">
        <v>0.2</v>
      </c>
      <c r="Q488" s="7">
        <f>IF(P488="", 0, P488)</f>
        <v>0.2</v>
      </c>
      <c r="R488">
        <v>4670.83</v>
      </c>
      <c r="S488">
        <v>3166.49</v>
      </c>
      <c r="T488" s="7">
        <f>N488*O488*(1-Q488)</f>
        <v>4670.8320000000003</v>
      </c>
      <c r="U488" s="7">
        <f t="shared" si="42"/>
        <v>1504.3420000000006</v>
      </c>
      <c r="V488">
        <v>1504.34</v>
      </c>
      <c r="W488" s="12">
        <f t="shared" si="43"/>
        <v>0.3220715281560117</v>
      </c>
      <c r="X488" t="s">
        <v>32</v>
      </c>
      <c r="Y488" t="str">
        <f t="shared" si="44"/>
        <v>Paid</v>
      </c>
      <c r="Z488" t="s">
        <v>33</v>
      </c>
      <c r="AA488">
        <f>C488-B488</f>
        <v>156</v>
      </c>
      <c r="AB488" t="str">
        <f>IF(B488="","Missing Order Date",
IF(C488="","Missing Ship Date","OK"))</f>
        <v>OK</v>
      </c>
      <c r="AC488" s="7" t="str">
        <f>IF(C488&lt;B488, "Invalid", "Valid")</f>
        <v>Valid</v>
      </c>
      <c r="AD488" s="7" t="str">
        <f>IF(COUNTIF($A:$A, A488)&gt;1, "Duplicate", "Unique")</f>
        <v>Unique</v>
      </c>
      <c r="AE488" s="7" t="str">
        <f>IF(G488="","Unknown",G488)</f>
        <v>West</v>
      </c>
      <c r="AF488" s="7" t="str">
        <f>IF(M488="","Unknown",M488)</f>
        <v>Standard Class</v>
      </c>
      <c r="AG488" s="7" t="str">
        <f>IF(P488&lt;0,"Invalid",
IF(P488&gt;1,"Invalid","Valid"))</f>
        <v>Valid</v>
      </c>
      <c r="AH488" s="7" t="str">
        <f>TEXT(B488,"mmmm")</f>
        <v>June</v>
      </c>
      <c r="AI488" s="7">
        <f t="shared" si="45"/>
        <v>2025</v>
      </c>
      <c r="AJ488" s="7" t="str">
        <f>IF(OR(R488&lt;0,C488&lt;B488),"Invalid",
IF(OR(G488="Unknown",M488="Unknown"),"Warning","Clean"))</f>
        <v>Clean</v>
      </c>
      <c r="AK488" s="7" t="str">
        <f>IF(C488&lt;B488,"Ship Before Order","OK")</f>
        <v>OK</v>
      </c>
      <c r="AL488" s="7" t="str">
        <f>IF(ISNUMBER(B488),"Valid","Invalid")</f>
        <v>Valid</v>
      </c>
      <c r="AM488" s="7" t="str">
        <f t="shared" si="46"/>
        <v>Missmatched</v>
      </c>
      <c r="AN488" s="7" t="str">
        <f t="shared" si="47"/>
        <v>Missmatched</v>
      </c>
    </row>
    <row r="489" spans="1:40">
      <c r="A489" t="s">
        <v>1561</v>
      </c>
      <c r="B489" s="6">
        <v>45936</v>
      </c>
      <c r="C489" s="4">
        <v>45987</v>
      </c>
      <c r="D489" t="s">
        <v>1562</v>
      </c>
      <c r="E489" t="s">
        <v>118</v>
      </c>
      <c r="F489" t="s">
        <v>90</v>
      </c>
      <c r="G489" t="s">
        <v>54</v>
      </c>
      <c r="H489" t="s">
        <v>55</v>
      </c>
      <c r="I489" t="s">
        <v>56</v>
      </c>
      <c r="J489" t="s">
        <v>41</v>
      </c>
      <c r="K489" t="s">
        <v>57</v>
      </c>
      <c r="L489" t="s">
        <v>1563</v>
      </c>
      <c r="M489" t="s">
        <v>59</v>
      </c>
      <c r="N489">
        <v>5</v>
      </c>
      <c r="O489">
        <v>1231.0999999999999</v>
      </c>
      <c r="P489">
        <v>0</v>
      </c>
      <c r="Q489" s="7">
        <f>IF(P489="", 0, P489)</f>
        <v>0</v>
      </c>
      <c r="R489">
        <v>6155.5</v>
      </c>
      <c r="S489">
        <v>4282.09</v>
      </c>
      <c r="T489" s="7">
        <f>N489*O489*(1-Q489)</f>
        <v>6155.5</v>
      </c>
      <c r="U489" s="7">
        <f t="shared" si="42"/>
        <v>1873.4099999999999</v>
      </c>
      <c r="V489">
        <v>1873.41</v>
      </c>
      <c r="W489" s="12">
        <f t="shared" si="43"/>
        <v>0.3043473316546178</v>
      </c>
      <c r="X489" t="s">
        <v>102</v>
      </c>
      <c r="Y489" t="str">
        <f t="shared" si="44"/>
        <v>Refunded</v>
      </c>
      <c r="Z489" t="s">
        <v>103</v>
      </c>
      <c r="AA489">
        <f>C489-B489</f>
        <v>51</v>
      </c>
      <c r="AB489" t="str">
        <f>IF(B489="","Missing Order Date",
IF(C489="","Missing Ship Date","OK"))</f>
        <v>OK</v>
      </c>
      <c r="AC489" s="7" t="str">
        <f>IF(C489&lt;B489, "Invalid", "Valid")</f>
        <v>Valid</v>
      </c>
      <c r="AD489" s="7" t="str">
        <f>IF(COUNTIF($A:$A, A489)&gt;1, "Duplicate", "Unique")</f>
        <v>Unique</v>
      </c>
      <c r="AE489" s="7" t="str">
        <f>IF(G489="","Unknown",G489)</f>
        <v>South</v>
      </c>
      <c r="AF489" s="7" t="str">
        <f>IF(M489="","Unknown",M489)</f>
        <v>Standard Class</v>
      </c>
      <c r="AG489" s="7" t="str">
        <f>IF(P489&lt;0,"Invalid",
IF(P489&gt;1,"Invalid","Valid"))</f>
        <v>Valid</v>
      </c>
      <c r="AH489" s="7" t="str">
        <f>TEXT(B489,"mmmm")</f>
        <v>October</v>
      </c>
      <c r="AI489" s="7">
        <f t="shared" si="45"/>
        <v>2025</v>
      </c>
      <c r="AJ489" s="7" t="str">
        <f>IF(OR(R489&lt;0,C489&lt;B489),"Invalid",
IF(OR(G489="Unknown",M489="Unknown"),"Warning","Clean"))</f>
        <v>Clean</v>
      </c>
      <c r="AK489" s="7" t="str">
        <f>IF(C489&lt;B489,"Ship Before Order","OK")</f>
        <v>OK</v>
      </c>
      <c r="AL489" s="7" t="str">
        <f>IF(ISNUMBER(B489),"Valid","Invalid")</f>
        <v>Valid</v>
      </c>
      <c r="AM489" s="7" t="str">
        <f t="shared" si="46"/>
        <v>Ok</v>
      </c>
      <c r="AN489" s="7" t="str">
        <f t="shared" si="47"/>
        <v>Ok</v>
      </c>
    </row>
    <row r="490" spans="1:40">
      <c r="A490" t="s">
        <v>1564</v>
      </c>
      <c r="B490" s="6">
        <v>45579</v>
      </c>
      <c r="C490" s="4">
        <v>45988</v>
      </c>
      <c r="D490" t="s">
        <v>1565</v>
      </c>
      <c r="E490" t="s">
        <v>89</v>
      </c>
      <c r="F490" t="s">
        <v>37</v>
      </c>
      <c r="G490" t="s">
        <v>25</v>
      </c>
      <c r="H490" t="s">
        <v>26</v>
      </c>
      <c r="I490" t="s">
        <v>27</v>
      </c>
      <c r="J490" t="s">
        <v>41</v>
      </c>
      <c r="K490" t="s">
        <v>42</v>
      </c>
      <c r="L490" t="s">
        <v>1566</v>
      </c>
      <c r="M490" t="s">
        <v>44</v>
      </c>
      <c r="N490">
        <v>7</v>
      </c>
      <c r="O490">
        <v>1547.6</v>
      </c>
      <c r="P490">
        <v>0.2</v>
      </c>
      <c r="Q490" s="7">
        <f>IF(P490="", 0, P490)</f>
        <v>0.2</v>
      </c>
      <c r="R490">
        <v>8666.56</v>
      </c>
      <c r="S490">
        <v>5967.44</v>
      </c>
      <c r="T490" s="7">
        <f>N490*O490*(1-Q490)</f>
        <v>8666.56</v>
      </c>
      <c r="U490" s="7">
        <f t="shared" si="42"/>
        <v>2699.12</v>
      </c>
      <c r="V490">
        <v>2699.12</v>
      </c>
      <c r="W490" s="12">
        <f t="shared" si="43"/>
        <v>0.31144075619392242</v>
      </c>
      <c r="X490" t="s">
        <v>32</v>
      </c>
      <c r="Y490" t="str">
        <f t="shared" si="44"/>
        <v>Paid</v>
      </c>
      <c r="Z490" t="s">
        <v>33</v>
      </c>
      <c r="AA490">
        <f>C490-B490</f>
        <v>409</v>
      </c>
      <c r="AB490" t="str">
        <f>IF(B490="","Missing Order Date",
IF(C490="","Missing Ship Date","OK"))</f>
        <v>OK</v>
      </c>
      <c r="AC490" s="7" t="str">
        <f>IF(C490&lt;B490, "Invalid", "Valid")</f>
        <v>Valid</v>
      </c>
      <c r="AD490" s="7" t="str">
        <f>IF(COUNTIF($A:$A, A490)&gt;1, "Duplicate", "Unique")</f>
        <v>Unique</v>
      </c>
      <c r="AE490" s="7" t="str">
        <f>IF(G490="","Unknown",G490)</f>
        <v>North</v>
      </c>
      <c r="AF490" s="7" t="str">
        <f>IF(M490="","Unknown",M490)</f>
        <v>Same Day</v>
      </c>
      <c r="AG490" s="7" t="str">
        <f>IF(P490&lt;0,"Invalid",
IF(P490&gt;1,"Invalid","Valid"))</f>
        <v>Valid</v>
      </c>
      <c r="AH490" s="7" t="str">
        <f>TEXT(B490,"mmmm")</f>
        <v>October</v>
      </c>
      <c r="AI490" s="7">
        <f t="shared" si="45"/>
        <v>2024</v>
      </c>
      <c r="AJ490" s="7" t="str">
        <f>IF(OR(R490&lt;0,C490&lt;B490),"Invalid",
IF(OR(G490="Unknown",M490="Unknown"),"Warning","Clean"))</f>
        <v>Clean</v>
      </c>
      <c r="AK490" s="7" t="str">
        <f>IF(C490&lt;B490,"Ship Before Order","OK")</f>
        <v>OK</v>
      </c>
      <c r="AL490" s="7" t="str">
        <f>IF(ISNUMBER(B490),"Valid","Invalid")</f>
        <v>Valid</v>
      </c>
      <c r="AM490" s="7" t="str">
        <f t="shared" si="46"/>
        <v>Ok</v>
      </c>
      <c r="AN490" s="7" t="str">
        <f t="shared" si="47"/>
        <v>Ok</v>
      </c>
    </row>
    <row r="491" spans="1:40">
      <c r="A491" t="s">
        <v>1567</v>
      </c>
      <c r="B491" s="6">
        <v>45475</v>
      </c>
      <c r="C491" s="4">
        <v>45989</v>
      </c>
      <c r="D491" t="s">
        <v>1568</v>
      </c>
      <c r="E491" t="s">
        <v>53</v>
      </c>
      <c r="F491" t="s">
        <v>95</v>
      </c>
      <c r="G491" t="s">
        <v>38</v>
      </c>
      <c r="H491" t="s">
        <v>99</v>
      </c>
      <c r="I491" t="s">
        <v>100</v>
      </c>
      <c r="J491" t="s">
        <v>74</v>
      </c>
      <c r="K491" t="s">
        <v>75</v>
      </c>
      <c r="L491" t="s">
        <v>1569</v>
      </c>
      <c r="M491" t="s">
        <v>31</v>
      </c>
      <c r="N491">
        <v>1</v>
      </c>
      <c r="O491">
        <v>452.19</v>
      </c>
      <c r="P491">
        <v>0.2</v>
      </c>
      <c r="Q491" s="7">
        <f>IF(P491="", 0, P491)</f>
        <v>0.2</v>
      </c>
      <c r="R491">
        <v>361.75</v>
      </c>
      <c r="S491">
        <v>262.52999999999997</v>
      </c>
      <c r="T491" s="7">
        <f>N491*O491*(1-Q491)</f>
        <v>361.75200000000001</v>
      </c>
      <c r="U491" s="7">
        <f t="shared" si="42"/>
        <v>99.222000000000037</v>
      </c>
      <c r="V491">
        <v>99.22</v>
      </c>
      <c r="W491" s="12">
        <f t="shared" si="43"/>
        <v>0.27428182843495003</v>
      </c>
      <c r="X491" t="s">
        <v>32</v>
      </c>
      <c r="Y491" t="str">
        <f t="shared" si="44"/>
        <v>Paid</v>
      </c>
      <c r="Z491" t="s">
        <v>33</v>
      </c>
      <c r="AA491">
        <f>C491-B491</f>
        <v>514</v>
      </c>
      <c r="AB491" t="str">
        <f>IF(B491="","Missing Order Date",
IF(C491="","Missing Ship Date","OK"))</f>
        <v>OK</v>
      </c>
      <c r="AC491" s="7" t="str">
        <f>IF(C491&lt;B491, "Invalid", "Valid")</f>
        <v>Valid</v>
      </c>
      <c r="AD491" s="7" t="str">
        <f>IF(COUNTIF($A:$A, A491)&gt;1, "Duplicate", "Unique")</f>
        <v>Unique</v>
      </c>
      <c r="AE491" s="7" t="str">
        <f>IF(G491="","Unknown",G491)</f>
        <v>East</v>
      </c>
      <c r="AF491" s="7" t="str">
        <f>IF(M491="","Unknown",M491)</f>
        <v>Second Class</v>
      </c>
      <c r="AG491" s="7" t="str">
        <f>IF(P491&lt;0,"Invalid",
IF(P491&gt;1,"Invalid","Valid"))</f>
        <v>Valid</v>
      </c>
      <c r="AH491" s="7" t="str">
        <f>TEXT(B491,"mmmm")</f>
        <v>July</v>
      </c>
      <c r="AI491" s="7">
        <f t="shared" si="45"/>
        <v>2024</v>
      </c>
      <c r="AJ491" s="7" t="str">
        <f>IF(OR(R491&lt;0,C491&lt;B491),"Invalid",
IF(OR(G491="Unknown",M491="Unknown"),"Warning","Clean"))</f>
        <v>Clean</v>
      </c>
      <c r="AK491" s="7" t="str">
        <f>IF(C491&lt;B491,"Ship Before Order","OK")</f>
        <v>OK</v>
      </c>
      <c r="AL491" s="7" t="str">
        <f>IF(ISNUMBER(B491),"Valid","Invalid")</f>
        <v>Valid</v>
      </c>
      <c r="AM491" s="7" t="str">
        <f t="shared" si="46"/>
        <v>Missmatched</v>
      </c>
      <c r="AN491" s="7" t="str">
        <f t="shared" si="47"/>
        <v>Missmatched</v>
      </c>
    </row>
    <row r="492" spans="1:40">
      <c r="A492" t="s">
        <v>1570</v>
      </c>
      <c r="B492" s="6">
        <v>45551</v>
      </c>
      <c r="C492" s="4">
        <v>45990</v>
      </c>
      <c r="D492" t="s">
        <v>1571</v>
      </c>
      <c r="E492" t="s">
        <v>89</v>
      </c>
      <c r="F492" t="s">
        <v>24</v>
      </c>
      <c r="G492" t="s">
        <v>63</v>
      </c>
      <c r="H492" t="s">
        <v>26</v>
      </c>
      <c r="I492" t="s">
        <v>109</v>
      </c>
      <c r="J492" t="s">
        <v>28</v>
      </c>
      <c r="K492" t="s">
        <v>153</v>
      </c>
      <c r="L492" t="s">
        <v>1572</v>
      </c>
      <c r="M492" t="s">
        <v>50</v>
      </c>
      <c r="N492">
        <v>7</v>
      </c>
      <c r="O492">
        <v>406.42</v>
      </c>
      <c r="P492">
        <v>0.15</v>
      </c>
      <c r="Q492" s="7">
        <f>IF(P492="", 0, P492)</f>
        <v>0.15</v>
      </c>
      <c r="R492">
        <v>2418.1999999999998</v>
      </c>
      <c r="S492">
        <v>1613.82</v>
      </c>
      <c r="T492" s="7">
        <f>N492*O492*(1-Q492)</f>
        <v>2418.1990000000001</v>
      </c>
      <c r="U492" s="7">
        <f t="shared" si="42"/>
        <v>804.37900000000013</v>
      </c>
      <c r="V492">
        <v>804.38</v>
      </c>
      <c r="W492" s="12">
        <f t="shared" si="43"/>
        <v>0.33263556886757462</v>
      </c>
      <c r="X492" t="s">
        <v>32</v>
      </c>
      <c r="Y492" t="str">
        <f t="shared" si="44"/>
        <v>Paid</v>
      </c>
      <c r="Z492" t="s">
        <v>33</v>
      </c>
      <c r="AA492">
        <f>C492-B492</f>
        <v>439</v>
      </c>
      <c r="AB492" t="str">
        <f>IF(B492="","Missing Order Date",
IF(C492="","Missing Ship Date","OK"))</f>
        <v>OK</v>
      </c>
      <c r="AC492" s="7" t="str">
        <f>IF(C492&lt;B492, "Invalid", "Valid")</f>
        <v>Valid</v>
      </c>
      <c r="AD492" s="7" t="str">
        <f>IF(COUNTIF($A:$A, A492)&gt;1, "Duplicate", "Unique")</f>
        <v>Unique</v>
      </c>
      <c r="AE492" s="7" t="str">
        <f>IF(G492="","Unknown",G492)</f>
        <v>West</v>
      </c>
      <c r="AF492" s="7" t="str">
        <f>IF(M492="","Unknown",M492)</f>
        <v>First Class</v>
      </c>
      <c r="AG492" s="7" t="str">
        <f>IF(P492&lt;0,"Invalid",
IF(P492&gt;1,"Invalid","Valid"))</f>
        <v>Valid</v>
      </c>
      <c r="AH492" s="7" t="str">
        <f>TEXT(B492,"mmmm")</f>
        <v>September</v>
      </c>
      <c r="AI492" s="7">
        <f t="shared" si="45"/>
        <v>2024</v>
      </c>
      <c r="AJ492" s="7" t="str">
        <f>IF(OR(R492&lt;0,C492&lt;B492),"Invalid",
IF(OR(G492="Unknown",M492="Unknown"),"Warning","Clean"))</f>
        <v>Clean</v>
      </c>
      <c r="AK492" s="7" t="str">
        <f>IF(C492&lt;B492,"Ship Before Order","OK")</f>
        <v>OK</v>
      </c>
      <c r="AL492" s="7" t="str">
        <f>IF(ISNUMBER(B492),"Valid","Invalid")</f>
        <v>Valid</v>
      </c>
      <c r="AM492" s="7" t="str">
        <f t="shared" si="46"/>
        <v>Missmatched</v>
      </c>
      <c r="AN492" s="7" t="str">
        <f t="shared" si="47"/>
        <v>Missmatched</v>
      </c>
    </row>
    <row r="493" spans="1:40">
      <c r="A493" t="s">
        <v>1573</v>
      </c>
      <c r="B493" s="6">
        <v>45776</v>
      </c>
      <c r="C493" s="4">
        <v>45991</v>
      </c>
      <c r="D493" t="s">
        <v>1574</v>
      </c>
      <c r="E493" t="s">
        <v>36</v>
      </c>
      <c r="F493" t="s">
        <v>90</v>
      </c>
      <c r="G493" t="s">
        <v>54</v>
      </c>
      <c r="H493" t="s">
        <v>185</v>
      </c>
      <c r="I493" t="s">
        <v>186</v>
      </c>
      <c r="J493" t="s">
        <v>74</v>
      </c>
      <c r="K493" t="s">
        <v>75</v>
      </c>
      <c r="L493" t="s">
        <v>1575</v>
      </c>
      <c r="M493" t="s">
        <v>59</v>
      </c>
      <c r="N493">
        <v>4</v>
      </c>
      <c r="O493">
        <v>606.58000000000004</v>
      </c>
      <c r="P493">
        <v>0.2</v>
      </c>
      <c r="Q493" s="7">
        <f>IF(P493="", 0, P493)</f>
        <v>0.2</v>
      </c>
      <c r="R493">
        <v>1941.06</v>
      </c>
      <c r="S493">
        <v>1207.42</v>
      </c>
      <c r="T493" s="7">
        <f>N493*O493*(1-Q493)</f>
        <v>1941.0560000000003</v>
      </c>
      <c r="U493" s="7">
        <f t="shared" si="42"/>
        <v>733.63600000000019</v>
      </c>
      <c r="V493">
        <v>733.64</v>
      </c>
      <c r="W493" s="12">
        <f t="shared" si="43"/>
        <v>0.37795715321969076</v>
      </c>
      <c r="X493" t="s">
        <v>32</v>
      </c>
      <c r="Y493" t="str">
        <f t="shared" si="44"/>
        <v>Paid</v>
      </c>
      <c r="Z493" t="s">
        <v>33</v>
      </c>
      <c r="AA493">
        <f>C493-B493</f>
        <v>215</v>
      </c>
      <c r="AB493" t="str">
        <f>IF(B493="","Missing Order Date",
IF(C493="","Missing Ship Date","OK"))</f>
        <v>OK</v>
      </c>
      <c r="AC493" s="7" t="str">
        <f>IF(C493&lt;B493, "Invalid", "Valid")</f>
        <v>Valid</v>
      </c>
      <c r="AD493" s="7" t="str">
        <f>IF(COUNTIF($A:$A, A493)&gt;1, "Duplicate", "Unique")</f>
        <v>Unique</v>
      </c>
      <c r="AE493" s="7" t="str">
        <f>IF(G493="","Unknown",G493)</f>
        <v>South</v>
      </c>
      <c r="AF493" s="7" t="str">
        <f>IF(M493="","Unknown",M493)</f>
        <v>Standard Class</v>
      </c>
      <c r="AG493" s="7" t="str">
        <f>IF(P493&lt;0,"Invalid",
IF(P493&gt;1,"Invalid","Valid"))</f>
        <v>Valid</v>
      </c>
      <c r="AH493" s="7" t="str">
        <f>TEXT(B493,"mmmm")</f>
        <v>April</v>
      </c>
      <c r="AI493" s="7">
        <f t="shared" si="45"/>
        <v>2025</v>
      </c>
      <c r="AJ493" s="7" t="str">
        <f>IF(OR(R493&lt;0,C493&lt;B493),"Invalid",
IF(OR(G493="Unknown",M493="Unknown"),"Warning","Clean"))</f>
        <v>Clean</v>
      </c>
      <c r="AK493" s="7" t="str">
        <f>IF(C493&lt;B493,"Ship Before Order","OK")</f>
        <v>OK</v>
      </c>
      <c r="AL493" s="7" t="str">
        <f>IF(ISNUMBER(B493),"Valid","Invalid")</f>
        <v>Valid</v>
      </c>
      <c r="AM493" s="7" t="str">
        <f t="shared" si="46"/>
        <v>Missmatched</v>
      </c>
      <c r="AN493" s="7" t="str">
        <f t="shared" si="47"/>
        <v>Missmatched</v>
      </c>
    </row>
    <row r="494" spans="1:40">
      <c r="A494" t="s">
        <v>1576</v>
      </c>
      <c r="B494" s="6">
        <v>45836</v>
      </c>
      <c r="C494" s="4">
        <v>45992</v>
      </c>
      <c r="D494" t="s">
        <v>1577</v>
      </c>
      <c r="E494" t="s">
        <v>62</v>
      </c>
      <c r="F494" t="s">
        <v>90</v>
      </c>
      <c r="G494" t="s">
        <v>54</v>
      </c>
      <c r="H494" t="s">
        <v>84</v>
      </c>
      <c r="I494" t="s">
        <v>85</v>
      </c>
      <c r="J494" t="s">
        <v>28</v>
      </c>
      <c r="K494" t="s">
        <v>124</v>
      </c>
      <c r="L494" t="s">
        <v>1578</v>
      </c>
      <c r="M494" t="s">
        <v>31</v>
      </c>
      <c r="N494">
        <v>2</v>
      </c>
      <c r="O494">
        <v>2725.44</v>
      </c>
      <c r="P494">
        <v>0.25</v>
      </c>
      <c r="Q494" s="7">
        <f>IF(P494="", 0, P494)</f>
        <v>0.25</v>
      </c>
      <c r="R494">
        <v>4088.16</v>
      </c>
      <c r="S494">
        <v>3205.68</v>
      </c>
      <c r="T494" s="7">
        <f>N494*O494*(1-Q494)</f>
        <v>4088.16</v>
      </c>
      <c r="U494" s="7">
        <f t="shared" si="42"/>
        <v>882.48</v>
      </c>
      <c r="V494">
        <v>882.48</v>
      </c>
      <c r="W494" s="12">
        <f t="shared" si="43"/>
        <v>0.21586239286133616</v>
      </c>
      <c r="X494" t="s">
        <v>32</v>
      </c>
      <c r="Y494" t="str">
        <f t="shared" si="44"/>
        <v>Paid</v>
      </c>
      <c r="Z494" t="s">
        <v>33</v>
      </c>
      <c r="AA494">
        <f>C494-B494</f>
        <v>156</v>
      </c>
      <c r="AB494" t="str">
        <f>IF(B494="","Missing Order Date",
IF(C494="","Missing Ship Date","OK"))</f>
        <v>OK</v>
      </c>
      <c r="AC494" s="7" t="str">
        <f>IF(C494&lt;B494, "Invalid", "Valid")</f>
        <v>Valid</v>
      </c>
      <c r="AD494" s="7" t="str">
        <f>IF(COUNTIF($A:$A, A494)&gt;1, "Duplicate", "Unique")</f>
        <v>Unique</v>
      </c>
      <c r="AE494" s="7" t="str">
        <f>IF(G494="","Unknown",G494)</f>
        <v>South</v>
      </c>
      <c r="AF494" s="7" t="str">
        <f>IF(M494="","Unknown",M494)</f>
        <v>Second Class</v>
      </c>
      <c r="AG494" s="7" t="str">
        <f>IF(P494&lt;0,"Invalid",
IF(P494&gt;1,"Invalid","Valid"))</f>
        <v>Valid</v>
      </c>
      <c r="AH494" s="7" t="str">
        <f>TEXT(B494,"mmmm")</f>
        <v>June</v>
      </c>
      <c r="AI494" s="7">
        <f t="shared" si="45"/>
        <v>2025</v>
      </c>
      <c r="AJ494" s="7" t="str">
        <f>IF(OR(R494&lt;0,C494&lt;B494),"Invalid",
IF(OR(G494="Unknown",M494="Unknown"),"Warning","Clean"))</f>
        <v>Clean</v>
      </c>
      <c r="AK494" s="7" t="str">
        <f>IF(C494&lt;B494,"Ship Before Order","OK")</f>
        <v>OK</v>
      </c>
      <c r="AL494" s="7" t="str">
        <f>IF(ISNUMBER(B494),"Valid","Invalid")</f>
        <v>Valid</v>
      </c>
      <c r="AM494" s="7" t="str">
        <f t="shared" si="46"/>
        <v>Ok</v>
      </c>
      <c r="AN494" s="7" t="str">
        <f t="shared" si="47"/>
        <v>Ok</v>
      </c>
    </row>
    <row r="495" spans="1:40">
      <c r="A495" t="s">
        <v>1579</v>
      </c>
      <c r="B495" s="6">
        <v>45701</v>
      </c>
      <c r="C495" s="4">
        <v>45993</v>
      </c>
      <c r="D495" t="s">
        <v>1580</v>
      </c>
      <c r="E495" t="s">
        <v>264</v>
      </c>
      <c r="F495" t="s">
        <v>90</v>
      </c>
      <c r="G495" t="s">
        <v>38</v>
      </c>
      <c r="H495" t="s">
        <v>39</v>
      </c>
      <c r="I495" t="s">
        <v>40</v>
      </c>
      <c r="J495" t="s">
        <v>28</v>
      </c>
      <c r="K495" t="s">
        <v>29</v>
      </c>
      <c r="L495" t="s">
        <v>1581</v>
      </c>
      <c r="M495" t="s">
        <v>31</v>
      </c>
      <c r="N495">
        <v>7</v>
      </c>
      <c r="O495">
        <v>2296.6999999999998</v>
      </c>
      <c r="P495">
        <v>0.05</v>
      </c>
      <c r="Q495" s="7">
        <f>IF(P495="", 0, P495)</f>
        <v>0.05</v>
      </c>
      <c r="R495">
        <v>15273.05</v>
      </c>
      <c r="S495">
        <v>11088.76</v>
      </c>
      <c r="T495" s="7">
        <f>N495*O495*(1-Q495)</f>
        <v>15273.054999999997</v>
      </c>
      <c r="U495" s="7">
        <f t="shared" si="42"/>
        <v>4184.2949999999964</v>
      </c>
      <c r="V495">
        <v>4184.29</v>
      </c>
      <c r="W495" s="12">
        <f t="shared" si="43"/>
        <v>0.27396581757873573</v>
      </c>
      <c r="X495" t="s">
        <v>32</v>
      </c>
      <c r="Y495" t="str">
        <f t="shared" si="44"/>
        <v>Paid</v>
      </c>
      <c r="Z495" t="s">
        <v>33</v>
      </c>
      <c r="AA495">
        <f>C495-B495</f>
        <v>292</v>
      </c>
      <c r="AB495" t="str">
        <f>IF(B495="","Missing Order Date",
IF(C495="","Missing Ship Date","OK"))</f>
        <v>OK</v>
      </c>
      <c r="AC495" s="7" t="str">
        <f>IF(C495&lt;B495, "Invalid", "Valid")</f>
        <v>Valid</v>
      </c>
      <c r="AD495" s="7" t="str">
        <f>IF(COUNTIF($A:$A, A495)&gt;1, "Duplicate", "Unique")</f>
        <v>Unique</v>
      </c>
      <c r="AE495" s="7" t="str">
        <f>IF(G495="","Unknown",G495)</f>
        <v>East</v>
      </c>
      <c r="AF495" s="7" t="str">
        <f>IF(M495="","Unknown",M495)</f>
        <v>Second Class</v>
      </c>
      <c r="AG495" s="7" t="str">
        <f>IF(P495&lt;0,"Invalid",
IF(P495&gt;1,"Invalid","Valid"))</f>
        <v>Valid</v>
      </c>
      <c r="AH495" s="7" t="str">
        <f>TEXT(B495,"mmmm")</f>
        <v>February</v>
      </c>
      <c r="AI495" s="7">
        <f t="shared" si="45"/>
        <v>2025</v>
      </c>
      <c r="AJ495" s="7" t="str">
        <f>IF(OR(R495&lt;0,C495&lt;B495),"Invalid",
IF(OR(G495="Unknown",M495="Unknown"),"Warning","Clean"))</f>
        <v>Clean</v>
      </c>
      <c r="AK495" s="7" t="str">
        <f>IF(C495&lt;B495,"Ship Before Order","OK")</f>
        <v>OK</v>
      </c>
      <c r="AL495" s="7" t="str">
        <f>IF(ISNUMBER(B495),"Valid","Invalid")</f>
        <v>Valid</v>
      </c>
      <c r="AM495" s="7" t="str">
        <f t="shared" si="46"/>
        <v>Missmatched</v>
      </c>
      <c r="AN495" s="7" t="str">
        <f t="shared" si="47"/>
        <v>Missmatched</v>
      </c>
    </row>
    <row r="496" spans="1:40">
      <c r="A496" t="s">
        <v>1582</v>
      </c>
      <c r="B496" s="6">
        <v>45610</v>
      </c>
      <c r="C496" s="4">
        <v>45994</v>
      </c>
      <c r="D496" t="s">
        <v>1583</v>
      </c>
      <c r="E496" t="s">
        <v>47</v>
      </c>
      <c r="F496" t="s">
        <v>24</v>
      </c>
      <c r="G496" t="s">
        <v>63</v>
      </c>
      <c r="H496" t="s">
        <v>72</v>
      </c>
      <c r="I496" t="s">
        <v>73</v>
      </c>
      <c r="J496" t="s">
        <v>74</v>
      </c>
      <c r="K496" t="s">
        <v>171</v>
      </c>
      <c r="L496" t="s">
        <v>1584</v>
      </c>
      <c r="M496" t="s">
        <v>59</v>
      </c>
      <c r="N496">
        <v>3</v>
      </c>
      <c r="O496">
        <v>671.68</v>
      </c>
      <c r="P496">
        <v>-0.13</v>
      </c>
      <c r="Q496" s="7">
        <f>IF(P496="", 0, P496)</f>
        <v>-0.13</v>
      </c>
      <c r="R496">
        <v>1712.78</v>
      </c>
      <c r="S496">
        <v>1569.38</v>
      </c>
      <c r="T496" s="7">
        <f>N496*O496*(1-Q496)</f>
        <v>2276.9951999999998</v>
      </c>
      <c r="U496" s="7">
        <f t="shared" si="42"/>
        <v>707.61519999999973</v>
      </c>
      <c r="V496">
        <v>360.66</v>
      </c>
      <c r="W496" s="12">
        <f t="shared" si="43"/>
        <v>0.31076710218800629</v>
      </c>
      <c r="X496" t="s">
        <v>155</v>
      </c>
      <c r="Y496" t="str">
        <f t="shared" si="44"/>
        <v>Failed</v>
      </c>
      <c r="Z496" t="s">
        <v>68</v>
      </c>
      <c r="AA496">
        <f>C496-B496</f>
        <v>384</v>
      </c>
      <c r="AB496" t="str">
        <f>IF(B496="","Missing Order Date",
IF(C496="","Missing Ship Date","OK"))</f>
        <v>OK</v>
      </c>
      <c r="AC496" s="7" t="str">
        <f>IF(C496&lt;B496, "Invalid", "Valid")</f>
        <v>Valid</v>
      </c>
      <c r="AD496" s="7" t="str">
        <f>IF(COUNTIF($A:$A, A496)&gt;1, "Duplicate", "Unique")</f>
        <v>Unique</v>
      </c>
      <c r="AE496" s="7" t="str">
        <f>IF(G496="","Unknown",G496)</f>
        <v>West</v>
      </c>
      <c r="AF496" s="7" t="str">
        <f>IF(M496="","Unknown",M496)</f>
        <v>Standard Class</v>
      </c>
      <c r="AG496" s="7" t="str">
        <f>IF(P496&lt;0,"Invalid",
IF(P496&gt;1,"Invalid","Valid"))</f>
        <v>Invalid</v>
      </c>
      <c r="AH496" s="7" t="str">
        <f>TEXT(B496,"mmmm")</f>
        <v>November</v>
      </c>
      <c r="AI496" s="7">
        <f t="shared" si="45"/>
        <v>2024</v>
      </c>
      <c r="AJ496" s="7" t="str">
        <f>IF(OR(R496&lt;0,C496&lt;B496),"Invalid",
IF(OR(G496="Unknown",M496="Unknown"),"Warning","Clean"))</f>
        <v>Clean</v>
      </c>
      <c r="AK496" s="7" t="str">
        <f>IF(C496&lt;B496,"Ship Before Order","OK")</f>
        <v>OK</v>
      </c>
      <c r="AL496" s="7" t="str">
        <f>IF(ISNUMBER(B496),"Valid","Invalid")</f>
        <v>Valid</v>
      </c>
      <c r="AM496" s="7" t="str">
        <f t="shared" si="46"/>
        <v>Missmatched</v>
      </c>
      <c r="AN496" s="7" t="str">
        <f t="shared" si="47"/>
        <v>Missmatched</v>
      </c>
    </row>
    <row r="497" spans="1:40">
      <c r="A497" t="s">
        <v>1585</v>
      </c>
      <c r="B497" s="6">
        <v>45540</v>
      </c>
      <c r="C497" s="4">
        <v>45995</v>
      </c>
      <c r="D497" t="s">
        <v>1586</v>
      </c>
      <c r="E497" t="s">
        <v>36</v>
      </c>
      <c r="F497" t="s">
        <v>37</v>
      </c>
      <c r="G497" t="s">
        <v>38</v>
      </c>
      <c r="H497" t="s">
        <v>166</v>
      </c>
      <c r="I497" t="s">
        <v>167</v>
      </c>
      <c r="J497" t="s">
        <v>74</v>
      </c>
      <c r="K497" t="s">
        <v>171</v>
      </c>
      <c r="L497" t="s">
        <v>1587</v>
      </c>
      <c r="M497" t="s">
        <v>31</v>
      </c>
      <c r="N497">
        <v>4</v>
      </c>
      <c r="O497">
        <v>995.98</v>
      </c>
      <c r="P497">
        <v>0.05</v>
      </c>
      <c r="Q497" s="7">
        <f>IF(P497="", 0, P497)</f>
        <v>0.05</v>
      </c>
      <c r="R497">
        <v>3784.72</v>
      </c>
      <c r="S497">
        <v>2419.2399999999998</v>
      </c>
      <c r="T497" s="7">
        <f>N497*O497*(1-Q497)</f>
        <v>3784.7239999999997</v>
      </c>
      <c r="U497" s="7">
        <f t="shared" si="42"/>
        <v>1365.4839999999999</v>
      </c>
      <c r="V497">
        <v>1365.48</v>
      </c>
      <c r="W497" s="12">
        <f t="shared" si="43"/>
        <v>0.36078826355633858</v>
      </c>
      <c r="X497" t="s">
        <v>102</v>
      </c>
      <c r="Y497" t="str">
        <f t="shared" si="44"/>
        <v>Refunded</v>
      </c>
      <c r="Z497" t="s">
        <v>103</v>
      </c>
      <c r="AA497">
        <f>C497-B497</f>
        <v>455</v>
      </c>
      <c r="AB497" t="str">
        <f>IF(B497="","Missing Order Date",
IF(C497="","Missing Ship Date","OK"))</f>
        <v>OK</v>
      </c>
      <c r="AC497" s="7" t="str">
        <f>IF(C497&lt;B497, "Invalid", "Valid")</f>
        <v>Valid</v>
      </c>
      <c r="AD497" s="7" t="str">
        <f>IF(COUNTIF($A:$A, A497)&gt;1, "Duplicate", "Unique")</f>
        <v>Unique</v>
      </c>
      <c r="AE497" s="7" t="str">
        <f>IF(G497="","Unknown",G497)</f>
        <v>East</v>
      </c>
      <c r="AF497" s="7" t="str">
        <f>IF(M497="","Unknown",M497)</f>
        <v>Second Class</v>
      </c>
      <c r="AG497" s="7" t="str">
        <f>IF(P497&lt;0,"Invalid",
IF(P497&gt;1,"Invalid","Valid"))</f>
        <v>Valid</v>
      </c>
      <c r="AH497" s="7" t="str">
        <f>TEXT(B497,"mmmm")</f>
        <v>September</v>
      </c>
      <c r="AI497" s="7">
        <f t="shared" si="45"/>
        <v>2024</v>
      </c>
      <c r="AJ497" s="7" t="str">
        <f>IF(OR(R497&lt;0,C497&lt;B497),"Invalid",
IF(OR(G497="Unknown",M497="Unknown"),"Warning","Clean"))</f>
        <v>Clean</v>
      </c>
      <c r="AK497" s="7" t="str">
        <f>IF(C497&lt;B497,"Ship Before Order","OK")</f>
        <v>OK</v>
      </c>
      <c r="AL497" s="7" t="str">
        <f>IF(ISNUMBER(B497),"Valid","Invalid")</f>
        <v>Valid</v>
      </c>
      <c r="AM497" s="7" t="str">
        <f t="shared" si="46"/>
        <v>Missmatched</v>
      </c>
      <c r="AN497" s="7" t="str">
        <f t="shared" si="47"/>
        <v>Missmatched</v>
      </c>
    </row>
    <row r="498" spans="1:40">
      <c r="A498" t="s">
        <v>1588</v>
      </c>
      <c r="B498" s="6">
        <v>45754</v>
      </c>
      <c r="C498" s="4">
        <v>45996</v>
      </c>
      <c r="D498" t="s">
        <v>1589</v>
      </c>
      <c r="E498" t="s">
        <v>264</v>
      </c>
      <c r="F498" t="s">
        <v>37</v>
      </c>
      <c r="G498" t="s">
        <v>38</v>
      </c>
      <c r="H498" t="s">
        <v>228</v>
      </c>
      <c r="I498" t="s">
        <v>229</v>
      </c>
      <c r="J498" t="s">
        <v>41</v>
      </c>
      <c r="K498" t="s">
        <v>66</v>
      </c>
      <c r="L498" t="s">
        <v>1590</v>
      </c>
      <c r="M498" t="s">
        <v>31</v>
      </c>
      <c r="N498">
        <v>2</v>
      </c>
      <c r="O498">
        <v>3686.42</v>
      </c>
      <c r="P498">
        <v>0.1</v>
      </c>
      <c r="Q498" s="7">
        <f>IF(P498="", 0, P498)</f>
        <v>0.1</v>
      </c>
      <c r="R498">
        <v>6635.56</v>
      </c>
      <c r="S498">
        <v>3652.91</v>
      </c>
      <c r="T498" s="7">
        <f>N498*O498*(1-Q498)</f>
        <v>6635.5560000000005</v>
      </c>
      <c r="U498" s="7">
        <f t="shared" si="42"/>
        <v>2982.6460000000006</v>
      </c>
      <c r="V498">
        <v>2982.65</v>
      </c>
      <c r="W498" s="12">
        <f t="shared" si="43"/>
        <v>0.44949451108543131</v>
      </c>
      <c r="X498" t="s">
        <v>32</v>
      </c>
      <c r="Y498" t="str">
        <f t="shared" si="44"/>
        <v>Paid</v>
      </c>
      <c r="Z498" t="s">
        <v>33</v>
      </c>
      <c r="AA498">
        <f>C498-B498</f>
        <v>242</v>
      </c>
      <c r="AB498" t="str">
        <f>IF(B498="","Missing Order Date",
IF(C498="","Missing Ship Date","OK"))</f>
        <v>OK</v>
      </c>
      <c r="AC498" s="7" t="str">
        <f>IF(C498&lt;B498, "Invalid", "Valid")</f>
        <v>Valid</v>
      </c>
      <c r="AD498" s="7" t="str">
        <f>IF(COUNTIF($A:$A, A498)&gt;1, "Duplicate", "Unique")</f>
        <v>Unique</v>
      </c>
      <c r="AE498" s="7" t="str">
        <f>IF(G498="","Unknown",G498)</f>
        <v>East</v>
      </c>
      <c r="AF498" s="7" t="str">
        <f>IF(M498="","Unknown",M498)</f>
        <v>Second Class</v>
      </c>
      <c r="AG498" s="7" t="str">
        <f>IF(P498&lt;0,"Invalid",
IF(P498&gt;1,"Invalid","Valid"))</f>
        <v>Valid</v>
      </c>
      <c r="AH498" s="7" t="str">
        <f>TEXT(B498,"mmmm")</f>
        <v>April</v>
      </c>
      <c r="AI498" s="7">
        <f t="shared" si="45"/>
        <v>2025</v>
      </c>
      <c r="AJ498" s="7" t="str">
        <f>IF(OR(R498&lt;0,C498&lt;B498),"Invalid",
IF(OR(G498="Unknown",M498="Unknown"),"Warning","Clean"))</f>
        <v>Clean</v>
      </c>
      <c r="AK498" s="7" t="str">
        <f>IF(C498&lt;B498,"Ship Before Order","OK")</f>
        <v>OK</v>
      </c>
      <c r="AL498" s="7" t="str">
        <f>IF(ISNUMBER(B498),"Valid","Invalid")</f>
        <v>Valid</v>
      </c>
      <c r="AM498" s="7" t="str">
        <f t="shared" si="46"/>
        <v>Missmatched</v>
      </c>
      <c r="AN498" s="7" t="str">
        <f t="shared" si="47"/>
        <v>Missmatched</v>
      </c>
    </row>
    <row r="499" spans="1:40">
      <c r="A499" t="s">
        <v>1591</v>
      </c>
      <c r="B499" s="6">
        <v>45533</v>
      </c>
      <c r="C499" s="4">
        <v>45997</v>
      </c>
      <c r="D499" t="s">
        <v>1592</v>
      </c>
      <c r="E499" t="s">
        <v>132</v>
      </c>
      <c r="F499" t="s">
        <v>37</v>
      </c>
      <c r="G499" t="s">
        <v>25</v>
      </c>
      <c r="H499" t="s">
        <v>136</v>
      </c>
      <c r="I499" t="s">
        <v>137</v>
      </c>
      <c r="J499" t="s">
        <v>74</v>
      </c>
      <c r="K499" t="s">
        <v>75</v>
      </c>
      <c r="L499" t="s">
        <v>1593</v>
      </c>
      <c r="M499" t="s">
        <v>31</v>
      </c>
      <c r="N499">
        <v>1</v>
      </c>
      <c r="O499">
        <v>3106.88</v>
      </c>
      <c r="P499">
        <v>0.2</v>
      </c>
      <c r="Q499" s="7">
        <f>IF(P499="", 0, P499)</f>
        <v>0.2</v>
      </c>
      <c r="R499">
        <v>2485.5</v>
      </c>
      <c r="S499">
        <v>2028.43</v>
      </c>
      <c r="T499" s="7">
        <f>N499*O499*(1-Q499)</f>
        <v>2485.5040000000004</v>
      </c>
      <c r="U499" s="7">
        <f t="shared" si="42"/>
        <v>457.0740000000003</v>
      </c>
      <c r="V499">
        <v>457.07</v>
      </c>
      <c r="W499" s="12">
        <f t="shared" si="43"/>
        <v>0.18389590199814615</v>
      </c>
      <c r="X499" t="s">
        <v>32</v>
      </c>
      <c r="Y499" t="str">
        <f t="shared" si="44"/>
        <v>Paid</v>
      </c>
      <c r="Z499" t="s">
        <v>68</v>
      </c>
      <c r="AA499">
        <f>C499-B499</f>
        <v>464</v>
      </c>
      <c r="AB499" t="str">
        <f>IF(B499="","Missing Order Date",
IF(C499="","Missing Ship Date","OK"))</f>
        <v>OK</v>
      </c>
      <c r="AC499" s="7" t="str">
        <f>IF(C499&lt;B499, "Invalid", "Valid")</f>
        <v>Valid</v>
      </c>
      <c r="AD499" s="7" t="str">
        <f>IF(COUNTIF($A:$A, A499)&gt;1, "Duplicate", "Unique")</f>
        <v>Unique</v>
      </c>
      <c r="AE499" s="7" t="str">
        <f>IF(G499="","Unknown",G499)</f>
        <v>North</v>
      </c>
      <c r="AF499" s="7" t="str">
        <f>IF(M499="","Unknown",M499)</f>
        <v>Second Class</v>
      </c>
      <c r="AG499" s="7" t="str">
        <f>IF(P499&lt;0,"Invalid",
IF(P499&gt;1,"Invalid","Valid"))</f>
        <v>Valid</v>
      </c>
      <c r="AH499" s="7" t="str">
        <f>TEXT(B499,"mmmm")</f>
        <v>August</v>
      </c>
      <c r="AI499" s="7">
        <f t="shared" si="45"/>
        <v>2024</v>
      </c>
      <c r="AJ499" s="7" t="str">
        <f>IF(OR(R499&lt;0,C499&lt;B499),"Invalid",
IF(OR(G499="Unknown",M499="Unknown"),"Warning","Clean"))</f>
        <v>Clean</v>
      </c>
      <c r="AK499" s="7" t="str">
        <f>IF(C499&lt;B499,"Ship Before Order","OK")</f>
        <v>OK</v>
      </c>
      <c r="AL499" s="7" t="str">
        <f>IF(ISNUMBER(B499),"Valid","Invalid")</f>
        <v>Valid</v>
      </c>
      <c r="AM499" s="7" t="str">
        <f t="shared" si="46"/>
        <v>Missmatched</v>
      </c>
      <c r="AN499" s="7" t="str">
        <f t="shared" si="47"/>
        <v>Missmatched</v>
      </c>
    </row>
    <row r="500" spans="1:40">
      <c r="A500" t="s">
        <v>1594</v>
      </c>
      <c r="B500" s="6">
        <v>45847</v>
      </c>
      <c r="C500" s="4">
        <v>45998</v>
      </c>
      <c r="D500" t="s">
        <v>1595</v>
      </c>
      <c r="E500" t="s">
        <v>23</v>
      </c>
      <c r="F500" t="s">
        <v>24</v>
      </c>
      <c r="G500" t="s">
        <v>25</v>
      </c>
      <c r="H500" t="s">
        <v>122</v>
      </c>
      <c r="I500" t="s">
        <v>123</v>
      </c>
      <c r="J500" t="s">
        <v>41</v>
      </c>
      <c r="K500" t="s">
        <v>66</v>
      </c>
      <c r="L500" t="s">
        <v>1596</v>
      </c>
      <c r="M500" t="s">
        <v>44</v>
      </c>
      <c r="N500">
        <v>2</v>
      </c>
      <c r="O500">
        <v>447.55</v>
      </c>
      <c r="P500">
        <v>0.05</v>
      </c>
      <c r="Q500" s="7">
        <f>IF(P500="", 0, P500)</f>
        <v>0.05</v>
      </c>
      <c r="R500">
        <v>850.35</v>
      </c>
      <c r="S500">
        <v>600.98</v>
      </c>
      <c r="T500" s="7">
        <f>N500*O500*(1-Q500)</f>
        <v>850.34500000000003</v>
      </c>
      <c r="U500" s="7">
        <f t="shared" si="42"/>
        <v>249.36500000000001</v>
      </c>
      <c r="V500">
        <v>249.37</v>
      </c>
      <c r="W500" s="12">
        <f t="shared" si="43"/>
        <v>0.29325156260106194</v>
      </c>
      <c r="X500" t="s">
        <v>102</v>
      </c>
      <c r="Y500" t="str">
        <f t="shared" si="44"/>
        <v>Refunded</v>
      </c>
      <c r="Z500" t="s">
        <v>68</v>
      </c>
      <c r="AA500">
        <f>C500-B500</f>
        <v>151</v>
      </c>
      <c r="AB500" t="str">
        <f>IF(B500="","Missing Order Date",
IF(C500="","Missing Ship Date","OK"))</f>
        <v>OK</v>
      </c>
      <c r="AC500" s="7" t="str">
        <f>IF(C500&lt;B500, "Invalid", "Valid")</f>
        <v>Valid</v>
      </c>
      <c r="AD500" s="7" t="str">
        <f>IF(COUNTIF($A:$A, A500)&gt;1, "Duplicate", "Unique")</f>
        <v>Unique</v>
      </c>
      <c r="AE500" s="7" t="str">
        <f>IF(G500="","Unknown",G500)</f>
        <v>North</v>
      </c>
      <c r="AF500" s="7" t="str">
        <f>IF(M500="","Unknown",M500)</f>
        <v>Same Day</v>
      </c>
      <c r="AG500" s="7" t="str">
        <f>IF(P500&lt;0,"Invalid",
IF(P500&gt;1,"Invalid","Valid"))</f>
        <v>Valid</v>
      </c>
      <c r="AH500" s="7" t="str">
        <f>TEXT(B500,"mmmm")</f>
        <v>July</v>
      </c>
      <c r="AI500" s="7">
        <f t="shared" si="45"/>
        <v>2025</v>
      </c>
      <c r="AJ500" s="7" t="str">
        <f>IF(OR(R500&lt;0,C500&lt;B500),"Invalid",
IF(OR(G500="Unknown",M500="Unknown"),"Warning","Clean"))</f>
        <v>Clean</v>
      </c>
      <c r="AK500" s="7" t="str">
        <f>IF(C500&lt;B500,"Ship Before Order","OK")</f>
        <v>OK</v>
      </c>
      <c r="AL500" s="7" t="str">
        <f>IF(ISNUMBER(B500),"Valid","Invalid")</f>
        <v>Valid</v>
      </c>
      <c r="AM500" s="7" t="str">
        <f t="shared" si="46"/>
        <v>Missmatched</v>
      </c>
      <c r="AN500" s="7" t="str">
        <f t="shared" si="47"/>
        <v>Missmatched</v>
      </c>
    </row>
    <row r="501" spans="1:40">
      <c r="A501" t="s">
        <v>1597</v>
      </c>
      <c r="B501" s="6">
        <v>45648</v>
      </c>
      <c r="C501" s="4">
        <v>45999</v>
      </c>
      <c r="D501" t="s">
        <v>1598</v>
      </c>
      <c r="E501" t="s">
        <v>118</v>
      </c>
      <c r="F501" t="s">
        <v>95</v>
      </c>
      <c r="G501" t="s">
        <v>25</v>
      </c>
      <c r="H501" t="s">
        <v>136</v>
      </c>
      <c r="I501" t="s">
        <v>137</v>
      </c>
      <c r="J501" t="s">
        <v>41</v>
      </c>
      <c r="K501" t="s">
        <v>66</v>
      </c>
      <c r="L501" t="s">
        <v>1599</v>
      </c>
      <c r="M501" t="s">
        <v>59</v>
      </c>
      <c r="N501">
        <v>9</v>
      </c>
      <c r="O501">
        <v>1110.8699999999999</v>
      </c>
      <c r="Q501" s="7">
        <f>IF(P501="", 0, P501)</f>
        <v>0</v>
      </c>
      <c r="R501">
        <v>7498.37</v>
      </c>
      <c r="S501">
        <v>6059.07</v>
      </c>
      <c r="T501" s="7">
        <f>N501*O501*(1-Q501)</f>
        <v>9997.8299999999981</v>
      </c>
      <c r="U501" s="7">
        <f t="shared" si="42"/>
        <v>3938.7599999999984</v>
      </c>
      <c r="V501">
        <v>1439.3</v>
      </c>
      <c r="W501" s="12">
        <f t="shared" si="43"/>
        <v>0.3939614896432525</v>
      </c>
      <c r="X501" t="s">
        <v>32</v>
      </c>
      <c r="Y501" t="str">
        <f t="shared" si="44"/>
        <v>Paid</v>
      </c>
      <c r="Z501" t="s">
        <v>68</v>
      </c>
      <c r="AA501">
        <f>C501-B501</f>
        <v>351</v>
      </c>
      <c r="AB501" t="str">
        <f>IF(B501="","Missing Order Date",
IF(C501="","Missing Ship Date","OK"))</f>
        <v>OK</v>
      </c>
      <c r="AC501" s="7" t="str">
        <f>IF(C501&lt;B501, "Invalid", "Valid")</f>
        <v>Valid</v>
      </c>
      <c r="AD501" s="7" t="str">
        <f>IF(COUNTIF($A:$A, A501)&gt;1, "Duplicate", "Unique")</f>
        <v>Unique</v>
      </c>
      <c r="AE501" s="7" t="str">
        <f>IF(G501="","Unknown",G501)</f>
        <v>North</v>
      </c>
      <c r="AF501" s="7" t="str">
        <f>IF(M501="","Unknown",M501)</f>
        <v>Standard Class</v>
      </c>
      <c r="AG501" s="7" t="str">
        <f>IF(P501&lt;0,"Invalid",
IF(P501&gt;1,"Invalid","Valid"))</f>
        <v>Valid</v>
      </c>
      <c r="AH501" s="7" t="str">
        <f>TEXT(B501,"mmmm")</f>
        <v>December</v>
      </c>
      <c r="AI501" s="7">
        <f t="shared" si="45"/>
        <v>2024</v>
      </c>
      <c r="AJ501" s="7" t="str">
        <f>IF(OR(R501&lt;0,C501&lt;B501),"Invalid",
IF(OR(G501="Unknown",M501="Unknown"),"Warning","Clean"))</f>
        <v>Clean</v>
      </c>
      <c r="AK501" s="7" t="str">
        <f>IF(C501&lt;B501,"Ship Before Order","OK")</f>
        <v>OK</v>
      </c>
      <c r="AL501" s="7" t="str">
        <f>IF(ISNUMBER(B501),"Valid","Invalid")</f>
        <v>Valid</v>
      </c>
      <c r="AM501" s="7" t="str">
        <f t="shared" si="46"/>
        <v>Missmatched</v>
      </c>
      <c r="AN501" s="7" t="str">
        <f t="shared" si="47"/>
        <v>Missmatched</v>
      </c>
    </row>
    <row r="502" spans="1:40">
      <c r="A502" t="s">
        <v>1600</v>
      </c>
      <c r="B502" s="6">
        <v>45429</v>
      </c>
      <c r="C502" s="4">
        <v>46000</v>
      </c>
      <c r="D502" t="s">
        <v>1601</v>
      </c>
      <c r="E502" t="s">
        <v>132</v>
      </c>
      <c r="F502" t="s">
        <v>24</v>
      </c>
      <c r="G502" t="s">
        <v>54</v>
      </c>
      <c r="H502" t="s">
        <v>185</v>
      </c>
      <c r="I502" t="s">
        <v>186</v>
      </c>
      <c r="J502" t="s">
        <v>74</v>
      </c>
      <c r="K502" t="s">
        <v>171</v>
      </c>
      <c r="L502" t="s">
        <v>1602</v>
      </c>
      <c r="M502" t="s">
        <v>44</v>
      </c>
      <c r="N502">
        <v>9</v>
      </c>
      <c r="O502">
        <v>3795.99</v>
      </c>
      <c r="P502" t="s">
        <v>767</v>
      </c>
      <c r="Q502" s="7" t="str">
        <f>IF(P502="", 0, P502)</f>
        <v>85%</v>
      </c>
      <c r="R502">
        <v>34163.910000000003</v>
      </c>
      <c r="S502">
        <v>28577.15</v>
      </c>
      <c r="T502" s="7">
        <f>N502*O502*(1-Q502)</f>
        <v>5124.5865000000003</v>
      </c>
      <c r="U502" s="7">
        <f t="shared" si="42"/>
        <v>-23452.5635</v>
      </c>
      <c r="V502">
        <v>5586.76</v>
      </c>
      <c r="W502" s="12">
        <f t="shared" si="43"/>
        <v>-4.5764791949555343</v>
      </c>
      <c r="X502" t="s">
        <v>32</v>
      </c>
      <c r="Y502" t="str">
        <f t="shared" si="44"/>
        <v>Paid</v>
      </c>
      <c r="Z502" t="s">
        <v>33</v>
      </c>
      <c r="AA502">
        <f>C502-B502</f>
        <v>571</v>
      </c>
      <c r="AB502" t="str">
        <f>IF(B502="","Missing Order Date",
IF(C502="","Missing Ship Date","OK"))</f>
        <v>OK</v>
      </c>
      <c r="AC502" s="7" t="str">
        <f>IF(C502&lt;B502, "Invalid", "Valid")</f>
        <v>Valid</v>
      </c>
      <c r="AD502" s="7" t="str">
        <f>IF(COUNTIF($A:$A, A502)&gt;1, "Duplicate", "Unique")</f>
        <v>Unique</v>
      </c>
      <c r="AE502" s="7" t="str">
        <f>IF(G502="","Unknown",G502)</f>
        <v>South</v>
      </c>
      <c r="AF502" s="7" t="str">
        <f>IF(M502="","Unknown",M502)</f>
        <v>Same Day</v>
      </c>
      <c r="AG502" s="7" t="str">
        <f>IF(P502&lt;0,"Invalid",
IF(P502&gt;1,"Invalid","Valid"))</f>
        <v>Invalid</v>
      </c>
      <c r="AH502" s="7" t="str">
        <f>TEXT(B502,"mmmm")</f>
        <v>May</v>
      </c>
      <c r="AI502" s="7">
        <f t="shared" si="45"/>
        <v>2024</v>
      </c>
      <c r="AJ502" s="7" t="str">
        <f>IF(OR(R502&lt;0,C502&lt;B502),"Invalid",
IF(OR(G502="Unknown",M502="Unknown"),"Warning","Clean"))</f>
        <v>Clean</v>
      </c>
      <c r="AK502" s="7" t="str">
        <f>IF(C502&lt;B502,"Ship Before Order","OK")</f>
        <v>OK</v>
      </c>
      <c r="AL502" s="7" t="str">
        <f>IF(ISNUMBER(B502),"Valid","Invalid")</f>
        <v>Valid</v>
      </c>
      <c r="AM502" s="7" t="str">
        <f t="shared" si="46"/>
        <v>Missmatched</v>
      </c>
      <c r="AN502" s="7" t="str">
        <f t="shared" si="47"/>
        <v>Missmatched</v>
      </c>
    </row>
    <row r="503" spans="1:40">
      <c r="A503" t="s">
        <v>1603</v>
      </c>
      <c r="B503" s="6">
        <v>45604</v>
      </c>
      <c r="C503" s="4">
        <v>46001</v>
      </c>
      <c r="D503" t="s">
        <v>808</v>
      </c>
      <c r="E503" t="s">
        <v>79</v>
      </c>
      <c r="F503" t="s">
        <v>24</v>
      </c>
      <c r="G503" t="s">
        <v>38</v>
      </c>
      <c r="H503" t="s">
        <v>228</v>
      </c>
      <c r="I503" t="s">
        <v>229</v>
      </c>
      <c r="J503" t="s">
        <v>28</v>
      </c>
      <c r="K503" t="s">
        <v>48</v>
      </c>
      <c r="L503" t="s">
        <v>1604</v>
      </c>
      <c r="M503" t="s">
        <v>31</v>
      </c>
      <c r="N503">
        <v>6</v>
      </c>
      <c r="O503">
        <v>3497.54</v>
      </c>
      <c r="P503">
        <v>0.15</v>
      </c>
      <c r="Q503" s="7">
        <f>IF(P503="", 0, P503)</f>
        <v>0.15</v>
      </c>
      <c r="R503">
        <v>17837.45</v>
      </c>
      <c r="S503">
        <v>13627.02</v>
      </c>
      <c r="T503" s="7">
        <f>N503*O503*(1-Q503)</f>
        <v>17837.453999999998</v>
      </c>
      <c r="U503" s="7">
        <f t="shared" si="42"/>
        <v>4210.4339999999975</v>
      </c>
      <c r="V503">
        <v>4210.43</v>
      </c>
      <c r="W503" s="12">
        <f t="shared" si="43"/>
        <v>0.23604456106796395</v>
      </c>
      <c r="X503" t="s">
        <v>32</v>
      </c>
      <c r="Y503" t="str">
        <f t="shared" si="44"/>
        <v>Paid</v>
      </c>
      <c r="Z503" t="s">
        <v>33</v>
      </c>
      <c r="AA503">
        <f>C503-B503</f>
        <v>397</v>
      </c>
      <c r="AB503" t="str">
        <f>IF(B503="","Missing Order Date",
IF(C503="","Missing Ship Date","OK"))</f>
        <v>OK</v>
      </c>
      <c r="AC503" s="7" t="str">
        <f>IF(C503&lt;B503, "Invalid", "Valid")</f>
        <v>Valid</v>
      </c>
      <c r="AD503" s="7" t="str">
        <f>IF(COUNTIF($A:$A, A503)&gt;1, "Duplicate", "Unique")</f>
        <v>Unique</v>
      </c>
      <c r="AE503" s="7" t="str">
        <f>IF(G503="","Unknown",G503)</f>
        <v>East</v>
      </c>
      <c r="AF503" s="7" t="str">
        <f>IF(M503="","Unknown",M503)</f>
        <v>Second Class</v>
      </c>
      <c r="AG503" s="7" t="str">
        <f>IF(P503&lt;0,"Invalid",
IF(P503&gt;1,"Invalid","Valid"))</f>
        <v>Valid</v>
      </c>
      <c r="AH503" s="7" t="str">
        <f>TEXT(B503,"mmmm")</f>
        <v>November</v>
      </c>
      <c r="AI503" s="7">
        <f t="shared" si="45"/>
        <v>2024</v>
      </c>
      <c r="AJ503" s="7" t="str">
        <f>IF(OR(R503&lt;0,C503&lt;B503),"Invalid",
IF(OR(G503="Unknown",M503="Unknown"),"Warning","Clean"))</f>
        <v>Clean</v>
      </c>
      <c r="AK503" s="7" t="str">
        <f>IF(C503&lt;B503,"Ship Before Order","OK")</f>
        <v>OK</v>
      </c>
      <c r="AL503" s="7" t="str">
        <f>IF(ISNUMBER(B503),"Valid","Invalid")</f>
        <v>Valid</v>
      </c>
      <c r="AM503" s="7" t="str">
        <f t="shared" si="46"/>
        <v>Missmatched</v>
      </c>
      <c r="AN503" s="7" t="str">
        <f t="shared" si="47"/>
        <v>Missmatched</v>
      </c>
    </row>
    <row r="504" spans="1:40">
      <c r="A504" t="s">
        <v>1605</v>
      </c>
      <c r="B504" s="6">
        <v>45295</v>
      </c>
      <c r="C504" s="4">
        <v>46002</v>
      </c>
      <c r="D504" t="s">
        <v>1606</v>
      </c>
      <c r="E504" t="s">
        <v>114</v>
      </c>
      <c r="F504" t="s">
        <v>37</v>
      </c>
      <c r="G504" t="s">
        <v>38</v>
      </c>
      <c r="H504" t="s">
        <v>39</v>
      </c>
      <c r="I504" t="s">
        <v>40</v>
      </c>
      <c r="J504" t="s">
        <v>74</v>
      </c>
      <c r="K504" t="s">
        <v>80</v>
      </c>
      <c r="L504" t="s">
        <v>1607</v>
      </c>
      <c r="M504" t="s">
        <v>31</v>
      </c>
      <c r="N504">
        <v>6</v>
      </c>
      <c r="O504">
        <v>826.93</v>
      </c>
      <c r="P504">
        <v>0.1</v>
      </c>
      <c r="Q504" s="7">
        <f>IF(P504="", 0, P504)</f>
        <v>0.1</v>
      </c>
      <c r="R504">
        <v>4465.42</v>
      </c>
      <c r="S504">
        <v>3377.1</v>
      </c>
      <c r="T504" s="7">
        <f>N504*O504*(1-Q504)</f>
        <v>4465.4220000000005</v>
      </c>
      <c r="U504" s="7">
        <f t="shared" si="42"/>
        <v>1088.3220000000006</v>
      </c>
      <c r="V504">
        <v>1088.32</v>
      </c>
      <c r="W504" s="12">
        <f t="shared" si="43"/>
        <v>0.24372209390288319</v>
      </c>
      <c r="X504" t="s">
        <v>32</v>
      </c>
      <c r="Y504" t="str">
        <f t="shared" si="44"/>
        <v>Paid</v>
      </c>
      <c r="Z504" t="s">
        <v>33</v>
      </c>
      <c r="AA504">
        <f>C504-B504</f>
        <v>707</v>
      </c>
      <c r="AB504" t="str">
        <f>IF(B504="","Missing Order Date",
IF(C504="","Missing Ship Date","OK"))</f>
        <v>OK</v>
      </c>
      <c r="AC504" s="7" t="str">
        <f>IF(C504&lt;B504, "Invalid", "Valid")</f>
        <v>Valid</v>
      </c>
      <c r="AD504" s="7" t="str">
        <f>IF(COUNTIF($A:$A, A504)&gt;1, "Duplicate", "Unique")</f>
        <v>Duplicate</v>
      </c>
      <c r="AE504" s="7" t="str">
        <f>IF(G504="","Unknown",G504)</f>
        <v>East</v>
      </c>
      <c r="AF504" s="7" t="str">
        <f>IF(M504="","Unknown",M504)</f>
        <v>Second Class</v>
      </c>
      <c r="AG504" s="7" t="str">
        <f>IF(P504&lt;0,"Invalid",
IF(P504&gt;1,"Invalid","Valid"))</f>
        <v>Valid</v>
      </c>
      <c r="AH504" s="7" t="str">
        <f>TEXT(B504,"mmmm")</f>
        <v>January</v>
      </c>
      <c r="AI504" s="7">
        <f t="shared" si="45"/>
        <v>2024</v>
      </c>
      <c r="AJ504" s="7" t="str">
        <f>IF(OR(R504&lt;0,C504&lt;B504),"Invalid",
IF(OR(G504="Unknown",M504="Unknown"),"Warning","Clean"))</f>
        <v>Clean</v>
      </c>
      <c r="AK504" s="7" t="str">
        <f>IF(C504&lt;B504,"Ship Before Order","OK")</f>
        <v>OK</v>
      </c>
      <c r="AL504" s="7" t="str">
        <f>IF(ISNUMBER(B504),"Valid","Invalid")</f>
        <v>Valid</v>
      </c>
      <c r="AM504" s="7" t="str">
        <f t="shared" si="46"/>
        <v>Missmatched</v>
      </c>
      <c r="AN504" s="7" t="str">
        <f t="shared" si="47"/>
        <v>Missmatched</v>
      </c>
    </row>
    <row r="505" spans="1:40">
      <c r="A505" t="s">
        <v>1608</v>
      </c>
      <c r="B505" s="6">
        <v>45563</v>
      </c>
      <c r="C505" s="4">
        <v>46003</v>
      </c>
      <c r="D505" t="s">
        <v>1609</v>
      </c>
      <c r="E505" t="s">
        <v>128</v>
      </c>
      <c r="F505" t="s">
        <v>24</v>
      </c>
      <c r="G505" t="s">
        <v>54</v>
      </c>
      <c r="H505" t="s">
        <v>247</v>
      </c>
      <c r="I505" t="s">
        <v>248</v>
      </c>
      <c r="J505" t="s">
        <v>74</v>
      </c>
      <c r="K505" t="s">
        <v>171</v>
      </c>
      <c r="L505" t="s">
        <v>1610</v>
      </c>
      <c r="M505" t="s">
        <v>59</v>
      </c>
      <c r="N505">
        <v>7</v>
      </c>
      <c r="O505">
        <v>1681.6</v>
      </c>
      <c r="P505">
        <v>0.1</v>
      </c>
      <c r="Q505" s="7">
        <f>IF(P505="", 0, P505)</f>
        <v>0.1</v>
      </c>
      <c r="R505">
        <v>10594.08</v>
      </c>
      <c r="S505">
        <v>7160.31</v>
      </c>
      <c r="T505" s="7">
        <f>N505*O505*(1-Q505)</f>
        <v>10594.08</v>
      </c>
      <c r="U505" s="7">
        <f t="shared" si="42"/>
        <v>3433.7699999999995</v>
      </c>
      <c r="V505">
        <v>3433.77</v>
      </c>
      <c r="W505" s="12">
        <f t="shared" si="43"/>
        <v>0.32412158488514337</v>
      </c>
      <c r="X505" t="s">
        <v>32</v>
      </c>
      <c r="Y505" t="str">
        <f t="shared" si="44"/>
        <v>Paid</v>
      </c>
      <c r="Z505" t="s">
        <v>33</v>
      </c>
      <c r="AA505">
        <f>C505-B505</f>
        <v>440</v>
      </c>
      <c r="AB505" t="str">
        <f>IF(B505="","Missing Order Date",
IF(C505="","Missing Ship Date","OK"))</f>
        <v>OK</v>
      </c>
      <c r="AC505" s="7" t="str">
        <f>IF(C505&lt;B505, "Invalid", "Valid")</f>
        <v>Valid</v>
      </c>
      <c r="AD505" s="7" t="str">
        <f>IF(COUNTIF($A:$A, A505)&gt;1, "Duplicate", "Unique")</f>
        <v>Unique</v>
      </c>
      <c r="AE505" s="7" t="str">
        <f>IF(G505="","Unknown",G505)</f>
        <v>South</v>
      </c>
      <c r="AF505" s="7" t="str">
        <f>IF(M505="","Unknown",M505)</f>
        <v>Standard Class</v>
      </c>
      <c r="AG505" s="7" t="str">
        <f>IF(P505&lt;0,"Invalid",
IF(P505&gt;1,"Invalid","Valid"))</f>
        <v>Valid</v>
      </c>
      <c r="AH505" s="7" t="str">
        <f>TEXT(B505,"mmmm")</f>
        <v>September</v>
      </c>
      <c r="AI505" s="7">
        <f t="shared" si="45"/>
        <v>2024</v>
      </c>
      <c r="AJ505" s="7" t="str">
        <f>IF(OR(R505&lt;0,C505&lt;B505),"Invalid",
IF(OR(G505="Unknown",M505="Unknown"),"Warning","Clean"))</f>
        <v>Clean</v>
      </c>
      <c r="AK505" s="7" t="str">
        <f>IF(C505&lt;B505,"Ship Before Order","OK")</f>
        <v>OK</v>
      </c>
      <c r="AL505" s="7" t="str">
        <f>IF(ISNUMBER(B505),"Valid","Invalid")</f>
        <v>Valid</v>
      </c>
      <c r="AM505" s="7" t="str">
        <f t="shared" si="46"/>
        <v>Ok</v>
      </c>
      <c r="AN505" s="7" t="str">
        <f t="shared" si="47"/>
        <v>Ok</v>
      </c>
    </row>
    <row r="506" spans="1:40">
      <c r="A506" t="s">
        <v>1611</v>
      </c>
      <c r="B506" s="6">
        <v>45993</v>
      </c>
      <c r="C506" s="4">
        <v>46004</v>
      </c>
      <c r="D506" t="s">
        <v>1612</v>
      </c>
      <c r="E506" t="s">
        <v>53</v>
      </c>
      <c r="F506" t="s">
        <v>90</v>
      </c>
      <c r="G506" t="s">
        <v>63</v>
      </c>
      <c r="H506" t="s">
        <v>180</v>
      </c>
      <c r="I506" t="s">
        <v>181</v>
      </c>
      <c r="J506" t="s">
        <v>28</v>
      </c>
      <c r="K506" t="s">
        <v>48</v>
      </c>
      <c r="L506" t="s">
        <v>1613</v>
      </c>
      <c r="M506" t="s">
        <v>59</v>
      </c>
      <c r="N506">
        <v>4</v>
      </c>
      <c r="O506">
        <v>4328.12</v>
      </c>
      <c r="P506">
        <v>0</v>
      </c>
      <c r="Q506" s="7">
        <f>IF(P506="", 0, P506)</f>
        <v>0</v>
      </c>
      <c r="R506">
        <v>17312.48</v>
      </c>
      <c r="S506">
        <v>14424.22</v>
      </c>
      <c r="T506" s="7">
        <f>N506*O506*(1-Q506)</f>
        <v>17312.48</v>
      </c>
      <c r="U506" s="7">
        <f t="shared" si="42"/>
        <v>2888.26</v>
      </c>
      <c r="V506">
        <v>2888.26</v>
      </c>
      <c r="W506" s="12">
        <f t="shared" si="43"/>
        <v>0.16683109525613893</v>
      </c>
      <c r="X506" t="s">
        <v>32</v>
      </c>
      <c r="Y506" t="str">
        <f t="shared" si="44"/>
        <v>Paid</v>
      </c>
      <c r="Z506" t="s">
        <v>33</v>
      </c>
      <c r="AA506">
        <f>C506-B506</f>
        <v>11</v>
      </c>
      <c r="AB506" t="str">
        <f>IF(B506="","Missing Order Date",
IF(C506="","Missing Ship Date","OK"))</f>
        <v>OK</v>
      </c>
      <c r="AC506" s="7" t="str">
        <f>IF(C506&lt;B506, "Invalid", "Valid")</f>
        <v>Valid</v>
      </c>
      <c r="AD506" s="7" t="str">
        <f>IF(COUNTIF($A:$A, A506)&gt;1, "Duplicate", "Unique")</f>
        <v>Unique</v>
      </c>
      <c r="AE506" s="7" t="str">
        <f>IF(G506="","Unknown",G506)</f>
        <v>West</v>
      </c>
      <c r="AF506" s="7" t="str">
        <f>IF(M506="","Unknown",M506)</f>
        <v>Standard Class</v>
      </c>
      <c r="AG506" s="7" t="str">
        <f>IF(P506&lt;0,"Invalid",
IF(P506&gt;1,"Invalid","Valid"))</f>
        <v>Valid</v>
      </c>
      <c r="AH506" s="7" t="str">
        <f>TEXT(B506,"mmmm")</f>
        <v>December</v>
      </c>
      <c r="AI506" s="7">
        <f t="shared" si="45"/>
        <v>2025</v>
      </c>
      <c r="AJ506" s="7" t="str">
        <f>IF(OR(R506&lt;0,C506&lt;B506),"Invalid",
IF(OR(G506="Unknown",M506="Unknown"),"Warning","Clean"))</f>
        <v>Clean</v>
      </c>
      <c r="AK506" s="7" t="str">
        <f>IF(C506&lt;B506,"Ship Before Order","OK")</f>
        <v>OK</v>
      </c>
      <c r="AL506" s="7" t="str">
        <f>IF(ISNUMBER(B506),"Valid","Invalid")</f>
        <v>Valid</v>
      </c>
      <c r="AM506" s="7" t="str">
        <f t="shared" si="46"/>
        <v>Ok</v>
      </c>
      <c r="AN506" s="7" t="str">
        <f t="shared" si="47"/>
        <v>Ok</v>
      </c>
    </row>
    <row r="507" spans="1:40">
      <c r="A507" t="s">
        <v>1614</v>
      </c>
      <c r="B507" s="6">
        <v>45546</v>
      </c>
      <c r="C507" s="4">
        <v>46005</v>
      </c>
      <c r="D507" t="s">
        <v>1615</v>
      </c>
      <c r="E507" t="s">
        <v>79</v>
      </c>
      <c r="F507" t="s">
        <v>90</v>
      </c>
      <c r="G507" t="s">
        <v>63</v>
      </c>
      <c r="H507" t="s">
        <v>72</v>
      </c>
      <c r="I507" t="s">
        <v>73</v>
      </c>
      <c r="J507" t="s">
        <v>28</v>
      </c>
      <c r="K507" t="s">
        <v>48</v>
      </c>
      <c r="L507" t="s">
        <v>1616</v>
      </c>
      <c r="M507" t="s">
        <v>50</v>
      </c>
      <c r="N507">
        <v>9</v>
      </c>
      <c r="O507">
        <v>2438.29</v>
      </c>
      <c r="P507">
        <v>0.2</v>
      </c>
      <c r="Q507" s="7">
        <f>IF(P507="", 0, P507)</f>
        <v>0.2</v>
      </c>
      <c r="R507">
        <v>17555.689999999999</v>
      </c>
      <c r="S507">
        <v>13293.2</v>
      </c>
      <c r="T507" s="7">
        <f>N507*O507*(1-Q507)</f>
        <v>17555.688000000002</v>
      </c>
      <c r="U507" s="7">
        <f t="shared" si="42"/>
        <v>4262.4880000000012</v>
      </c>
      <c r="V507">
        <v>4262.49</v>
      </c>
      <c r="W507" s="12">
        <f t="shared" si="43"/>
        <v>0.24279811762432785</v>
      </c>
      <c r="X507" t="s">
        <v>32</v>
      </c>
      <c r="Y507" t="str">
        <f t="shared" si="44"/>
        <v>Paid</v>
      </c>
      <c r="Z507" t="s">
        <v>68</v>
      </c>
      <c r="AA507">
        <f>C507-B507</f>
        <v>459</v>
      </c>
      <c r="AB507" t="str">
        <f>IF(B507="","Missing Order Date",
IF(C507="","Missing Ship Date","OK"))</f>
        <v>OK</v>
      </c>
      <c r="AC507" s="7" t="str">
        <f>IF(C507&lt;B507, "Invalid", "Valid")</f>
        <v>Valid</v>
      </c>
      <c r="AD507" s="7" t="str">
        <f>IF(COUNTIF($A:$A, A507)&gt;1, "Duplicate", "Unique")</f>
        <v>Unique</v>
      </c>
      <c r="AE507" s="7" t="str">
        <f>IF(G507="","Unknown",G507)</f>
        <v>West</v>
      </c>
      <c r="AF507" s="7" t="str">
        <f>IF(M507="","Unknown",M507)</f>
        <v>First Class</v>
      </c>
      <c r="AG507" s="7" t="str">
        <f>IF(P507&lt;0,"Invalid",
IF(P507&gt;1,"Invalid","Valid"))</f>
        <v>Valid</v>
      </c>
      <c r="AH507" s="7" t="str">
        <f>TEXT(B507,"mmmm")</f>
        <v>September</v>
      </c>
      <c r="AI507" s="7">
        <f t="shared" si="45"/>
        <v>2024</v>
      </c>
      <c r="AJ507" s="7" t="str">
        <f>IF(OR(R507&lt;0,C507&lt;B507),"Invalid",
IF(OR(G507="Unknown",M507="Unknown"),"Warning","Clean"))</f>
        <v>Clean</v>
      </c>
      <c r="AK507" s="7" t="str">
        <f>IF(C507&lt;B507,"Ship Before Order","OK")</f>
        <v>OK</v>
      </c>
      <c r="AL507" s="7" t="str">
        <f>IF(ISNUMBER(B507),"Valid","Invalid")</f>
        <v>Valid</v>
      </c>
      <c r="AM507" s="7" t="str">
        <f t="shared" si="46"/>
        <v>Missmatched</v>
      </c>
      <c r="AN507" s="7" t="str">
        <f t="shared" si="47"/>
        <v>Missmatched</v>
      </c>
    </row>
    <row r="508" spans="1:40">
      <c r="A508" t="s">
        <v>1617</v>
      </c>
      <c r="B508" s="6">
        <v>45641</v>
      </c>
      <c r="C508" s="4">
        <v>46006</v>
      </c>
      <c r="D508" t="s">
        <v>1618</v>
      </c>
      <c r="E508" t="s">
        <v>128</v>
      </c>
      <c r="F508" t="s">
        <v>37</v>
      </c>
      <c r="G508" t="s">
        <v>25</v>
      </c>
      <c r="H508" t="s">
        <v>122</v>
      </c>
      <c r="I508" t="s">
        <v>123</v>
      </c>
      <c r="J508" t="s">
        <v>41</v>
      </c>
      <c r="K508" t="s">
        <v>57</v>
      </c>
      <c r="L508" t="s">
        <v>1619</v>
      </c>
      <c r="M508" t="s">
        <v>50</v>
      </c>
      <c r="N508">
        <v>2</v>
      </c>
      <c r="O508">
        <v>669.8</v>
      </c>
      <c r="P508">
        <v>0.1</v>
      </c>
      <c r="Q508" s="7">
        <f>IF(P508="", 0, P508)</f>
        <v>0.1</v>
      </c>
      <c r="R508">
        <v>1205.6400000000001</v>
      </c>
      <c r="S508">
        <v>842.07</v>
      </c>
      <c r="T508" s="7">
        <f>N508*O508*(1-Q508)</f>
        <v>1205.6399999999999</v>
      </c>
      <c r="U508" s="7">
        <f t="shared" si="42"/>
        <v>363.56999999999982</v>
      </c>
      <c r="V508">
        <v>363.57</v>
      </c>
      <c r="W508" s="12">
        <f t="shared" si="43"/>
        <v>0.30155767890912699</v>
      </c>
      <c r="X508" t="s">
        <v>102</v>
      </c>
      <c r="Y508" t="str">
        <f t="shared" si="44"/>
        <v>Refunded</v>
      </c>
      <c r="Z508" t="s">
        <v>103</v>
      </c>
      <c r="AA508">
        <f>C508-B508</f>
        <v>365</v>
      </c>
      <c r="AB508" t="str">
        <f>IF(B508="","Missing Order Date",
IF(C508="","Missing Ship Date","OK"))</f>
        <v>OK</v>
      </c>
      <c r="AC508" s="7" t="str">
        <f>IF(C508&lt;B508, "Invalid", "Valid")</f>
        <v>Valid</v>
      </c>
      <c r="AD508" s="7" t="str">
        <f>IF(COUNTIF($A:$A, A508)&gt;1, "Duplicate", "Unique")</f>
        <v>Unique</v>
      </c>
      <c r="AE508" s="7" t="str">
        <f>IF(G508="","Unknown",G508)</f>
        <v>North</v>
      </c>
      <c r="AF508" s="7" t="str">
        <f>IF(M508="","Unknown",M508)</f>
        <v>First Class</v>
      </c>
      <c r="AG508" s="7" t="str">
        <f>IF(P508&lt;0,"Invalid",
IF(P508&gt;1,"Invalid","Valid"))</f>
        <v>Valid</v>
      </c>
      <c r="AH508" s="7" t="str">
        <f>TEXT(B508,"mmmm")</f>
        <v>December</v>
      </c>
      <c r="AI508" s="7">
        <f t="shared" si="45"/>
        <v>2024</v>
      </c>
      <c r="AJ508" s="7" t="str">
        <f>IF(OR(R508&lt;0,C508&lt;B508),"Invalid",
IF(OR(G508="Unknown",M508="Unknown"),"Warning","Clean"))</f>
        <v>Clean</v>
      </c>
      <c r="AK508" s="7" t="str">
        <f>IF(C508&lt;B508,"Ship Before Order","OK")</f>
        <v>OK</v>
      </c>
      <c r="AL508" s="7" t="str">
        <f>IF(ISNUMBER(B508),"Valid","Invalid")</f>
        <v>Valid</v>
      </c>
      <c r="AM508" s="7" t="str">
        <f t="shared" si="46"/>
        <v>Ok</v>
      </c>
      <c r="AN508" s="7" t="str">
        <f t="shared" si="47"/>
        <v>Ok</v>
      </c>
    </row>
    <row r="509" spans="1:40">
      <c r="A509" t="s">
        <v>1620</v>
      </c>
      <c r="B509" s="6">
        <v>45762</v>
      </c>
      <c r="C509" s="4">
        <v>46007</v>
      </c>
      <c r="D509" t="s">
        <v>1621</v>
      </c>
      <c r="E509" t="s">
        <v>47</v>
      </c>
      <c r="F509" t="s">
        <v>37</v>
      </c>
      <c r="G509" t="s">
        <v>25</v>
      </c>
      <c r="H509" t="s">
        <v>236</v>
      </c>
      <c r="I509" t="s">
        <v>237</v>
      </c>
      <c r="J509" t="s">
        <v>28</v>
      </c>
      <c r="K509" t="s">
        <v>153</v>
      </c>
      <c r="L509" t="s">
        <v>1622</v>
      </c>
      <c r="M509" t="s">
        <v>44</v>
      </c>
      <c r="N509">
        <v>4</v>
      </c>
      <c r="O509">
        <v>2990.42</v>
      </c>
      <c r="P509">
        <v>0.25</v>
      </c>
      <c r="Q509" s="7">
        <f>IF(P509="", 0, P509)</f>
        <v>0.25</v>
      </c>
      <c r="R509">
        <v>8971.26</v>
      </c>
      <c r="S509">
        <v>6814.35</v>
      </c>
      <c r="T509" s="7">
        <f>N509*O509*(1-Q509)</f>
        <v>8971.26</v>
      </c>
      <c r="U509" s="7">
        <f t="shared" si="42"/>
        <v>2156.91</v>
      </c>
      <c r="V509">
        <v>2156.91</v>
      </c>
      <c r="W509" s="12">
        <f t="shared" si="43"/>
        <v>0.24042442198754688</v>
      </c>
      <c r="X509" t="s">
        <v>32</v>
      </c>
      <c r="Y509" t="str">
        <f t="shared" si="44"/>
        <v>Paid</v>
      </c>
      <c r="Z509" t="s">
        <v>33</v>
      </c>
      <c r="AA509">
        <f>C509-B509</f>
        <v>245</v>
      </c>
      <c r="AB509" t="str">
        <f>IF(B509="","Missing Order Date",
IF(C509="","Missing Ship Date","OK"))</f>
        <v>OK</v>
      </c>
      <c r="AC509" s="7" t="str">
        <f>IF(C509&lt;B509, "Invalid", "Valid")</f>
        <v>Valid</v>
      </c>
      <c r="AD509" s="7" t="str">
        <f>IF(COUNTIF($A:$A, A509)&gt;1, "Duplicate", "Unique")</f>
        <v>Unique</v>
      </c>
      <c r="AE509" s="7" t="str">
        <f>IF(G509="","Unknown",G509)</f>
        <v>North</v>
      </c>
      <c r="AF509" s="7" t="str">
        <f>IF(M509="","Unknown",M509)</f>
        <v>Same Day</v>
      </c>
      <c r="AG509" s="7" t="str">
        <f>IF(P509&lt;0,"Invalid",
IF(P509&gt;1,"Invalid","Valid"))</f>
        <v>Valid</v>
      </c>
      <c r="AH509" s="7" t="str">
        <f>TEXT(B509,"mmmm")</f>
        <v>April</v>
      </c>
      <c r="AI509" s="7">
        <f t="shared" si="45"/>
        <v>2025</v>
      </c>
      <c r="AJ509" s="7" t="str">
        <f>IF(OR(R509&lt;0,C509&lt;B509),"Invalid",
IF(OR(G509="Unknown",M509="Unknown"),"Warning","Clean"))</f>
        <v>Clean</v>
      </c>
      <c r="AK509" s="7" t="str">
        <f>IF(C509&lt;B509,"Ship Before Order","OK")</f>
        <v>OK</v>
      </c>
      <c r="AL509" s="7" t="str">
        <f>IF(ISNUMBER(B509),"Valid","Invalid")</f>
        <v>Valid</v>
      </c>
      <c r="AM509" s="7" t="str">
        <f t="shared" si="46"/>
        <v>Ok</v>
      </c>
      <c r="AN509" s="7" t="str">
        <f t="shared" si="47"/>
        <v>Ok</v>
      </c>
    </row>
    <row r="510" spans="1:40">
      <c r="A510" t="s">
        <v>1623</v>
      </c>
      <c r="B510" s="6">
        <v>45382</v>
      </c>
      <c r="C510" s="4">
        <v>46008</v>
      </c>
      <c r="D510" t="s">
        <v>1624</v>
      </c>
      <c r="E510" t="s">
        <v>47</v>
      </c>
      <c r="F510" t="s">
        <v>37</v>
      </c>
      <c r="G510" t="s">
        <v>25</v>
      </c>
      <c r="H510" t="s">
        <v>236</v>
      </c>
      <c r="I510" t="s">
        <v>237</v>
      </c>
      <c r="J510" t="s">
        <v>74</v>
      </c>
      <c r="K510" t="s">
        <v>274</v>
      </c>
      <c r="L510" t="s">
        <v>1625</v>
      </c>
      <c r="M510" t="s">
        <v>31</v>
      </c>
      <c r="N510">
        <v>4</v>
      </c>
      <c r="O510">
        <v>1831</v>
      </c>
      <c r="P510">
        <v>0</v>
      </c>
      <c r="Q510" s="7">
        <f>IF(P510="", 0, P510)</f>
        <v>0</v>
      </c>
      <c r="R510">
        <v>7324</v>
      </c>
      <c r="S510">
        <v>4179.63</v>
      </c>
      <c r="T510" s="7">
        <f>N510*O510*(1-Q510)</f>
        <v>7324</v>
      </c>
      <c r="U510" s="7">
        <f t="shared" si="42"/>
        <v>3144.37</v>
      </c>
      <c r="V510">
        <v>3144.37</v>
      </c>
      <c r="W510" s="12">
        <f t="shared" si="43"/>
        <v>0.42932413981430911</v>
      </c>
      <c r="X510" t="s">
        <v>32</v>
      </c>
      <c r="Y510" t="str">
        <f t="shared" si="44"/>
        <v>Paid</v>
      </c>
      <c r="Z510" t="s">
        <v>33</v>
      </c>
      <c r="AA510">
        <f>C510-B510</f>
        <v>626</v>
      </c>
      <c r="AB510" t="str">
        <f>IF(B510="","Missing Order Date",
IF(C510="","Missing Ship Date","OK"))</f>
        <v>OK</v>
      </c>
      <c r="AC510" s="7" t="str">
        <f>IF(C510&lt;B510, "Invalid", "Valid")</f>
        <v>Valid</v>
      </c>
      <c r="AD510" s="7" t="str">
        <f>IF(COUNTIF($A:$A, A510)&gt;1, "Duplicate", "Unique")</f>
        <v>Unique</v>
      </c>
      <c r="AE510" s="7" t="str">
        <f>IF(G510="","Unknown",G510)</f>
        <v>North</v>
      </c>
      <c r="AF510" s="7" t="str">
        <f>IF(M510="","Unknown",M510)</f>
        <v>Second Class</v>
      </c>
      <c r="AG510" s="7" t="str">
        <f>IF(P510&lt;0,"Invalid",
IF(P510&gt;1,"Invalid","Valid"))</f>
        <v>Valid</v>
      </c>
      <c r="AH510" s="7" t="str">
        <f>TEXT(B510,"mmmm")</f>
        <v>March</v>
      </c>
      <c r="AI510" s="7">
        <f t="shared" si="45"/>
        <v>2024</v>
      </c>
      <c r="AJ510" s="7" t="str">
        <f>IF(OR(R510&lt;0,C510&lt;B510),"Invalid",
IF(OR(G510="Unknown",M510="Unknown"),"Warning","Clean"))</f>
        <v>Clean</v>
      </c>
      <c r="AK510" s="7" t="str">
        <f>IF(C510&lt;B510,"Ship Before Order","OK")</f>
        <v>OK</v>
      </c>
      <c r="AL510" s="7" t="str">
        <f>IF(ISNUMBER(B510),"Valid","Invalid")</f>
        <v>Valid</v>
      </c>
      <c r="AM510" s="7" t="str">
        <f t="shared" si="46"/>
        <v>Ok</v>
      </c>
      <c r="AN510" s="7" t="str">
        <f t="shared" si="47"/>
        <v>Ok</v>
      </c>
    </row>
    <row r="511" spans="1:40">
      <c r="A511" t="s">
        <v>1626</v>
      </c>
      <c r="B511" s="6">
        <v>45996</v>
      </c>
      <c r="C511" s="4">
        <v>46009</v>
      </c>
      <c r="D511" t="s">
        <v>1627</v>
      </c>
      <c r="E511" t="s">
        <v>79</v>
      </c>
      <c r="F511" t="s">
        <v>24</v>
      </c>
      <c r="G511" t="s">
        <v>63</v>
      </c>
      <c r="H511" t="s">
        <v>180</v>
      </c>
      <c r="I511" t="s">
        <v>181</v>
      </c>
      <c r="J511" t="s">
        <v>74</v>
      </c>
      <c r="K511" t="s">
        <v>274</v>
      </c>
      <c r="L511" t="s">
        <v>1628</v>
      </c>
      <c r="M511" t="s">
        <v>44</v>
      </c>
      <c r="N511">
        <v>8</v>
      </c>
      <c r="O511">
        <v>3631.44</v>
      </c>
      <c r="P511">
        <v>0.2</v>
      </c>
      <c r="Q511" s="7">
        <f>IF(P511="", 0, P511)</f>
        <v>0.2</v>
      </c>
      <c r="R511">
        <v>23241.22</v>
      </c>
      <c r="S511">
        <v>17220.900000000001</v>
      </c>
      <c r="T511" s="7">
        <f>N511*O511*(1-Q511)</f>
        <v>23241.216</v>
      </c>
      <c r="U511" s="7">
        <f t="shared" si="42"/>
        <v>6020.3159999999989</v>
      </c>
      <c r="V511">
        <v>6020.32</v>
      </c>
      <c r="W511" s="12">
        <f t="shared" si="43"/>
        <v>0.25903618812371948</v>
      </c>
      <c r="X511" t="s">
        <v>32</v>
      </c>
      <c r="Y511" t="str">
        <f t="shared" si="44"/>
        <v>Paid</v>
      </c>
      <c r="Z511" t="s">
        <v>33</v>
      </c>
      <c r="AA511">
        <f>C511-B511</f>
        <v>13</v>
      </c>
      <c r="AB511" t="str">
        <f>IF(B511="","Missing Order Date",
IF(C511="","Missing Ship Date","OK"))</f>
        <v>OK</v>
      </c>
      <c r="AC511" s="7" t="str">
        <f>IF(C511&lt;B511, "Invalid", "Valid")</f>
        <v>Valid</v>
      </c>
      <c r="AD511" s="7" t="str">
        <f>IF(COUNTIF($A:$A, A511)&gt;1, "Duplicate", "Unique")</f>
        <v>Unique</v>
      </c>
      <c r="AE511" s="7" t="str">
        <f>IF(G511="","Unknown",G511)</f>
        <v>West</v>
      </c>
      <c r="AF511" s="7" t="str">
        <f>IF(M511="","Unknown",M511)</f>
        <v>Same Day</v>
      </c>
      <c r="AG511" s="7" t="str">
        <f>IF(P511&lt;0,"Invalid",
IF(P511&gt;1,"Invalid","Valid"))</f>
        <v>Valid</v>
      </c>
      <c r="AH511" s="7" t="str">
        <f>TEXT(B511,"mmmm")</f>
        <v>December</v>
      </c>
      <c r="AI511" s="7">
        <f t="shared" si="45"/>
        <v>2025</v>
      </c>
      <c r="AJ511" s="7" t="str">
        <f>IF(OR(R511&lt;0,C511&lt;B511),"Invalid",
IF(OR(G511="Unknown",M511="Unknown"),"Warning","Clean"))</f>
        <v>Clean</v>
      </c>
      <c r="AK511" s="7" t="str">
        <f>IF(C511&lt;B511,"Ship Before Order","OK")</f>
        <v>OK</v>
      </c>
      <c r="AL511" s="7" t="str">
        <f>IF(ISNUMBER(B511),"Valid","Invalid")</f>
        <v>Valid</v>
      </c>
      <c r="AM511" s="7" t="str">
        <f t="shared" si="46"/>
        <v>Missmatched</v>
      </c>
      <c r="AN511" s="7" t="str">
        <f t="shared" si="47"/>
        <v>Missmatched</v>
      </c>
    </row>
    <row r="512" spans="1:40">
      <c r="A512" t="s">
        <v>1629</v>
      </c>
      <c r="B512" s="6">
        <v>45583</v>
      </c>
      <c r="C512" s="4">
        <v>46010</v>
      </c>
      <c r="D512" t="s">
        <v>1630</v>
      </c>
      <c r="E512" t="s">
        <v>128</v>
      </c>
      <c r="F512" t="s">
        <v>24</v>
      </c>
      <c r="G512" t="s">
        <v>54</v>
      </c>
      <c r="H512" t="s">
        <v>175</v>
      </c>
      <c r="I512" t="s">
        <v>176</v>
      </c>
      <c r="J512" t="s">
        <v>28</v>
      </c>
      <c r="K512" t="s">
        <v>124</v>
      </c>
      <c r="L512" t="s">
        <v>1631</v>
      </c>
      <c r="M512" t="s">
        <v>31</v>
      </c>
      <c r="N512">
        <v>2</v>
      </c>
      <c r="O512">
        <v>4238.51</v>
      </c>
      <c r="P512">
        <v>0</v>
      </c>
      <c r="Q512" s="7">
        <f>IF(P512="", 0, P512)</f>
        <v>0</v>
      </c>
      <c r="R512">
        <v>8477.02</v>
      </c>
      <c r="S512">
        <v>6884.96</v>
      </c>
      <c r="T512" s="7">
        <f>N512*O512*(1-Q512)</f>
        <v>8477.02</v>
      </c>
      <c r="U512" s="7">
        <f t="shared" si="42"/>
        <v>1592.0600000000004</v>
      </c>
      <c r="V512">
        <v>1592.06</v>
      </c>
      <c r="W512" s="12">
        <f t="shared" si="43"/>
        <v>0.18780892341884298</v>
      </c>
      <c r="X512" t="s">
        <v>32</v>
      </c>
      <c r="Y512" t="str">
        <f t="shared" si="44"/>
        <v>Paid</v>
      </c>
      <c r="Z512" t="s">
        <v>33</v>
      </c>
      <c r="AA512">
        <f>C512-B512</f>
        <v>427</v>
      </c>
      <c r="AB512" t="str">
        <f>IF(B512="","Missing Order Date",
IF(C512="","Missing Ship Date","OK"))</f>
        <v>OK</v>
      </c>
      <c r="AC512" s="7" t="str">
        <f>IF(C512&lt;B512, "Invalid", "Valid")</f>
        <v>Valid</v>
      </c>
      <c r="AD512" s="7" t="str">
        <f>IF(COUNTIF($A:$A, A512)&gt;1, "Duplicate", "Unique")</f>
        <v>Unique</v>
      </c>
      <c r="AE512" s="7" t="str">
        <f>IF(G512="","Unknown",G512)</f>
        <v>South</v>
      </c>
      <c r="AF512" s="7" t="str">
        <f>IF(M512="","Unknown",M512)</f>
        <v>Second Class</v>
      </c>
      <c r="AG512" s="7" t="str">
        <f>IF(P512&lt;0,"Invalid",
IF(P512&gt;1,"Invalid","Valid"))</f>
        <v>Valid</v>
      </c>
      <c r="AH512" s="7" t="str">
        <f>TEXT(B512,"mmmm")</f>
        <v>October</v>
      </c>
      <c r="AI512" s="7">
        <f t="shared" si="45"/>
        <v>2024</v>
      </c>
      <c r="AJ512" s="7" t="str">
        <f>IF(OR(R512&lt;0,C512&lt;B512),"Invalid",
IF(OR(G512="Unknown",M512="Unknown"),"Warning","Clean"))</f>
        <v>Clean</v>
      </c>
      <c r="AK512" s="7" t="str">
        <f>IF(C512&lt;B512,"Ship Before Order","OK")</f>
        <v>OK</v>
      </c>
      <c r="AL512" s="7" t="str">
        <f>IF(ISNUMBER(B512),"Valid","Invalid")</f>
        <v>Valid</v>
      </c>
      <c r="AM512" s="7" t="str">
        <f t="shared" si="46"/>
        <v>Ok</v>
      </c>
      <c r="AN512" s="7" t="str">
        <f t="shared" si="47"/>
        <v>Ok</v>
      </c>
    </row>
    <row r="513" spans="1:40">
      <c r="A513" t="s">
        <v>1632</v>
      </c>
      <c r="B513" s="6">
        <v>45588</v>
      </c>
      <c r="C513" s="4">
        <v>46011</v>
      </c>
      <c r="D513" t="s">
        <v>1633</v>
      </c>
      <c r="E513" t="s">
        <v>132</v>
      </c>
      <c r="F513" t="s">
        <v>24</v>
      </c>
      <c r="G513" t="s">
        <v>63</v>
      </c>
      <c r="H513" t="s">
        <v>72</v>
      </c>
      <c r="I513" t="s">
        <v>73</v>
      </c>
      <c r="J513" t="s">
        <v>41</v>
      </c>
      <c r="K513" t="s">
        <v>158</v>
      </c>
      <c r="L513" t="s">
        <v>1634</v>
      </c>
      <c r="M513" t="s">
        <v>59</v>
      </c>
      <c r="N513">
        <v>9</v>
      </c>
      <c r="O513">
        <v>544.27</v>
      </c>
      <c r="P513">
        <v>0.25</v>
      </c>
      <c r="Q513" s="7">
        <f>IF(P513="", 0, P513)</f>
        <v>0.25</v>
      </c>
      <c r="R513">
        <v>3673.82</v>
      </c>
      <c r="S513">
        <v>2088.15</v>
      </c>
      <c r="T513" s="7">
        <f>N513*O513*(1-Q513)</f>
        <v>3673.8225000000002</v>
      </c>
      <c r="U513" s="7">
        <f t="shared" si="42"/>
        <v>1585.6725000000001</v>
      </c>
      <c r="V513">
        <v>1585.67</v>
      </c>
      <c r="W513" s="12">
        <f t="shared" si="43"/>
        <v>0.43161380278987349</v>
      </c>
      <c r="X513" t="s">
        <v>32</v>
      </c>
      <c r="Y513" t="str">
        <f t="shared" si="44"/>
        <v>Paid</v>
      </c>
      <c r="Z513" t="s">
        <v>33</v>
      </c>
      <c r="AA513">
        <f>C513-B513</f>
        <v>423</v>
      </c>
      <c r="AB513" t="str">
        <f>IF(B513="","Missing Order Date",
IF(C513="","Missing Ship Date","OK"))</f>
        <v>OK</v>
      </c>
      <c r="AC513" s="7" t="str">
        <f>IF(C513&lt;B513, "Invalid", "Valid")</f>
        <v>Valid</v>
      </c>
      <c r="AD513" s="7" t="str">
        <f>IF(COUNTIF($A:$A, A513)&gt;1, "Duplicate", "Unique")</f>
        <v>Unique</v>
      </c>
      <c r="AE513" s="7" t="str">
        <f>IF(G513="","Unknown",G513)</f>
        <v>West</v>
      </c>
      <c r="AF513" s="7" t="str">
        <f>IF(M513="","Unknown",M513)</f>
        <v>Standard Class</v>
      </c>
      <c r="AG513" s="7" t="str">
        <f>IF(P513&lt;0,"Invalid",
IF(P513&gt;1,"Invalid","Valid"))</f>
        <v>Valid</v>
      </c>
      <c r="AH513" s="7" t="str">
        <f>TEXT(B513,"mmmm")</f>
        <v>October</v>
      </c>
      <c r="AI513" s="7">
        <f t="shared" si="45"/>
        <v>2024</v>
      </c>
      <c r="AJ513" s="7" t="str">
        <f>IF(OR(R513&lt;0,C513&lt;B513),"Invalid",
IF(OR(G513="Unknown",M513="Unknown"),"Warning","Clean"))</f>
        <v>Clean</v>
      </c>
      <c r="AK513" s="7" t="str">
        <f>IF(C513&lt;B513,"Ship Before Order","OK")</f>
        <v>OK</v>
      </c>
      <c r="AL513" s="7" t="str">
        <f>IF(ISNUMBER(B513),"Valid","Invalid")</f>
        <v>Valid</v>
      </c>
      <c r="AM513" s="7" t="str">
        <f t="shared" si="46"/>
        <v>Missmatched</v>
      </c>
      <c r="AN513" s="7" t="str">
        <f t="shared" si="47"/>
        <v>Missmatched</v>
      </c>
    </row>
    <row r="514" spans="1:40">
      <c r="A514" t="s">
        <v>1635</v>
      </c>
      <c r="B514" s="6">
        <v>45691</v>
      </c>
      <c r="C514" s="4">
        <v>46012</v>
      </c>
      <c r="D514" t="s">
        <v>1247</v>
      </c>
      <c r="E514" t="s">
        <v>47</v>
      </c>
      <c r="F514" t="s">
        <v>90</v>
      </c>
      <c r="G514" t="s">
        <v>54</v>
      </c>
      <c r="H514" t="s">
        <v>185</v>
      </c>
      <c r="I514" t="s">
        <v>186</v>
      </c>
      <c r="J514" t="s">
        <v>28</v>
      </c>
      <c r="K514" t="s">
        <v>91</v>
      </c>
      <c r="L514" t="s">
        <v>1636</v>
      </c>
      <c r="M514" t="s">
        <v>31</v>
      </c>
      <c r="N514">
        <v>2</v>
      </c>
      <c r="O514">
        <v>4031.45</v>
      </c>
      <c r="P514">
        <v>0.25</v>
      </c>
      <c r="Q514" s="7">
        <f>IF(P514="", 0, P514)</f>
        <v>0.25</v>
      </c>
      <c r="R514">
        <v>6047.17</v>
      </c>
      <c r="S514">
        <v>3368.79</v>
      </c>
      <c r="T514" s="7">
        <f>N514*O514*(1-Q514)</f>
        <v>6047.1749999999993</v>
      </c>
      <c r="U514" s="7">
        <f t="shared" ref="U514:U577" si="48">T514-S514</f>
        <v>2678.3849999999993</v>
      </c>
      <c r="V514">
        <v>2678.38</v>
      </c>
      <c r="W514" s="12">
        <f t="shared" ref="W514:W577" si="49">IF(T514=0,0,U514/T514)</f>
        <v>0.44291508018206843</v>
      </c>
      <c r="X514" t="s">
        <v>32</v>
      </c>
      <c r="Y514" t="str">
        <f t="shared" ref="Y514:Y577" si="50">PROPER(TRIM(X514))</f>
        <v>Paid</v>
      </c>
      <c r="Z514" t="s">
        <v>33</v>
      </c>
      <c r="AA514">
        <f>C514-B514</f>
        <v>321</v>
      </c>
      <c r="AB514" t="str">
        <f>IF(B514="","Missing Order Date",
IF(C514="","Missing Ship Date","OK"))</f>
        <v>OK</v>
      </c>
      <c r="AC514" s="7" t="str">
        <f>IF(C514&lt;B514, "Invalid", "Valid")</f>
        <v>Valid</v>
      </c>
      <c r="AD514" s="7" t="str">
        <f>IF(COUNTIF($A:$A, A514)&gt;1, "Duplicate", "Unique")</f>
        <v>Unique</v>
      </c>
      <c r="AE514" s="7" t="str">
        <f>IF(G514="","Unknown",G514)</f>
        <v>South</v>
      </c>
      <c r="AF514" s="7" t="str">
        <f>IF(M514="","Unknown",M514)</f>
        <v>Second Class</v>
      </c>
      <c r="AG514" s="7" t="str">
        <f>IF(P514&lt;0,"Invalid",
IF(P514&gt;1,"Invalid","Valid"))</f>
        <v>Valid</v>
      </c>
      <c r="AH514" s="7" t="str">
        <f>TEXT(B514,"mmmm")</f>
        <v>February</v>
      </c>
      <c r="AI514" s="7">
        <f t="shared" ref="AI514:AI577" si="51">YEAR(B514)</f>
        <v>2025</v>
      </c>
      <c r="AJ514" s="7" t="str">
        <f>IF(OR(R514&lt;0,C514&lt;B514),"Invalid",
IF(OR(G514="Unknown",M514="Unknown"),"Warning","Clean"))</f>
        <v>Clean</v>
      </c>
      <c r="AK514" s="7" t="str">
        <f>IF(C514&lt;B514,"Ship Before Order","OK")</f>
        <v>OK</v>
      </c>
      <c r="AL514" s="7" t="str">
        <f>IF(ISNUMBER(B514),"Valid","Invalid")</f>
        <v>Valid</v>
      </c>
      <c r="AM514" s="7" t="str">
        <f t="shared" ref="AM514:AM577" si="52">IF(R514&lt;&gt;T514, "Missmatched", "Ok")</f>
        <v>Missmatched</v>
      </c>
      <c r="AN514" s="7" t="str">
        <f t="shared" ref="AN514:AN577" si="53">IF(V514&lt;&gt;U514, "Missmatched", "Ok")</f>
        <v>Missmatched</v>
      </c>
    </row>
    <row r="515" spans="1:40">
      <c r="A515" t="s">
        <v>1637</v>
      </c>
      <c r="B515" s="6">
        <v>45835</v>
      </c>
      <c r="C515" s="4">
        <v>46013</v>
      </c>
      <c r="D515" t="s">
        <v>1638</v>
      </c>
      <c r="E515" t="s">
        <v>128</v>
      </c>
      <c r="F515" t="s">
        <v>90</v>
      </c>
      <c r="G515" t="s">
        <v>54</v>
      </c>
      <c r="H515" t="s">
        <v>185</v>
      </c>
      <c r="I515" t="s">
        <v>186</v>
      </c>
      <c r="J515" t="s">
        <v>74</v>
      </c>
      <c r="K515" t="s">
        <v>75</v>
      </c>
      <c r="L515" t="s">
        <v>1639</v>
      </c>
      <c r="M515" t="s">
        <v>50</v>
      </c>
      <c r="N515">
        <v>6</v>
      </c>
      <c r="O515">
        <v>1099.49</v>
      </c>
      <c r="P515">
        <v>0.1</v>
      </c>
      <c r="Q515" s="7">
        <f>IF(P515="", 0, P515)</f>
        <v>0.1</v>
      </c>
      <c r="R515">
        <v>6212.38</v>
      </c>
      <c r="S515">
        <v>4088.46</v>
      </c>
      <c r="T515" s="7">
        <f>N515*O515*(1-Q515)</f>
        <v>5937.246000000001</v>
      </c>
      <c r="U515" s="7">
        <f t="shared" si="48"/>
        <v>1848.786000000001</v>
      </c>
      <c r="V515">
        <v>1848.79</v>
      </c>
      <c r="W515" s="12">
        <f t="shared" si="49"/>
        <v>0.31138780505304997</v>
      </c>
      <c r="X515" t="s">
        <v>32</v>
      </c>
      <c r="Y515" t="str">
        <f t="shared" si="50"/>
        <v>Paid</v>
      </c>
      <c r="Z515" t="s">
        <v>33</v>
      </c>
      <c r="AA515">
        <f>C515-B515</f>
        <v>178</v>
      </c>
      <c r="AB515" t="str">
        <f>IF(B515="","Missing Order Date",
IF(C515="","Missing Ship Date","OK"))</f>
        <v>OK</v>
      </c>
      <c r="AC515" s="7" t="str">
        <f>IF(C515&lt;B515, "Invalid", "Valid")</f>
        <v>Valid</v>
      </c>
      <c r="AD515" s="7" t="str">
        <f>IF(COUNTIF($A:$A, A515)&gt;1, "Duplicate", "Unique")</f>
        <v>Unique</v>
      </c>
      <c r="AE515" s="7" t="str">
        <f>IF(G515="","Unknown",G515)</f>
        <v>South</v>
      </c>
      <c r="AF515" s="7" t="str">
        <f>IF(M515="","Unknown",M515)</f>
        <v>First Class</v>
      </c>
      <c r="AG515" s="7" t="str">
        <f>IF(P515&lt;0,"Invalid",
IF(P515&gt;1,"Invalid","Valid"))</f>
        <v>Valid</v>
      </c>
      <c r="AH515" s="7" t="str">
        <f>TEXT(B515,"mmmm")</f>
        <v>June</v>
      </c>
      <c r="AI515" s="7">
        <f t="shared" si="51"/>
        <v>2025</v>
      </c>
      <c r="AJ515" s="7" t="str">
        <f>IF(OR(R515&lt;0,C515&lt;B515),"Invalid",
IF(OR(G515="Unknown",M515="Unknown"),"Warning","Clean"))</f>
        <v>Clean</v>
      </c>
      <c r="AK515" s="7" t="str">
        <f>IF(C515&lt;B515,"Ship Before Order","OK")</f>
        <v>OK</v>
      </c>
      <c r="AL515" s="7" t="str">
        <f>IF(ISNUMBER(B515),"Valid","Invalid")</f>
        <v>Valid</v>
      </c>
      <c r="AM515" s="7" t="str">
        <f t="shared" si="52"/>
        <v>Missmatched</v>
      </c>
      <c r="AN515" s="7" t="str">
        <f t="shared" si="53"/>
        <v>Missmatched</v>
      </c>
    </row>
    <row r="516" spans="1:40">
      <c r="A516" t="s">
        <v>1640</v>
      </c>
      <c r="B516" s="6">
        <v>45614</v>
      </c>
      <c r="C516" s="4">
        <v>46014</v>
      </c>
      <c r="D516" t="s">
        <v>1641</v>
      </c>
      <c r="E516" t="s">
        <v>23</v>
      </c>
      <c r="F516" t="s">
        <v>95</v>
      </c>
      <c r="G516" t="s">
        <v>54</v>
      </c>
      <c r="H516" t="s">
        <v>185</v>
      </c>
      <c r="I516" t="s">
        <v>186</v>
      </c>
      <c r="J516" t="s">
        <v>74</v>
      </c>
      <c r="K516" t="s">
        <v>75</v>
      </c>
      <c r="L516" t="s">
        <v>1642</v>
      </c>
      <c r="M516" t="s">
        <v>59</v>
      </c>
      <c r="N516">
        <v>6</v>
      </c>
      <c r="O516">
        <v>3872.94</v>
      </c>
      <c r="P516">
        <v>0.1</v>
      </c>
      <c r="Q516" s="7">
        <f>IF(P516="", 0, P516)</f>
        <v>0.1</v>
      </c>
      <c r="R516">
        <v>20913.88</v>
      </c>
      <c r="S516">
        <v>11684.68</v>
      </c>
      <c r="T516" s="7">
        <f>N516*O516*(1-Q516)</f>
        <v>20913.876</v>
      </c>
      <c r="U516" s="7">
        <f t="shared" si="48"/>
        <v>9229.1959999999999</v>
      </c>
      <c r="V516">
        <v>9229.2000000000007</v>
      </c>
      <c r="W516" s="12">
        <f t="shared" si="49"/>
        <v>0.44129533903710627</v>
      </c>
      <c r="X516" t="s">
        <v>32</v>
      </c>
      <c r="Y516" t="str">
        <f t="shared" si="50"/>
        <v>Paid</v>
      </c>
      <c r="Z516" t="s">
        <v>33</v>
      </c>
      <c r="AA516">
        <f>C516-B516</f>
        <v>400</v>
      </c>
      <c r="AB516" t="str">
        <f>IF(B516="","Missing Order Date",
IF(C516="","Missing Ship Date","OK"))</f>
        <v>OK</v>
      </c>
      <c r="AC516" s="7" t="str">
        <f>IF(C516&lt;B516, "Invalid", "Valid")</f>
        <v>Valid</v>
      </c>
      <c r="AD516" s="7" t="str">
        <f>IF(COUNTIF($A:$A, A516)&gt;1, "Duplicate", "Unique")</f>
        <v>Unique</v>
      </c>
      <c r="AE516" s="7" t="str">
        <f>IF(G516="","Unknown",G516)</f>
        <v>South</v>
      </c>
      <c r="AF516" s="7" t="str">
        <f>IF(M516="","Unknown",M516)</f>
        <v>Standard Class</v>
      </c>
      <c r="AG516" s="7" t="str">
        <f>IF(P516&lt;0,"Invalid",
IF(P516&gt;1,"Invalid","Valid"))</f>
        <v>Valid</v>
      </c>
      <c r="AH516" s="7" t="str">
        <f>TEXT(B516,"mmmm")</f>
        <v>November</v>
      </c>
      <c r="AI516" s="7">
        <f t="shared" si="51"/>
        <v>2024</v>
      </c>
      <c r="AJ516" s="7" t="str">
        <f>IF(OR(R516&lt;0,C516&lt;B516),"Invalid",
IF(OR(G516="Unknown",M516="Unknown"),"Warning","Clean"))</f>
        <v>Clean</v>
      </c>
      <c r="AK516" s="7" t="str">
        <f>IF(C516&lt;B516,"Ship Before Order","OK")</f>
        <v>OK</v>
      </c>
      <c r="AL516" s="7" t="str">
        <f>IF(ISNUMBER(B516),"Valid","Invalid")</f>
        <v>Valid</v>
      </c>
      <c r="AM516" s="7" t="str">
        <f t="shared" si="52"/>
        <v>Missmatched</v>
      </c>
      <c r="AN516" s="7" t="str">
        <f t="shared" si="53"/>
        <v>Missmatched</v>
      </c>
    </row>
    <row r="517" spans="1:40">
      <c r="A517" t="s">
        <v>1643</v>
      </c>
      <c r="B517" s="6">
        <v>45965</v>
      </c>
      <c r="C517" s="4">
        <v>46015</v>
      </c>
      <c r="D517" t="s">
        <v>1644</v>
      </c>
      <c r="E517" t="s">
        <v>118</v>
      </c>
      <c r="F517" t="s">
        <v>90</v>
      </c>
      <c r="G517" t="s">
        <v>25</v>
      </c>
      <c r="H517" t="s">
        <v>350</v>
      </c>
      <c r="I517" t="s">
        <v>351</v>
      </c>
      <c r="J517" t="s">
        <v>28</v>
      </c>
      <c r="K517" t="s">
        <v>29</v>
      </c>
      <c r="L517" t="s">
        <v>1645</v>
      </c>
      <c r="M517" t="s">
        <v>59</v>
      </c>
      <c r="N517">
        <v>1</v>
      </c>
      <c r="O517">
        <v>4458.49</v>
      </c>
      <c r="P517">
        <v>-7.0000000000000007E-2</v>
      </c>
      <c r="Q517" s="7">
        <f>IF(P517="", 0, P517)</f>
        <v>-7.0000000000000007E-2</v>
      </c>
      <c r="R517">
        <v>3566.79</v>
      </c>
      <c r="S517">
        <v>2083.41</v>
      </c>
      <c r="T517" s="7">
        <f>N517*O517*(1-Q517)</f>
        <v>4770.5843000000004</v>
      </c>
      <c r="U517" s="7">
        <f t="shared" si="48"/>
        <v>2687.1743000000006</v>
      </c>
      <c r="V517">
        <v>1483.38</v>
      </c>
      <c r="W517" s="12">
        <f t="shared" si="49"/>
        <v>0.56327991101635089</v>
      </c>
      <c r="X517" t="s">
        <v>32</v>
      </c>
      <c r="Y517" t="str">
        <f t="shared" si="50"/>
        <v>Paid</v>
      </c>
      <c r="Z517" t="s">
        <v>33</v>
      </c>
      <c r="AA517">
        <f>C517-B517</f>
        <v>50</v>
      </c>
      <c r="AB517" t="str">
        <f>IF(B517="","Missing Order Date",
IF(C517="","Missing Ship Date","OK"))</f>
        <v>OK</v>
      </c>
      <c r="AC517" s="7" t="str">
        <f>IF(C517&lt;B517, "Invalid", "Valid")</f>
        <v>Valid</v>
      </c>
      <c r="AD517" s="7" t="str">
        <f>IF(COUNTIF($A:$A, A517)&gt;1, "Duplicate", "Unique")</f>
        <v>Unique</v>
      </c>
      <c r="AE517" s="7" t="str">
        <f>IF(G517="","Unknown",G517)</f>
        <v>North</v>
      </c>
      <c r="AF517" s="7" t="str">
        <f>IF(M517="","Unknown",M517)</f>
        <v>Standard Class</v>
      </c>
      <c r="AG517" s="7" t="str">
        <f>IF(P517&lt;0,"Invalid",
IF(P517&gt;1,"Invalid","Valid"))</f>
        <v>Invalid</v>
      </c>
      <c r="AH517" s="7" t="str">
        <f>TEXT(B517,"mmmm")</f>
        <v>November</v>
      </c>
      <c r="AI517" s="7">
        <f t="shared" si="51"/>
        <v>2025</v>
      </c>
      <c r="AJ517" s="7" t="str">
        <f>IF(OR(R517&lt;0,C517&lt;B517),"Invalid",
IF(OR(G517="Unknown",M517="Unknown"),"Warning","Clean"))</f>
        <v>Clean</v>
      </c>
      <c r="AK517" s="7" t="str">
        <f>IF(C517&lt;B517,"Ship Before Order","OK")</f>
        <v>OK</v>
      </c>
      <c r="AL517" s="7" t="str">
        <f>IF(ISNUMBER(B517),"Valid","Invalid")</f>
        <v>Valid</v>
      </c>
      <c r="AM517" s="7" t="str">
        <f t="shared" si="52"/>
        <v>Missmatched</v>
      </c>
      <c r="AN517" s="7" t="str">
        <f t="shared" si="53"/>
        <v>Missmatched</v>
      </c>
    </row>
    <row r="518" spans="1:40">
      <c r="A518" t="s">
        <v>1646</v>
      </c>
      <c r="B518" s="6">
        <v>45563</v>
      </c>
      <c r="C518" s="4">
        <v>46016</v>
      </c>
      <c r="D518" t="s">
        <v>1647</v>
      </c>
      <c r="E518" t="s">
        <v>264</v>
      </c>
      <c r="F518" t="s">
        <v>95</v>
      </c>
      <c r="G518" t="s">
        <v>25</v>
      </c>
      <c r="H518" t="s">
        <v>350</v>
      </c>
      <c r="I518" t="s">
        <v>351</v>
      </c>
      <c r="J518" t="s">
        <v>74</v>
      </c>
      <c r="K518" t="s">
        <v>80</v>
      </c>
      <c r="L518" t="s">
        <v>1648</v>
      </c>
      <c r="M518" t="s">
        <v>59</v>
      </c>
      <c r="N518">
        <v>1</v>
      </c>
      <c r="O518">
        <v>2233.1799999999998</v>
      </c>
      <c r="P518">
        <v>0</v>
      </c>
      <c r="Q518" s="7">
        <f>IF(P518="", 0, P518)</f>
        <v>0</v>
      </c>
      <c r="R518">
        <v>2233.1799999999998</v>
      </c>
      <c r="S518">
        <v>1585.82</v>
      </c>
      <c r="T518" s="7">
        <f>N518*O518*(1-Q518)</f>
        <v>2233.1799999999998</v>
      </c>
      <c r="U518" s="7">
        <f t="shared" si="48"/>
        <v>647.3599999999999</v>
      </c>
      <c r="V518">
        <v>647.36</v>
      </c>
      <c r="W518" s="12">
        <f t="shared" si="49"/>
        <v>0.28988258895386843</v>
      </c>
      <c r="X518" t="s">
        <v>155</v>
      </c>
      <c r="Y518" t="str">
        <f t="shared" si="50"/>
        <v>Failed</v>
      </c>
      <c r="Z518" t="s">
        <v>103</v>
      </c>
      <c r="AA518">
        <f>C518-B518</f>
        <v>453</v>
      </c>
      <c r="AB518" t="str">
        <f>IF(B518="","Missing Order Date",
IF(C518="","Missing Ship Date","OK"))</f>
        <v>OK</v>
      </c>
      <c r="AC518" s="7" t="str">
        <f>IF(C518&lt;B518, "Invalid", "Valid")</f>
        <v>Valid</v>
      </c>
      <c r="AD518" s="7" t="str">
        <f>IF(COUNTIF($A:$A, A518)&gt;1, "Duplicate", "Unique")</f>
        <v>Unique</v>
      </c>
      <c r="AE518" s="7" t="str">
        <f>IF(G518="","Unknown",G518)</f>
        <v>North</v>
      </c>
      <c r="AF518" s="7" t="str">
        <f>IF(M518="","Unknown",M518)</f>
        <v>Standard Class</v>
      </c>
      <c r="AG518" s="7" t="str">
        <f>IF(P518&lt;0,"Invalid",
IF(P518&gt;1,"Invalid","Valid"))</f>
        <v>Valid</v>
      </c>
      <c r="AH518" s="7" t="str">
        <f>TEXT(B518,"mmmm")</f>
        <v>September</v>
      </c>
      <c r="AI518" s="7">
        <f t="shared" si="51"/>
        <v>2024</v>
      </c>
      <c r="AJ518" s="7" t="str">
        <f>IF(OR(R518&lt;0,C518&lt;B518),"Invalid",
IF(OR(G518="Unknown",M518="Unknown"),"Warning","Clean"))</f>
        <v>Clean</v>
      </c>
      <c r="AK518" s="7" t="str">
        <f>IF(C518&lt;B518,"Ship Before Order","OK")</f>
        <v>OK</v>
      </c>
      <c r="AL518" s="7" t="str">
        <f>IF(ISNUMBER(B518),"Valid","Invalid")</f>
        <v>Valid</v>
      </c>
      <c r="AM518" s="7" t="str">
        <f t="shared" si="52"/>
        <v>Ok</v>
      </c>
      <c r="AN518" s="7" t="str">
        <f t="shared" si="53"/>
        <v>Ok</v>
      </c>
    </row>
    <row r="519" spans="1:40">
      <c r="A519" t="s">
        <v>1649</v>
      </c>
      <c r="B519" s="6">
        <v>45802</v>
      </c>
      <c r="C519" s="4">
        <v>46017</v>
      </c>
      <c r="D519" t="s">
        <v>1650</v>
      </c>
      <c r="E519" t="s">
        <v>118</v>
      </c>
      <c r="F519" t="s">
        <v>24</v>
      </c>
      <c r="G519" t="s">
        <v>38</v>
      </c>
      <c r="H519" t="s">
        <v>39</v>
      </c>
      <c r="I519" t="s">
        <v>40</v>
      </c>
      <c r="J519" t="s">
        <v>41</v>
      </c>
      <c r="K519" t="s">
        <v>57</v>
      </c>
      <c r="L519" t="s">
        <v>1651</v>
      </c>
      <c r="M519" t="s">
        <v>31</v>
      </c>
      <c r="N519">
        <v>7</v>
      </c>
      <c r="O519">
        <v>2123.2800000000002</v>
      </c>
      <c r="P519">
        <v>0.2</v>
      </c>
      <c r="Q519" s="7">
        <f>IF(P519="", 0, P519)</f>
        <v>0.2</v>
      </c>
      <c r="R519">
        <v>11890.37</v>
      </c>
      <c r="S519">
        <v>9234.5300000000007</v>
      </c>
      <c r="T519" s="7">
        <f>N519*O519*(1-Q519)</f>
        <v>11890.368000000002</v>
      </c>
      <c r="U519" s="7">
        <f t="shared" si="48"/>
        <v>2655.8380000000016</v>
      </c>
      <c r="V519">
        <v>2655.84</v>
      </c>
      <c r="W519" s="12">
        <f t="shared" si="49"/>
        <v>0.22336045444514427</v>
      </c>
      <c r="X519" t="s">
        <v>102</v>
      </c>
      <c r="Y519" t="str">
        <f t="shared" si="50"/>
        <v>Refunded</v>
      </c>
      <c r="Z519" t="s">
        <v>103</v>
      </c>
      <c r="AA519">
        <f>C519-B519</f>
        <v>215</v>
      </c>
      <c r="AB519" t="str">
        <f>IF(B519="","Missing Order Date",
IF(C519="","Missing Ship Date","OK"))</f>
        <v>OK</v>
      </c>
      <c r="AC519" s="7" t="str">
        <f>IF(C519&lt;B519, "Invalid", "Valid")</f>
        <v>Valid</v>
      </c>
      <c r="AD519" s="7" t="str">
        <f>IF(COUNTIF($A:$A, A519)&gt;1, "Duplicate", "Unique")</f>
        <v>Unique</v>
      </c>
      <c r="AE519" s="7" t="str">
        <f>IF(G519="","Unknown",G519)</f>
        <v>East</v>
      </c>
      <c r="AF519" s="7" t="str">
        <f>IF(M519="","Unknown",M519)</f>
        <v>Second Class</v>
      </c>
      <c r="AG519" s="7" t="str">
        <f>IF(P519&lt;0,"Invalid",
IF(P519&gt;1,"Invalid","Valid"))</f>
        <v>Valid</v>
      </c>
      <c r="AH519" s="7" t="str">
        <f>TEXT(B519,"mmmm")</f>
        <v>May</v>
      </c>
      <c r="AI519" s="7">
        <f t="shared" si="51"/>
        <v>2025</v>
      </c>
      <c r="AJ519" s="7" t="str">
        <f>IF(OR(R519&lt;0,C519&lt;B519),"Invalid",
IF(OR(G519="Unknown",M519="Unknown"),"Warning","Clean"))</f>
        <v>Clean</v>
      </c>
      <c r="AK519" s="7" t="str">
        <f>IF(C519&lt;B519,"Ship Before Order","OK")</f>
        <v>OK</v>
      </c>
      <c r="AL519" s="7" t="str">
        <f>IF(ISNUMBER(B519),"Valid","Invalid")</f>
        <v>Valid</v>
      </c>
      <c r="AM519" s="7" t="str">
        <f t="shared" si="52"/>
        <v>Missmatched</v>
      </c>
      <c r="AN519" s="7" t="str">
        <f t="shared" si="53"/>
        <v>Missmatched</v>
      </c>
    </row>
    <row r="520" spans="1:40">
      <c r="A520" t="s">
        <v>1652</v>
      </c>
      <c r="B520" s="6">
        <v>45777</v>
      </c>
      <c r="C520" s="4">
        <v>46018</v>
      </c>
      <c r="D520" t="s">
        <v>1653</v>
      </c>
      <c r="E520" t="s">
        <v>162</v>
      </c>
      <c r="F520" t="s">
        <v>90</v>
      </c>
      <c r="G520" t="s">
        <v>38</v>
      </c>
      <c r="H520" t="s">
        <v>39</v>
      </c>
      <c r="I520" t="s">
        <v>40</v>
      </c>
      <c r="J520" t="s">
        <v>41</v>
      </c>
      <c r="K520" t="s">
        <v>42</v>
      </c>
      <c r="L520" t="s">
        <v>1654</v>
      </c>
      <c r="M520" t="s">
        <v>50</v>
      </c>
      <c r="N520">
        <v>7</v>
      </c>
      <c r="O520">
        <v>1604.13</v>
      </c>
      <c r="P520">
        <v>0.25</v>
      </c>
      <c r="Q520" s="7">
        <f>IF(P520="", 0, P520)</f>
        <v>0.25</v>
      </c>
      <c r="R520">
        <v>8421.68</v>
      </c>
      <c r="S520">
        <v>6534.47</v>
      </c>
      <c r="T520" s="7">
        <f>N520*O520*(1-Q520)</f>
        <v>8421.682499999999</v>
      </c>
      <c r="U520" s="7">
        <f t="shared" si="48"/>
        <v>1887.2124999999987</v>
      </c>
      <c r="V520">
        <v>1887.21</v>
      </c>
      <c r="W520" s="12">
        <f t="shared" si="49"/>
        <v>0.22408972316398759</v>
      </c>
      <c r="X520" t="s">
        <v>32</v>
      </c>
      <c r="Y520" t="str">
        <f t="shared" si="50"/>
        <v>Paid</v>
      </c>
      <c r="Z520" t="s">
        <v>68</v>
      </c>
      <c r="AA520">
        <f>C520-B520</f>
        <v>241</v>
      </c>
      <c r="AB520" t="str">
        <f>IF(B520="","Missing Order Date",
IF(C520="","Missing Ship Date","OK"))</f>
        <v>OK</v>
      </c>
      <c r="AC520" s="7" t="str">
        <f>IF(C520&lt;B520, "Invalid", "Valid")</f>
        <v>Valid</v>
      </c>
      <c r="AD520" s="7" t="str">
        <f>IF(COUNTIF($A:$A, A520)&gt;1, "Duplicate", "Unique")</f>
        <v>Unique</v>
      </c>
      <c r="AE520" s="7" t="str">
        <f>IF(G520="","Unknown",G520)</f>
        <v>East</v>
      </c>
      <c r="AF520" s="7" t="str">
        <f>IF(M520="","Unknown",M520)</f>
        <v>First Class</v>
      </c>
      <c r="AG520" s="7" t="str">
        <f>IF(P520&lt;0,"Invalid",
IF(P520&gt;1,"Invalid","Valid"))</f>
        <v>Valid</v>
      </c>
      <c r="AH520" s="7" t="str">
        <f>TEXT(B520,"mmmm")</f>
        <v>April</v>
      </c>
      <c r="AI520" s="7">
        <f t="shared" si="51"/>
        <v>2025</v>
      </c>
      <c r="AJ520" s="7" t="str">
        <f>IF(OR(R520&lt;0,C520&lt;B520),"Invalid",
IF(OR(G520="Unknown",M520="Unknown"),"Warning","Clean"))</f>
        <v>Clean</v>
      </c>
      <c r="AK520" s="7" t="str">
        <f>IF(C520&lt;B520,"Ship Before Order","OK")</f>
        <v>OK</v>
      </c>
      <c r="AL520" s="7" t="str">
        <f>IF(ISNUMBER(B520),"Valid","Invalid")</f>
        <v>Valid</v>
      </c>
      <c r="AM520" s="7" t="str">
        <f t="shared" si="52"/>
        <v>Missmatched</v>
      </c>
      <c r="AN520" s="7" t="str">
        <f t="shared" si="53"/>
        <v>Missmatched</v>
      </c>
    </row>
    <row r="521" spans="1:40">
      <c r="A521" t="s">
        <v>1655</v>
      </c>
      <c r="B521" s="6">
        <v>45841</v>
      </c>
      <c r="C521" s="4">
        <v>46019</v>
      </c>
      <c r="D521" t="s">
        <v>1656</v>
      </c>
      <c r="E521" t="s">
        <v>114</v>
      </c>
      <c r="F521" t="s">
        <v>24</v>
      </c>
      <c r="G521" t="s">
        <v>25</v>
      </c>
      <c r="H521" t="s">
        <v>136</v>
      </c>
      <c r="I521" t="s">
        <v>137</v>
      </c>
      <c r="J521" t="s">
        <v>41</v>
      </c>
      <c r="K521" t="s">
        <v>42</v>
      </c>
      <c r="L521" t="s">
        <v>1657</v>
      </c>
      <c r="M521" t="s">
        <v>59</v>
      </c>
      <c r="N521">
        <v>4</v>
      </c>
      <c r="O521">
        <v>4365.21</v>
      </c>
      <c r="P521">
        <v>0.2</v>
      </c>
      <c r="Q521" s="7">
        <f>IF(P521="", 0, P521)</f>
        <v>0.2</v>
      </c>
      <c r="R521">
        <v>13968.67</v>
      </c>
      <c r="S521">
        <v>8857.58</v>
      </c>
      <c r="T521" s="7">
        <f>N521*O521*(1-Q521)</f>
        <v>13968.672</v>
      </c>
      <c r="U521" s="7">
        <f t="shared" si="48"/>
        <v>5111.0920000000006</v>
      </c>
      <c r="V521">
        <v>5111.09</v>
      </c>
      <c r="W521" s="12">
        <f t="shared" si="49"/>
        <v>0.36589677243477409</v>
      </c>
      <c r="X521" t="s">
        <v>111</v>
      </c>
      <c r="Y521" t="str">
        <f t="shared" si="50"/>
        <v>Pending</v>
      </c>
      <c r="Z521" t="s">
        <v>68</v>
      </c>
      <c r="AA521">
        <f>C521-B521</f>
        <v>178</v>
      </c>
      <c r="AB521" t="str">
        <f>IF(B521="","Missing Order Date",
IF(C521="","Missing Ship Date","OK"))</f>
        <v>OK</v>
      </c>
      <c r="AC521" s="7" t="str">
        <f>IF(C521&lt;B521, "Invalid", "Valid")</f>
        <v>Valid</v>
      </c>
      <c r="AD521" s="7" t="str">
        <f>IF(COUNTIF($A:$A, A521)&gt;1, "Duplicate", "Unique")</f>
        <v>Unique</v>
      </c>
      <c r="AE521" s="7" t="str">
        <f>IF(G521="","Unknown",G521)</f>
        <v>North</v>
      </c>
      <c r="AF521" s="7" t="str">
        <f>IF(M521="","Unknown",M521)</f>
        <v>Standard Class</v>
      </c>
      <c r="AG521" s="7" t="str">
        <f>IF(P521&lt;0,"Invalid",
IF(P521&gt;1,"Invalid","Valid"))</f>
        <v>Valid</v>
      </c>
      <c r="AH521" s="7" t="str">
        <f>TEXT(B521,"mmmm")</f>
        <v>July</v>
      </c>
      <c r="AI521" s="7">
        <f t="shared" si="51"/>
        <v>2025</v>
      </c>
      <c r="AJ521" s="7" t="str">
        <f>IF(OR(R521&lt;0,C521&lt;B521),"Invalid",
IF(OR(G521="Unknown",M521="Unknown"),"Warning","Clean"))</f>
        <v>Clean</v>
      </c>
      <c r="AK521" s="7" t="str">
        <f>IF(C521&lt;B521,"Ship Before Order","OK")</f>
        <v>OK</v>
      </c>
      <c r="AL521" s="7" t="str">
        <f>IF(ISNUMBER(B521),"Valid","Invalid")</f>
        <v>Valid</v>
      </c>
      <c r="AM521" s="7" t="str">
        <f t="shared" si="52"/>
        <v>Missmatched</v>
      </c>
      <c r="AN521" s="7" t="str">
        <f t="shared" si="53"/>
        <v>Missmatched</v>
      </c>
    </row>
    <row r="522" spans="1:40">
      <c r="A522" t="s">
        <v>1658</v>
      </c>
      <c r="B522" s="6">
        <v>45489</v>
      </c>
      <c r="C522" s="4">
        <v>46020</v>
      </c>
      <c r="D522" t="s">
        <v>1659</v>
      </c>
      <c r="E522" t="s">
        <v>128</v>
      </c>
      <c r="F522" t="s">
        <v>95</v>
      </c>
      <c r="G522" t="s">
        <v>54</v>
      </c>
      <c r="H522" t="s">
        <v>175</v>
      </c>
      <c r="I522" t="s">
        <v>176</v>
      </c>
      <c r="J522" t="s">
        <v>74</v>
      </c>
      <c r="K522" t="s">
        <v>274</v>
      </c>
      <c r="L522" t="s">
        <v>1660</v>
      </c>
      <c r="M522" t="s">
        <v>44</v>
      </c>
      <c r="N522">
        <v>1</v>
      </c>
      <c r="O522">
        <v>1695.91</v>
      </c>
      <c r="P522">
        <v>0.05</v>
      </c>
      <c r="Q522" s="7">
        <f>IF(P522="", 0, P522)</f>
        <v>0.05</v>
      </c>
      <c r="R522">
        <v>1611.11</v>
      </c>
      <c r="S522">
        <v>895.15</v>
      </c>
      <c r="T522" s="7">
        <f>N522*O522*(1-Q522)</f>
        <v>1611.1144999999999</v>
      </c>
      <c r="U522" s="7">
        <f t="shared" si="48"/>
        <v>715.96449999999993</v>
      </c>
      <c r="V522">
        <v>715.96</v>
      </c>
      <c r="W522" s="12">
        <f t="shared" si="49"/>
        <v>0.44439082386757739</v>
      </c>
      <c r="X522" t="s">
        <v>32</v>
      </c>
      <c r="Y522" t="str">
        <f t="shared" si="50"/>
        <v>Paid</v>
      </c>
      <c r="Z522" t="s">
        <v>33</v>
      </c>
      <c r="AA522">
        <f>C522-B522</f>
        <v>531</v>
      </c>
      <c r="AB522" t="str">
        <f>IF(B522="","Missing Order Date",
IF(C522="","Missing Ship Date","OK"))</f>
        <v>OK</v>
      </c>
      <c r="AC522" s="7" t="str">
        <f>IF(C522&lt;B522, "Invalid", "Valid")</f>
        <v>Valid</v>
      </c>
      <c r="AD522" s="7" t="str">
        <f>IF(COUNTIF($A:$A, A522)&gt;1, "Duplicate", "Unique")</f>
        <v>Unique</v>
      </c>
      <c r="AE522" s="7" t="str">
        <f>IF(G522="","Unknown",G522)</f>
        <v>South</v>
      </c>
      <c r="AF522" s="7" t="str">
        <f>IF(M522="","Unknown",M522)</f>
        <v>Same Day</v>
      </c>
      <c r="AG522" s="7" t="str">
        <f>IF(P522&lt;0,"Invalid",
IF(P522&gt;1,"Invalid","Valid"))</f>
        <v>Valid</v>
      </c>
      <c r="AH522" s="7" t="str">
        <f>TEXT(B522,"mmmm")</f>
        <v>July</v>
      </c>
      <c r="AI522" s="7">
        <f t="shared" si="51"/>
        <v>2024</v>
      </c>
      <c r="AJ522" s="7" t="str">
        <f>IF(OR(R522&lt;0,C522&lt;B522),"Invalid",
IF(OR(G522="Unknown",M522="Unknown"),"Warning","Clean"))</f>
        <v>Clean</v>
      </c>
      <c r="AK522" s="7" t="str">
        <f>IF(C522&lt;B522,"Ship Before Order","OK")</f>
        <v>OK</v>
      </c>
      <c r="AL522" s="7" t="str">
        <f>IF(ISNUMBER(B522),"Valid","Invalid")</f>
        <v>Valid</v>
      </c>
      <c r="AM522" s="7" t="str">
        <f t="shared" si="52"/>
        <v>Missmatched</v>
      </c>
      <c r="AN522" s="7" t="str">
        <f t="shared" si="53"/>
        <v>Missmatched</v>
      </c>
    </row>
    <row r="523" spans="1:40">
      <c r="A523" t="s">
        <v>1661</v>
      </c>
      <c r="B523" s="6">
        <v>45741</v>
      </c>
      <c r="C523" s="4">
        <v>46021</v>
      </c>
      <c r="D523" t="s">
        <v>1662</v>
      </c>
      <c r="E523" t="s">
        <v>162</v>
      </c>
      <c r="F523" t="s">
        <v>24</v>
      </c>
      <c r="G523" t="s">
        <v>25</v>
      </c>
      <c r="H523" t="s">
        <v>122</v>
      </c>
      <c r="I523" t="s">
        <v>123</v>
      </c>
      <c r="J523" t="s">
        <v>28</v>
      </c>
      <c r="K523" t="s">
        <v>91</v>
      </c>
      <c r="L523" t="s">
        <v>1663</v>
      </c>
      <c r="M523" t="s">
        <v>31</v>
      </c>
      <c r="N523">
        <v>6</v>
      </c>
      <c r="O523">
        <v>2192.11</v>
      </c>
      <c r="P523">
        <v>0.05</v>
      </c>
      <c r="Q523" s="7">
        <f>IF(P523="", 0, P523)</f>
        <v>0.05</v>
      </c>
      <c r="R523">
        <v>12495.03</v>
      </c>
      <c r="S523">
        <v>9184.52</v>
      </c>
      <c r="T523" s="7">
        <f>N523*O523*(1-Q523)</f>
        <v>12495.027</v>
      </c>
      <c r="U523" s="7">
        <f t="shared" si="48"/>
        <v>3310.5069999999996</v>
      </c>
      <c r="V523">
        <v>3310.51</v>
      </c>
      <c r="W523" s="12">
        <f t="shared" si="49"/>
        <v>0.26494596610315446</v>
      </c>
      <c r="X523" t="s">
        <v>32</v>
      </c>
      <c r="Y523" t="str">
        <f t="shared" si="50"/>
        <v>Paid</v>
      </c>
      <c r="Z523" t="s">
        <v>33</v>
      </c>
      <c r="AA523">
        <f>C523-B523</f>
        <v>280</v>
      </c>
      <c r="AB523" t="str">
        <f>IF(B523="","Missing Order Date",
IF(C523="","Missing Ship Date","OK"))</f>
        <v>OK</v>
      </c>
      <c r="AC523" s="7" t="str">
        <f>IF(C523&lt;B523, "Invalid", "Valid")</f>
        <v>Valid</v>
      </c>
      <c r="AD523" s="7" t="str">
        <f>IF(COUNTIF($A:$A, A523)&gt;1, "Duplicate", "Unique")</f>
        <v>Unique</v>
      </c>
      <c r="AE523" s="7" t="str">
        <f>IF(G523="","Unknown",G523)</f>
        <v>North</v>
      </c>
      <c r="AF523" s="7" t="str">
        <f>IF(M523="","Unknown",M523)</f>
        <v>Second Class</v>
      </c>
      <c r="AG523" s="7" t="str">
        <f>IF(P523&lt;0,"Invalid",
IF(P523&gt;1,"Invalid","Valid"))</f>
        <v>Valid</v>
      </c>
      <c r="AH523" s="7" t="str">
        <f>TEXT(B523,"mmmm")</f>
        <v>March</v>
      </c>
      <c r="AI523" s="7">
        <f t="shared" si="51"/>
        <v>2025</v>
      </c>
      <c r="AJ523" s="7" t="str">
        <f>IF(OR(R523&lt;0,C523&lt;B523),"Invalid",
IF(OR(G523="Unknown",M523="Unknown"),"Warning","Clean"))</f>
        <v>Clean</v>
      </c>
      <c r="AK523" s="7" t="str">
        <f>IF(C523&lt;B523,"Ship Before Order","OK")</f>
        <v>OK</v>
      </c>
      <c r="AL523" s="7" t="str">
        <f>IF(ISNUMBER(B523),"Valid","Invalid")</f>
        <v>Valid</v>
      </c>
      <c r="AM523" s="7" t="str">
        <f t="shared" si="52"/>
        <v>Missmatched</v>
      </c>
      <c r="AN523" s="7" t="str">
        <f t="shared" si="53"/>
        <v>Missmatched</v>
      </c>
    </row>
    <row r="524" spans="1:40">
      <c r="A524" t="s">
        <v>1664</v>
      </c>
      <c r="B524" s="6">
        <v>45716</v>
      </c>
      <c r="C524" s="4">
        <v>46022</v>
      </c>
      <c r="D524" t="s">
        <v>1665</v>
      </c>
      <c r="E524" t="s">
        <v>79</v>
      </c>
      <c r="F524" t="s">
        <v>37</v>
      </c>
      <c r="G524" t="s">
        <v>38</v>
      </c>
      <c r="H524" t="s">
        <v>228</v>
      </c>
      <c r="I524" t="s">
        <v>229</v>
      </c>
      <c r="J524" t="s">
        <v>74</v>
      </c>
      <c r="K524" t="s">
        <v>171</v>
      </c>
      <c r="L524" t="s">
        <v>1666</v>
      </c>
      <c r="M524" t="s">
        <v>50</v>
      </c>
      <c r="N524">
        <v>9</v>
      </c>
      <c r="O524">
        <v>3670.54</v>
      </c>
      <c r="P524">
        <v>0</v>
      </c>
      <c r="Q524" s="7">
        <f>IF(P524="", 0, P524)</f>
        <v>0</v>
      </c>
      <c r="R524">
        <v>33034.86</v>
      </c>
      <c r="S524">
        <v>24539.83</v>
      </c>
      <c r="T524" s="7">
        <f>N524*O524*(1-Q524)</f>
        <v>33034.86</v>
      </c>
      <c r="U524" s="7">
        <f t="shared" si="48"/>
        <v>8495.0299999999988</v>
      </c>
      <c r="V524">
        <v>8495.0300000000007</v>
      </c>
      <c r="W524" s="12">
        <f t="shared" si="49"/>
        <v>0.25715350390466307</v>
      </c>
      <c r="X524" t="s">
        <v>32</v>
      </c>
      <c r="Y524" t="str">
        <f t="shared" si="50"/>
        <v>Paid</v>
      </c>
      <c r="Z524" t="s">
        <v>33</v>
      </c>
      <c r="AA524">
        <f>C524-B524</f>
        <v>306</v>
      </c>
      <c r="AB524" t="str">
        <f>IF(B524="","Missing Order Date",
IF(C524="","Missing Ship Date","OK"))</f>
        <v>OK</v>
      </c>
      <c r="AC524" s="7" t="str">
        <f>IF(C524&lt;B524, "Invalid", "Valid")</f>
        <v>Valid</v>
      </c>
      <c r="AD524" s="7" t="str">
        <f>IF(COUNTIF($A:$A, A524)&gt;1, "Duplicate", "Unique")</f>
        <v>Unique</v>
      </c>
      <c r="AE524" s="7" t="str">
        <f>IF(G524="","Unknown",G524)</f>
        <v>East</v>
      </c>
      <c r="AF524" s="7" t="str">
        <f>IF(M524="","Unknown",M524)</f>
        <v>First Class</v>
      </c>
      <c r="AG524" s="7" t="str">
        <f>IF(P524&lt;0,"Invalid",
IF(P524&gt;1,"Invalid","Valid"))</f>
        <v>Valid</v>
      </c>
      <c r="AH524" s="7" t="str">
        <f>TEXT(B524,"mmmm")</f>
        <v>February</v>
      </c>
      <c r="AI524" s="7">
        <f t="shared" si="51"/>
        <v>2025</v>
      </c>
      <c r="AJ524" s="7" t="str">
        <f>IF(OR(R524&lt;0,C524&lt;B524),"Invalid",
IF(OR(G524="Unknown",M524="Unknown"),"Warning","Clean"))</f>
        <v>Clean</v>
      </c>
      <c r="AK524" s="7" t="str">
        <f>IF(C524&lt;B524,"Ship Before Order","OK")</f>
        <v>OK</v>
      </c>
      <c r="AL524" s="7" t="str">
        <f>IF(ISNUMBER(B524),"Valid","Invalid")</f>
        <v>Valid</v>
      </c>
      <c r="AM524" s="7" t="str">
        <f t="shared" si="52"/>
        <v>Ok</v>
      </c>
      <c r="AN524" s="7" t="str">
        <f t="shared" si="53"/>
        <v>Ok</v>
      </c>
    </row>
    <row r="525" spans="1:40">
      <c r="A525" t="s">
        <v>1667</v>
      </c>
      <c r="B525" s="6">
        <v>45384</v>
      </c>
      <c r="C525" s="4">
        <v>46023</v>
      </c>
      <c r="D525" t="s">
        <v>1668</v>
      </c>
      <c r="E525" t="s">
        <v>264</v>
      </c>
      <c r="F525" t="s">
        <v>95</v>
      </c>
      <c r="G525" t="s">
        <v>63</v>
      </c>
      <c r="H525" t="s">
        <v>190</v>
      </c>
      <c r="I525" t="s">
        <v>191</v>
      </c>
      <c r="J525" t="s">
        <v>28</v>
      </c>
      <c r="K525" t="s">
        <v>29</v>
      </c>
      <c r="L525" t="s">
        <v>1669</v>
      </c>
      <c r="M525" t="s">
        <v>31</v>
      </c>
      <c r="N525">
        <v>2</v>
      </c>
      <c r="O525">
        <v>2902.63</v>
      </c>
      <c r="P525">
        <v>0</v>
      </c>
      <c r="Q525" s="7">
        <f>IF(P525="", 0, P525)</f>
        <v>0</v>
      </c>
      <c r="R525">
        <v>5805.26</v>
      </c>
      <c r="S525">
        <v>4654.3599999999997</v>
      </c>
      <c r="T525" s="7">
        <f>N525*O525*(1-Q525)</f>
        <v>5805.26</v>
      </c>
      <c r="U525" s="7">
        <f t="shared" si="48"/>
        <v>1150.9000000000005</v>
      </c>
      <c r="V525">
        <v>1150.9000000000001</v>
      </c>
      <c r="W525" s="12">
        <f t="shared" si="49"/>
        <v>0.19825124111581574</v>
      </c>
      <c r="X525" t="s">
        <v>32</v>
      </c>
      <c r="Y525" t="str">
        <f t="shared" si="50"/>
        <v>Paid</v>
      </c>
      <c r="Z525" t="s">
        <v>103</v>
      </c>
      <c r="AA525">
        <f>C525-B525</f>
        <v>639</v>
      </c>
      <c r="AB525" t="str">
        <f>IF(B525="","Missing Order Date",
IF(C525="","Missing Ship Date","OK"))</f>
        <v>OK</v>
      </c>
      <c r="AC525" s="7" t="str">
        <f>IF(C525&lt;B525, "Invalid", "Valid")</f>
        <v>Valid</v>
      </c>
      <c r="AD525" s="7" t="str">
        <f>IF(COUNTIF($A:$A, A525)&gt;1, "Duplicate", "Unique")</f>
        <v>Unique</v>
      </c>
      <c r="AE525" s="7" t="str">
        <f>IF(G525="","Unknown",G525)</f>
        <v>West</v>
      </c>
      <c r="AF525" s="7" t="str">
        <f>IF(M525="","Unknown",M525)</f>
        <v>Second Class</v>
      </c>
      <c r="AG525" s="7" t="str">
        <f>IF(P525&lt;0,"Invalid",
IF(P525&gt;1,"Invalid","Valid"))</f>
        <v>Valid</v>
      </c>
      <c r="AH525" s="7" t="str">
        <f>TEXT(B525,"mmmm")</f>
        <v>April</v>
      </c>
      <c r="AI525" s="7">
        <f t="shared" si="51"/>
        <v>2024</v>
      </c>
      <c r="AJ525" s="7" t="str">
        <f>IF(OR(R525&lt;0,C525&lt;B525),"Invalid",
IF(OR(G525="Unknown",M525="Unknown"),"Warning","Clean"))</f>
        <v>Clean</v>
      </c>
      <c r="AK525" s="7" t="str">
        <f>IF(C525&lt;B525,"Ship Before Order","OK")</f>
        <v>OK</v>
      </c>
      <c r="AL525" s="7" t="str">
        <f>IF(ISNUMBER(B525),"Valid","Invalid")</f>
        <v>Valid</v>
      </c>
      <c r="AM525" s="7" t="str">
        <f t="shared" si="52"/>
        <v>Ok</v>
      </c>
      <c r="AN525" s="7" t="str">
        <f t="shared" si="53"/>
        <v>Ok</v>
      </c>
    </row>
    <row r="526" spans="1:40">
      <c r="A526" t="s">
        <v>1670</v>
      </c>
      <c r="B526" s="6">
        <v>45626</v>
      </c>
      <c r="C526" s="4">
        <v>46024</v>
      </c>
      <c r="D526" t="s">
        <v>1671</v>
      </c>
      <c r="E526" t="s">
        <v>62</v>
      </c>
      <c r="F526" t="s">
        <v>90</v>
      </c>
      <c r="G526" t="s">
        <v>63</v>
      </c>
      <c r="H526" t="s">
        <v>180</v>
      </c>
      <c r="I526" t="s">
        <v>181</v>
      </c>
      <c r="J526" t="s">
        <v>41</v>
      </c>
      <c r="K526" t="s">
        <v>66</v>
      </c>
      <c r="L526" t="s">
        <v>1672</v>
      </c>
      <c r="M526" t="s">
        <v>50</v>
      </c>
      <c r="N526">
        <v>9</v>
      </c>
      <c r="O526">
        <v>4207.3599999999997</v>
      </c>
      <c r="P526">
        <v>0.1</v>
      </c>
      <c r="Q526" s="7">
        <f>IF(P526="", 0, P526)</f>
        <v>0.1</v>
      </c>
      <c r="R526">
        <v>34079.620000000003</v>
      </c>
      <c r="S526">
        <v>21871.39</v>
      </c>
      <c r="T526" s="7">
        <f>N526*O526*(1-Q526)</f>
        <v>34079.616000000002</v>
      </c>
      <c r="U526" s="7">
        <f t="shared" si="48"/>
        <v>12208.226000000002</v>
      </c>
      <c r="V526">
        <v>12208.23</v>
      </c>
      <c r="W526" s="12">
        <f t="shared" si="49"/>
        <v>0.35822663025311091</v>
      </c>
      <c r="X526" t="s">
        <v>32</v>
      </c>
      <c r="Y526" t="str">
        <f t="shared" si="50"/>
        <v>Paid</v>
      </c>
      <c r="Z526" t="s">
        <v>33</v>
      </c>
      <c r="AA526">
        <f>C526-B526</f>
        <v>398</v>
      </c>
      <c r="AB526" t="str">
        <f>IF(B526="","Missing Order Date",
IF(C526="","Missing Ship Date","OK"))</f>
        <v>OK</v>
      </c>
      <c r="AC526" s="7" t="str">
        <f>IF(C526&lt;B526, "Invalid", "Valid")</f>
        <v>Valid</v>
      </c>
      <c r="AD526" s="7" t="str">
        <f>IF(COUNTIF($A:$A, A526)&gt;1, "Duplicate", "Unique")</f>
        <v>Unique</v>
      </c>
      <c r="AE526" s="7" t="str">
        <f>IF(G526="","Unknown",G526)</f>
        <v>West</v>
      </c>
      <c r="AF526" s="7" t="str">
        <f>IF(M526="","Unknown",M526)</f>
        <v>First Class</v>
      </c>
      <c r="AG526" s="7" t="str">
        <f>IF(P526&lt;0,"Invalid",
IF(P526&gt;1,"Invalid","Valid"))</f>
        <v>Valid</v>
      </c>
      <c r="AH526" s="7" t="str">
        <f>TEXT(B526,"mmmm")</f>
        <v>November</v>
      </c>
      <c r="AI526" s="7">
        <f t="shared" si="51"/>
        <v>2024</v>
      </c>
      <c r="AJ526" s="7" t="str">
        <f>IF(OR(R526&lt;0,C526&lt;B526),"Invalid",
IF(OR(G526="Unknown",M526="Unknown"),"Warning","Clean"))</f>
        <v>Clean</v>
      </c>
      <c r="AK526" s="7" t="str">
        <f>IF(C526&lt;B526,"Ship Before Order","OK")</f>
        <v>OK</v>
      </c>
      <c r="AL526" s="7" t="str">
        <f>IF(ISNUMBER(B526),"Valid","Invalid")</f>
        <v>Valid</v>
      </c>
      <c r="AM526" s="7" t="str">
        <f t="shared" si="52"/>
        <v>Missmatched</v>
      </c>
      <c r="AN526" s="7" t="str">
        <f t="shared" si="53"/>
        <v>Missmatched</v>
      </c>
    </row>
    <row r="527" spans="1:40">
      <c r="A527" t="s">
        <v>1673</v>
      </c>
      <c r="B527" s="6">
        <v>45582</v>
      </c>
      <c r="C527" s="4">
        <v>46025</v>
      </c>
      <c r="D527" t="s">
        <v>1674</v>
      </c>
      <c r="E527" t="s">
        <v>114</v>
      </c>
      <c r="F527" t="s">
        <v>95</v>
      </c>
      <c r="G527" t="s">
        <v>38</v>
      </c>
      <c r="H527" t="s">
        <v>99</v>
      </c>
      <c r="I527" t="s">
        <v>100</v>
      </c>
      <c r="J527" t="s">
        <v>41</v>
      </c>
      <c r="K527" t="s">
        <v>66</v>
      </c>
      <c r="L527" t="s">
        <v>1675</v>
      </c>
      <c r="M527" t="s">
        <v>59</v>
      </c>
      <c r="N527">
        <v>5</v>
      </c>
      <c r="O527">
        <v>2524.4</v>
      </c>
      <c r="P527">
        <v>0.1</v>
      </c>
      <c r="Q527" s="7">
        <f>IF(P527="", 0, P527)</f>
        <v>0.1</v>
      </c>
      <c r="R527">
        <v>11359.8</v>
      </c>
      <c r="S527">
        <v>7062.44</v>
      </c>
      <c r="T527" s="7">
        <f>N527*O527*(1-Q527)</f>
        <v>11359.800000000001</v>
      </c>
      <c r="U527" s="7">
        <f t="shared" si="48"/>
        <v>4297.3600000000015</v>
      </c>
      <c r="V527">
        <v>4297.3599999999997</v>
      </c>
      <c r="W527" s="12">
        <f t="shared" si="49"/>
        <v>0.37829539252451638</v>
      </c>
      <c r="X527" t="s">
        <v>32</v>
      </c>
      <c r="Y527" t="str">
        <f t="shared" si="50"/>
        <v>Paid</v>
      </c>
      <c r="Z527" t="s">
        <v>33</v>
      </c>
      <c r="AA527">
        <f>C527-B527</f>
        <v>443</v>
      </c>
      <c r="AB527" t="str">
        <f>IF(B527="","Missing Order Date",
IF(C527="","Missing Ship Date","OK"))</f>
        <v>OK</v>
      </c>
      <c r="AC527" s="7" t="str">
        <f>IF(C527&lt;B527, "Invalid", "Valid")</f>
        <v>Valid</v>
      </c>
      <c r="AD527" s="7" t="str">
        <f>IF(COUNTIF($A:$A, A527)&gt;1, "Duplicate", "Unique")</f>
        <v>Unique</v>
      </c>
      <c r="AE527" s="7" t="str">
        <f>IF(G527="","Unknown",G527)</f>
        <v>East</v>
      </c>
      <c r="AF527" s="7" t="str">
        <f>IF(M527="","Unknown",M527)</f>
        <v>Standard Class</v>
      </c>
      <c r="AG527" s="7" t="str">
        <f>IF(P527&lt;0,"Invalid",
IF(P527&gt;1,"Invalid","Valid"))</f>
        <v>Valid</v>
      </c>
      <c r="AH527" s="7" t="str">
        <f>TEXT(B527,"mmmm")</f>
        <v>October</v>
      </c>
      <c r="AI527" s="7">
        <f t="shared" si="51"/>
        <v>2024</v>
      </c>
      <c r="AJ527" s="7" t="str">
        <f>IF(OR(R527&lt;0,C527&lt;B527),"Invalid",
IF(OR(G527="Unknown",M527="Unknown"),"Warning","Clean"))</f>
        <v>Clean</v>
      </c>
      <c r="AK527" s="7" t="str">
        <f>IF(C527&lt;B527,"Ship Before Order","OK")</f>
        <v>OK</v>
      </c>
      <c r="AL527" s="7" t="str">
        <f>IF(ISNUMBER(B527),"Valid","Invalid")</f>
        <v>Valid</v>
      </c>
      <c r="AM527" s="7" t="str">
        <f t="shared" si="52"/>
        <v>Ok</v>
      </c>
      <c r="AN527" s="7" t="str">
        <f t="shared" si="53"/>
        <v>Ok</v>
      </c>
    </row>
    <row r="528" spans="1:40">
      <c r="A528" t="s">
        <v>1676</v>
      </c>
      <c r="B528" s="6">
        <v>45856</v>
      </c>
      <c r="C528" s="4">
        <v>46026</v>
      </c>
      <c r="D528" t="s">
        <v>1677</v>
      </c>
      <c r="E528" t="s">
        <v>114</v>
      </c>
      <c r="F528" t="s">
        <v>24</v>
      </c>
      <c r="G528" t="s">
        <v>38</v>
      </c>
      <c r="H528" t="s">
        <v>39</v>
      </c>
      <c r="I528" t="s">
        <v>40</v>
      </c>
      <c r="J528" t="s">
        <v>41</v>
      </c>
      <c r="K528" t="s">
        <v>42</v>
      </c>
      <c r="L528" t="s">
        <v>1678</v>
      </c>
      <c r="M528" t="s">
        <v>31</v>
      </c>
      <c r="N528">
        <v>4</v>
      </c>
      <c r="O528">
        <v>284.04000000000002</v>
      </c>
      <c r="Q528" s="7">
        <f>IF(P528="", 0, P528)</f>
        <v>0</v>
      </c>
      <c r="R528">
        <v>908.93</v>
      </c>
      <c r="S528">
        <v>572.08000000000004</v>
      </c>
      <c r="T528" s="7">
        <f>N528*O528*(1-Q528)</f>
        <v>1136.1600000000001</v>
      </c>
      <c r="U528" s="7">
        <f t="shared" si="48"/>
        <v>564.08000000000004</v>
      </c>
      <c r="V528">
        <v>336.85</v>
      </c>
      <c r="W528" s="12">
        <f t="shared" si="49"/>
        <v>0.49647936910294327</v>
      </c>
      <c r="X528" t="s">
        <v>32</v>
      </c>
      <c r="Y528" t="str">
        <f t="shared" si="50"/>
        <v>Paid</v>
      </c>
      <c r="Z528" t="s">
        <v>33</v>
      </c>
      <c r="AA528">
        <f>C528-B528</f>
        <v>170</v>
      </c>
      <c r="AB528" t="str">
        <f>IF(B528="","Missing Order Date",
IF(C528="","Missing Ship Date","OK"))</f>
        <v>OK</v>
      </c>
      <c r="AC528" s="7" t="str">
        <f>IF(C528&lt;B528, "Invalid", "Valid")</f>
        <v>Valid</v>
      </c>
      <c r="AD528" s="7" t="str">
        <f>IF(COUNTIF($A:$A, A528)&gt;1, "Duplicate", "Unique")</f>
        <v>Unique</v>
      </c>
      <c r="AE528" s="7" t="str">
        <f>IF(G528="","Unknown",G528)</f>
        <v>East</v>
      </c>
      <c r="AF528" s="7" t="str">
        <f>IF(M528="","Unknown",M528)</f>
        <v>Second Class</v>
      </c>
      <c r="AG528" s="7" t="str">
        <f>IF(P528&lt;0,"Invalid",
IF(P528&gt;1,"Invalid","Valid"))</f>
        <v>Valid</v>
      </c>
      <c r="AH528" s="7" t="str">
        <f>TEXT(B528,"mmmm")</f>
        <v>July</v>
      </c>
      <c r="AI528" s="7">
        <f t="shared" si="51"/>
        <v>2025</v>
      </c>
      <c r="AJ528" s="7" t="str">
        <f>IF(OR(R528&lt;0,C528&lt;B528),"Invalid",
IF(OR(G528="Unknown",M528="Unknown"),"Warning","Clean"))</f>
        <v>Clean</v>
      </c>
      <c r="AK528" s="7" t="str">
        <f>IF(C528&lt;B528,"Ship Before Order","OK")</f>
        <v>OK</v>
      </c>
      <c r="AL528" s="7" t="str">
        <f>IF(ISNUMBER(B528),"Valid","Invalid")</f>
        <v>Valid</v>
      </c>
      <c r="AM528" s="7" t="str">
        <f t="shared" si="52"/>
        <v>Missmatched</v>
      </c>
      <c r="AN528" s="7" t="str">
        <f t="shared" si="53"/>
        <v>Missmatched</v>
      </c>
    </row>
    <row r="529" spans="1:40">
      <c r="A529" t="s">
        <v>1679</v>
      </c>
      <c r="B529" s="6">
        <v>45931</v>
      </c>
      <c r="C529" s="4">
        <v>46027</v>
      </c>
      <c r="D529" t="s">
        <v>1680</v>
      </c>
      <c r="E529" t="s">
        <v>89</v>
      </c>
      <c r="F529" t="s">
        <v>95</v>
      </c>
      <c r="G529" t="s">
        <v>25</v>
      </c>
      <c r="H529" t="s">
        <v>236</v>
      </c>
      <c r="I529" t="s">
        <v>237</v>
      </c>
      <c r="J529" t="s">
        <v>28</v>
      </c>
      <c r="K529" t="s">
        <v>29</v>
      </c>
      <c r="L529" t="s">
        <v>1681</v>
      </c>
      <c r="M529" t="s">
        <v>50</v>
      </c>
      <c r="N529">
        <v>5</v>
      </c>
      <c r="O529">
        <v>3247.56</v>
      </c>
      <c r="P529">
        <v>0.15</v>
      </c>
      <c r="Q529" s="7">
        <f>IF(P529="", 0, P529)</f>
        <v>0.15</v>
      </c>
      <c r="R529">
        <v>13802.13</v>
      </c>
      <c r="S529">
        <v>10075.93</v>
      </c>
      <c r="T529" s="7">
        <f>N529*O529*(1-Q529)</f>
        <v>13802.13</v>
      </c>
      <c r="U529" s="7">
        <f t="shared" si="48"/>
        <v>3726.1999999999989</v>
      </c>
      <c r="V529">
        <v>3726.2</v>
      </c>
      <c r="W529" s="12">
        <f t="shared" si="49"/>
        <v>0.26997282303528508</v>
      </c>
      <c r="X529" t="s">
        <v>32</v>
      </c>
      <c r="Y529" t="str">
        <f t="shared" si="50"/>
        <v>Paid</v>
      </c>
      <c r="Z529" t="s">
        <v>33</v>
      </c>
      <c r="AA529">
        <f>C529-B529</f>
        <v>96</v>
      </c>
      <c r="AB529" t="str">
        <f>IF(B529="","Missing Order Date",
IF(C529="","Missing Ship Date","OK"))</f>
        <v>OK</v>
      </c>
      <c r="AC529" s="7" t="str">
        <f>IF(C529&lt;B529, "Invalid", "Valid")</f>
        <v>Valid</v>
      </c>
      <c r="AD529" s="7" t="str">
        <f>IF(COUNTIF($A:$A, A529)&gt;1, "Duplicate", "Unique")</f>
        <v>Unique</v>
      </c>
      <c r="AE529" s="7" t="str">
        <f>IF(G529="","Unknown",G529)</f>
        <v>North</v>
      </c>
      <c r="AF529" s="7" t="str">
        <f>IF(M529="","Unknown",M529)</f>
        <v>First Class</v>
      </c>
      <c r="AG529" s="7" t="str">
        <f>IF(P529&lt;0,"Invalid",
IF(P529&gt;1,"Invalid","Valid"))</f>
        <v>Valid</v>
      </c>
      <c r="AH529" s="7" t="str">
        <f>TEXT(B529,"mmmm")</f>
        <v>October</v>
      </c>
      <c r="AI529" s="7">
        <f t="shared" si="51"/>
        <v>2025</v>
      </c>
      <c r="AJ529" s="7" t="str">
        <f>IF(OR(R529&lt;0,C529&lt;B529),"Invalid",
IF(OR(G529="Unknown",M529="Unknown"),"Warning","Clean"))</f>
        <v>Clean</v>
      </c>
      <c r="AK529" s="7" t="str">
        <f>IF(C529&lt;B529,"Ship Before Order","OK")</f>
        <v>OK</v>
      </c>
      <c r="AL529" s="7" t="str">
        <f>IF(ISNUMBER(B529),"Valid","Invalid")</f>
        <v>Valid</v>
      </c>
      <c r="AM529" s="7" t="str">
        <f t="shared" si="52"/>
        <v>Ok</v>
      </c>
      <c r="AN529" s="7" t="str">
        <f t="shared" si="53"/>
        <v>Ok</v>
      </c>
    </row>
    <row r="530" spans="1:40">
      <c r="A530" t="s">
        <v>1682</v>
      </c>
      <c r="B530" s="6">
        <v>45483</v>
      </c>
      <c r="C530" s="4">
        <v>46028</v>
      </c>
      <c r="D530" t="s">
        <v>1683</v>
      </c>
      <c r="E530" t="s">
        <v>162</v>
      </c>
      <c r="F530" t="s">
        <v>24</v>
      </c>
      <c r="G530" t="s">
        <v>54</v>
      </c>
      <c r="H530" t="s">
        <v>247</v>
      </c>
      <c r="I530" t="s">
        <v>248</v>
      </c>
      <c r="J530" t="s">
        <v>28</v>
      </c>
      <c r="K530" t="s">
        <v>153</v>
      </c>
      <c r="L530" t="s">
        <v>1684</v>
      </c>
      <c r="M530" t="s">
        <v>59</v>
      </c>
      <c r="N530">
        <v>9</v>
      </c>
      <c r="O530">
        <v>3457.09</v>
      </c>
      <c r="P530">
        <v>0.05</v>
      </c>
      <c r="Q530" s="7">
        <f>IF(P530="", 0, P530)</f>
        <v>0.05</v>
      </c>
      <c r="R530">
        <v>29558.12</v>
      </c>
      <c r="S530">
        <v>21302.13</v>
      </c>
      <c r="T530" s="7">
        <f>N530*O530*(1-Q530)</f>
        <v>29558.119500000001</v>
      </c>
      <c r="U530" s="7">
        <f t="shared" si="48"/>
        <v>8255.9894999999997</v>
      </c>
      <c r="V530">
        <v>8255.99</v>
      </c>
      <c r="W530" s="12">
        <f t="shared" si="49"/>
        <v>0.27931376013281223</v>
      </c>
      <c r="X530" t="s">
        <v>111</v>
      </c>
      <c r="Y530" t="str">
        <f t="shared" si="50"/>
        <v>Pending</v>
      </c>
      <c r="Z530" t="s">
        <v>103</v>
      </c>
      <c r="AA530">
        <f>C530-B530</f>
        <v>545</v>
      </c>
      <c r="AB530" t="str">
        <f>IF(B530="","Missing Order Date",
IF(C530="","Missing Ship Date","OK"))</f>
        <v>OK</v>
      </c>
      <c r="AC530" s="7" t="str">
        <f>IF(C530&lt;B530, "Invalid", "Valid")</f>
        <v>Valid</v>
      </c>
      <c r="AD530" s="7" t="str">
        <f>IF(COUNTIF($A:$A, A530)&gt;1, "Duplicate", "Unique")</f>
        <v>Unique</v>
      </c>
      <c r="AE530" s="7" t="str">
        <f>IF(G530="","Unknown",G530)</f>
        <v>South</v>
      </c>
      <c r="AF530" s="7" t="str">
        <f>IF(M530="","Unknown",M530)</f>
        <v>Standard Class</v>
      </c>
      <c r="AG530" s="7" t="str">
        <f>IF(P530&lt;0,"Invalid",
IF(P530&gt;1,"Invalid","Valid"))</f>
        <v>Valid</v>
      </c>
      <c r="AH530" s="7" t="str">
        <f>TEXT(B530,"mmmm")</f>
        <v>July</v>
      </c>
      <c r="AI530" s="7">
        <f t="shared" si="51"/>
        <v>2024</v>
      </c>
      <c r="AJ530" s="7" t="str">
        <f>IF(OR(R530&lt;0,C530&lt;B530),"Invalid",
IF(OR(G530="Unknown",M530="Unknown"),"Warning","Clean"))</f>
        <v>Clean</v>
      </c>
      <c r="AK530" s="7" t="str">
        <f>IF(C530&lt;B530,"Ship Before Order","OK")</f>
        <v>OK</v>
      </c>
      <c r="AL530" s="7" t="str">
        <f>IF(ISNUMBER(B530),"Valid","Invalid")</f>
        <v>Valid</v>
      </c>
      <c r="AM530" s="7" t="str">
        <f t="shared" si="52"/>
        <v>Missmatched</v>
      </c>
      <c r="AN530" s="7" t="str">
        <f t="shared" si="53"/>
        <v>Missmatched</v>
      </c>
    </row>
    <row r="531" spans="1:40">
      <c r="A531" t="s">
        <v>1685</v>
      </c>
      <c r="B531" s="6">
        <v>45445</v>
      </c>
      <c r="C531" s="4">
        <v>46029</v>
      </c>
      <c r="D531" t="s">
        <v>729</v>
      </c>
      <c r="E531" t="s">
        <v>23</v>
      </c>
      <c r="F531" t="s">
        <v>24</v>
      </c>
      <c r="G531" t="s">
        <v>38</v>
      </c>
      <c r="H531" t="s">
        <v>228</v>
      </c>
      <c r="I531" t="s">
        <v>229</v>
      </c>
      <c r="J531" t="s">
        <v>41</v>
      </c>
      <c r="K531" t="s">
        <v>158</v>
      </c>
      <c r="L531" t="s">
        <v>1686</v>
      </c>
      <c r="M531" t="s">
        <v>31</v>
      </c>
      <c r="N531">
        <v>9</v>
      </c>
      <c r="O531">
        <v>1822.25</v>
      </c>
      <c r="P531">
        <v>0</v>
      </c>
      <c r="Q531" s="7">
        <f>IF(P531="", 0, P531)</f>
        <v>0</v>
      </c>
      <c r="R531">
        <v>16400.25</v>
      </c>
      <c r="S531">
        <v>12146.96</v>
      </c>
      <c r="T531" s="7">
        <f>N531*O531*(1-Q531)</f>
        <v>16400.25</v>
      </c>
      <c r="U531" s="7">
        <f t="shared" si="48"/>
        <v>4253.2900000000009</v>
      </c>
      <c r="V531">
        <v>4253.29</v>
      </c>
      <c r="W531" s="12">
        <f t="shared" si="49"/>
        <v>0.25934299782015524</v>
      </c>
      <c r="X531" t="s">
        <v>32</v>
      </c>
      <c r="Y531" t="str">
        <f t="shared" si="50"/>
        <v>Paid</v>
      </c>
      <c r="Z531" t="s">
        <v>33</v>
      </c>
      <c r="AA531">
        <f>C531-B531</f>
        <v>584</v>
      </c>
      <c r="AB531" t="str">
        <f>IF(B531="","Missing Order Date",
IF(C531="","Missing Ship Date","OK"))</f>
        <v>OK</v>
      </c>
      <c r="AC531" s="7" t="str">
        <f>IF(C531&lt;B531, "Invalid", "Valid")</f>
        <v>Valid</v>
      </c>
      <c r="AD531" s="7" t="str">
        <f>IF(COUNTIF($A:$A, A531)&gt;1, "Duplicate", "Unique")</f>
        <v>Unique</v>
      </c>
      <c r="AE531" s="7" t="str">
        <f>IF(G531="","Unknown",G531)</f>
        <v>East</v>
      </c>
      <c r="AF531" s="7" t="str">
        <f>IF(M531="","Unknown",M531)</f>
        <v>Second Class</v>
      </c>
      <c r="AG531" s="7" t="str">
        <f>IF(P531&lt;0,"Invalid",
IF(P531&gt;1,"Invalid","Valid"))</f>
        <v>Valid</v>
      </c>
      <c r="AH531" s="7" t="str">
        <f>TEXT(B531,"mmmm")</f>
        <v>June</v>
      </c>
      <c r="AI531" s="7">
        <f t="shared" si="51"/>
        <v>2024</v>
      </c>
      <c r="AJ531" s="7" t="str">
        <f>IF(OR(R531&lt;0,C531&lt;B531),"Invalid",
IF(OR(G531="Unknown",M531="Unknown"),"Warning","Clean"))</f>
        <v>Clean</v>
      </c>
      <c r="AK531" s="7" t="str">
        <f>IF(C531&lt;B531,"Ship Before Order","OK")</f>
        <v>OK</v>
      </c>
      <c r="AL531" s="7" t="str">
        <f>IF(ISNUMBER(B531),"Valid","Invalid")</f>
        <v>Valid</v>
      </c>
      <c r="AM531" s="7" t="str">
        <f t="shared" si="52"/>
        <v>Ok</v>
      </c>
      <c r="AN531" s="7" t="str">
        <f t="shared" si="53"/>
        <v>Ok</v>
      </c>
    </row>
    <row r="532" spans="1:40">
      <c r="A532" t="s">
        <v>1687</v>
      </c>
      <c r="B532" s="6">
        <v>45807</v>
      </c>
      <c r="C532" s="4">
        <v>46030</v>
      </c>
      <c r="D532" t="s">
        <v>1688</v>
      </c>
      <c r="E532" t="s">
        <v>118</v>
      </c>
      <c r="F532" t="s">
        <v>95</v>
      </c>
      <c r="G532" t="s">
        <v>54</v>
      </c>
      <c r="H532" t="s">
        <v>247</v>
      </c>
      <c r="I532" t="s">
        <v>248</v>
      </c>
      <c r="J532" t="s">
        <v>28</v>
      </c>
      <c r="K532" t="s">
        <v>153</v>
      </c>
      <c r="L532" t="s">
        <v>1689</v>
      </c>
      <c r="M532" t="s">
        <v>59</v>
      </c>
      <c r="N532">
        <v>9</v>
      </c>
      <c r="O532">
        <v>1994.51</v>
      </c>
      <c r="P532">
        <v>0.05</v>
      </c>
      <c r="Q532" s="7">
        <f>IF(P532="", 0, P532)</f>
        <v>0.05</v>
      </c>
      <c r="R532">
        <v>17053.060000000001</v>
      </c>
      <c r="S532">
        <v>10742.38</v>
      </c>
      <c r="T532" s="7">
        <f>N532*O532*(1-Q532)</f>
        <v>17053.0605</v>
      </c>
      <c r="U532" s="7">
        <f t="shared" si="48"/>
        <v>6310.6805000000004</v>
      </c>
      <c r="V532">
        <v>6310.68</v>
      </c>
      <c r="W532" s="12">
        <f t="shared" si="49"/>
        <v>0.37006146198801093</v>
      </c>
      <c r="X532" t="s">
        <v>32</v>
      </c>
      <c r="Y532" t="str">
        <f t="shared" si="50"/>
        <v>Paid</v>
      </c>
      <c r="Z532" t="s">
        <v>33</v>
      </c>
      <c r="AA532">
        <f>C532-B532</f>
        <v>223</v>
      </c>
      <c r="AB532" t="str">
        <f>IF(B532="","Missing Order Date",
IF(C532="","Missing Ship Date","OK"))</f>
        <v>OK</v>
      </c>
      <c r="AC532" s="7" t="str">
        <f>IF(C532&lt;B532, "Invalid", "Valid")</f>
        <v>Valid</v>
      </c>
      <c r="AD532" s="7" t="str">
        <f>IF(COUNTIF($A:$A, A532)&gt;1, "Duplicate", "Unique")</f>
        <v>Unique</v>
      </c>
      <c r="AE532" s="7" t="str">
        <f>IF(G532="","Unknown",G532)</f>
        <v>South</v>
      </c>
      <c r="AF532" s="7" t="str">
        <f>IF(M532="","Unknown",M532)</f>
        <v>Standard Class</v>
      </c>
      <c r="AG532" s="7" t="str">
        <f>IF(P532&lt;0,"Invalid",
IF(P532&gt;1,"Invalid","Valid"))</f>
        <v>Valid</v>
      </c>
      <c r="AH532" s="7" t="str">
        <f>TEXT(B532,"mmmm")</f>
        <v>May</v>
      </c>
      <c r="AI532" s="7">
        <f t="shared" si="51"/>
        <v>2025</v>
      </c>
      <c r="AJ532" s="7" t="str">
        <f>IF(OR(R532&lt;0,C532&lt;B532),"Invalid",
IF(OR(G532="Unknown",M532="Unknown"),"Warning","Clean"))</f>
        <v>Clean</v>
      </c>
      <c r="AK532" s="7" t="str">
        <f>IF(C532&lt;B532,"Ship Before Order","OK")</f>
        <v>OK</v>
      </c>
      <c r="AL532" s="7" t="str">
        <f>IF(ISNUMBER(B532),"Valid","Invalid")</f>
        <v>Valid</v>
      </c>
      <c r="AM532" s="7" t="str">
        <f t="shared" si="52"/>
        <v>Missmatched</v>
      </c>
      <c r="AN532" s="7" t="str">
        <f t="shared" si="53"/>
        <v>Missmatched</v>
      </c>
    </row>
    <row r="533" spans="1:40">
      <c r="A533" t="s">
        <v>1690</v>
      </c>
      <c r="B533" s="6">
        <v>45299</v>
      </c>
      <c r="C533" s="4">
        <v>46031</v>
      </c>
      <c r="D533" t="s">
        <v>1691</v>
      </c>
      <c r="E533" t="s">
        <v>162</v>
      </c>
      <c r="F533" t="s">
        <v>37</v>
      </c>
      <c r="G533" t="s">
        <v>63</v>
      </c>
      <c r="H533" t="s">
        <v>64</v>
      </c>
      <c r="I533" t="s">
        <v>65</v>
      </c>
      <c r="J533" t="s">
        <v>28</v>
      </c>
      <c r="K533" t="s">
        <v>124</v>
      </c>
      <c r="L533" t="s">
        <v>1692</v>
      </c>
      <c r="M533" t="s">
        <v>2785</v>
      </c>
      <c r="N533">
        <v>1</v>
      </c>
      <c r="O533">
        <v>442.97</v>
      </c>
      <c r="P533">
        <v>0.1</v>
      </c>
      <c r="Q533" s="7">
        <f>IF(P533="", 0, P533)</f>
        <v>0.1</v>
      </c>
      <c r="R533">
        <v>398.67</v>
      </c>
      <c r="S533">
        <v>311.66000000000003</v>
      </c>
      <c r="T533" s="7">
        <f>N533*O533*(1-Q533)</f>
        <v>398.67300000000006</v>
      </c>
      <c r="U533" s="7">
        <f t="shared" si="48"/>
        <v>87.013000000000034</v>
      </c>
      <c r="V533">
        <v>87.01</v>
      </c>
      <c r="W533" s="12">
        <f t="shared" si="49"/>
        <v>0.21825656615822997</v>
      </c>
      <c r="X533" t="s">
        <v>32</v>
      </c>
      <c r="Y533" t="str">
        <f t="shared" si="50"/>
        <v>Paid</v>
      </c>
      <c r="Z533" t="s">
        <v>33</v>
      </c>
      <c r="AA533">
        <f>C533-B533</f>
        <v>732</v>
      </c>
      <c r="AB533" t="str">
        <f>IF(B533="","Missing Order Date",
IF(C533="","Missing Ship Date","OK"))</f>
        <v>OK</v>
      </c>
      <c r="AC533" s="7" t="str">
        <f>IF(C533&lt;B533, "Invalid", "Valid")</f>
        <v>Valid</v>
      </c>
      <c r="AD533" s="7" t="str">
        <f>IF(COUNTIF($A:$A, A533)&gt;1, "Duplicate", "Unique")</f>
        <v>Unique</v>
      </c>
      <c r="AE533" s="7" t="str">
        <f>IF(G533="","Unknown",G533)</f>
        <v>West</v>
      </c>
      <c r="AF533" s="7" t="str">
        <f>IF(M533="","Unknown",M533)</f>
        <v>Unknown</v>
      </c>
      <c r="AG533" s="7" t="str">
        <f>IF(P533&lt;0,"Invalid",
IF(P533&gt;1,"Invalid","Valid"))</f>
        <v>Valid</v>
      </c>
      <c r="AH533" s="7" t="str">
        <f>TEXT(B533,"mmmm")</f>
        <v>January</v>
      </c>
      <c r="AI533" s="7">
        <f t="shared" si="51"/>
        <v>2024</v>
      </c>
      <c r="AJ533" s="7" t="str">
        <f>IF(OR(R533&lt;0,C533&lt;B533),"Invalid",
IF(OR(G533="Unknown",M533="Unknown"),"Warning","Clean"))</f>
        <v>Clean</v>
      </c>
      <c r="AK533" s="7" t="str">
        <f>IF(C533&lt;B533,"Ship Before Order","OK")</f>
        <v>OK</v>
      </c>
      <c r="AL533" s="7" t="str">
        <f>IF(ISNUMBER(B533),"Valid","Invalid")</f>
        <v>Valid</v>
      </c>
      <c r="AM533" s="7" t="str">
        <f t="shared" si="52"/>
        <v>Missmatched</v>
      </c>
      <c r="AN533" s="7" t="str">
        <f t="shared" si="53"/>
        <v>Missmatched</v>
      </c>
    </row>
    <row r="534" spans="1:40">
      <c r="A534" t="s">
        <v>1693</v>
      </c>
      <c r="B534" s="6">
        <v>45787</v>
      </c>
      <c r="C534" s="4">
        <v>46032</v>
      </c>
      <c r="D534" t="s">
        <v>1694</v>
      </c>
      <c r="E534" t="s">
        <v>114</v>
      </c>
      <c r="F534" t="s">
        <v>90</v>
      </c>
      <c r="G534" t="s">
        <v>38</v>
      </c>
      <c r="H534" t="s">
        <v>166</v>
      </c>
      <c r="I534" t="s">
        <v>167</v>
      </c>
      <c r="J534" t="s">
        <v>41</v>
      </c>
      <c r="K534" t="s">
        <v>42</v>
      </c>
      <c r="L534" t="s">
        <v>1695</v>
      </c>
      <c r="M534" t="s">
        <v>31</v>
      </c>
      <c r="N534">
        <v>9</v>
      </c>
      <c r="O534">
        <v>2089.14</v>
      </c>
      <c r="P534">
        <v>0.05</v>
      </c>
      <c r="Q534" s="7">
        <f>IF(P534="", 0, P534)</f>
        <v>0.05</v>
      </c>
      <c r="R534">
        <v>17862.150000000001</v>
      </c>
      <c r="S534">
        <v>9892.2099999999991</v>
      </c>
      <c r="T534" s="7">
        <f>N534*O534*(1-Q534)</f>
        <v>17862.146999999997</v>
      </c>
      <c r="U534" s="7">
        <f t="shared" si="48"/>
        <v>7969.9369999999981</v>
      </c>
      <c r="V534">
        <v>7969.94</v>
      </c>
      <c r="W534" s="12">
        <f t="shared" si="49"/>
        <v>0.44619143488182017</v>
      </c>
      <c r="X534" t="s">
        <v>155</v>
      </c>
      <c r="Y534" t="str">
        <f t="shared" si="50"/>
        <v>Failed</v>
      </c>
      <c r="Z534" t="s">
        <v>68</v>
      </c>
      <c r="AA534">
        <f>C534-B534</f>
        <v>245</v>
      </c>
      <c r="AB534" t="str">
        <f>IF(B534="","Missing Order Date",
IF(C534="","Missing Ship Date","OK"))</f>
        <v>OK</v>
      </c>
      <c r="AC534" s="7" t="str">
        <f>IF(C534&lt;B534, "Invalid", "Valid")</f>
        <v>Valid</v>
      </c>
      <c r="AD534" s="7" t="str">
        <f>IF(COUNTIF($A:$A, A534)&gt;1, "Duplicate", "Unique")</f>
        <v>Unique</v>
      </c>
      <c r="AE534" s="7" t="str">
        <f>IF(G534="","Unknown",G534)</f>
        <v>East</v>
      </c>
      <c r="AF534" s="7" t="str">
        <f>IF(M534="","Unknown",M534)</f>
        <v>Second Class</v>
      </c>
      <c r="AG534" s="7" t="str">
        <f>IF(P534&lt;0,"Invalid",
IF(P534&gt;1,"Invalid","Valid"))</f>
        <v>Valid</v>
      </c>
      <c r="AH534" s="7" t="str">
        <f>TEXT(B534,"mmmm")</f>
        <v>May</v>
      </c>
      <c r="AI534" s="7">
        <f t="shared" si="51"/>
        <v>2025</v>
      </c>
      <c r="AJ534" s="7" t="str">
        <f>IF(OR(R534&lt;0,C534&lt;B534),"Invalid",
IF(OR(G534="Unknown",M534="Unknown"),"Warning","Clean"))</f>
        <v>Clean</v>
      </c>
      <c r="AK534" s="7" t="str">
        <f>IF(C534&lt;B534,"Ship Before Order","OK")</f>
        <v>OK</v>
      </c>
      <c r="AL534" s="7" t="str">
        <f>IF(ISNUMBER(B534),"Valid","Invalid")</f>
        <v>Valid</v>
      </c>
      <c r="AM534" s="7" t="str">
        <f t="shared" si="52"/>
        <v>Missmatched</v>
      </c>
      <c r="AN534" s="7" t="str">
        <f t="shared" si="53"/>
        <v>Missmatched</v>
      </c>
    </row>
    <row r="535" spans="1:40">
      <c r="A535" t="s">
        <v>1696</v>
      </c>
      <c r="B535" s="6">
        <v>45529</v>
      </c>
      <c r="C535" s="4">
        <v>46033</v>
      </c>
      <c r="D535" t="s">
        <v>1697</v>
      </c>
      <c r="E535" t="s">
        <v>47</v>
      </c>
      <c r="F535" t="s">
        <v>95</v>
      </c>
      <c r="G535" t="s">
        <v>25</v>
      </c>
      <c r="H535" t="s">
        <v>26</v>
      </c>
      <c r="I535" t="s">
        <v>27</v>
      </c>
      <c r="J535" t="s">
        <v>41</v>
      </c>
      <c r="K535" t="s">
        <v>42</v>
      </c>
      <c r="L535" t="s">
        <v>1698</v>
      </c>
      <c r="M535" t="s">
        <v>44</v>
      </c>
      <c r="N535">
        <v>6</v>
      </c>
      <c r="O535">
        <v>481.3</v>
      </c>
      <c r="P535">
        <v>0.25</v>
      </c>
      <c r="Q535" s="7">
        <f>IF(P535="", 0, P535)</f>
        <v>0.25</v>
      </c>
      <c r="R535">
        <v>2165.85</v>
      </c>
      <c r="S535">
        <v>2124.48</v>
      </c>
      <c r="T535" s="7">
        <f>N535*O535*(1-Q535)</f>
        <v>2165.8500000000004</v>
      </c>
      <c r="U535" s="7">
        <f t="shared" si="48"/>
        <v>41.370000000000346</v>
      </c>
      <c r="V535">
        <v>430.45</v>
      </c>
      <c r="W535" s="12">
        <f t="shared" si="49"/>
        <v>1.91010457787937E-2</v>
      </c>
      <c r="X535" t="s">
        <v>32</v>
      </c>
      <c r="Y535" t="str">
        <f t="shared" si="50"/>
        <v>Paid</v>
      </c>
      <c r="Z535" t="s">
        <v>33</v>
      </c>
      <c r="AA535">
        <f>C535-B535</f>
        <v>504</v>
      </c>
      <c r="AB535" t="str">
        <f>IF(B535="","Missing Order Date",
IF(C535="","Missing Ship Date","OK"))</f>
        <v>OK</v>
      </c>
      <c r="AC535" s="7" t="str">
        <f>IF(C535&lt;B535, "Invalid", "Valid")</f>
        <v>Valid</v>
      </c>
      <c r="AD535" s="7" t="str">
        <f>IF(COUNTIF($A:$A, A535)&gt;1, "Duplicate", "Unique")</f>
        <v>Unique</v>
      </c>
      <c r="AE535" s="7" t="str">
        <f>IF(G535="","Unknown",G535)</f>
        <v>North</v>
      </c>
      <c r="AF535" s="7" t="str">
        <f>IF(M535="","Unknown",M535)</f>
        <v>Same Day</v>
      </c>
      <c r="AG535" s="7" t="str">
        <f>IF(P535&lt;0,"Invalid",
IF(P535&gt;1,"Invalid","Valid"))</f>
        <v>Valid</v>
      </c>
      <c r="AH535" s="7" t="str">
        <f>TEXT(B535,"mmmm")</f>
        <v>August</v>
      </c>
      <c r="AI535" s="7">
        <f t="shared" si="51"/>
        <v>2024</v>
      </c>
      <c r="AJ535" s="7" t="str">
        <f>IF(OR(R535&lt;0,C535&lt;B535),"Invalid",
IF(OR(G535="Unknown",M535="Unknown"),"Warning","Clean"))</f>
        <v>Clean</v>
      </c>
      <c r="AK535" s="7" t="str">
        <f>IF(C535&lt;B535,"Ship Before Order","OK")</f>
        <v>OK</v>
      </c>
      <c r="AL535" s="7" t="str">
        <f>IF(ISNUMBER(B535),"Valid","Invalid")</f>
        <v>Valid</v>
      </c>
      <c r="AM535" s="7" t="str">
        <f t="shared" si="52"/>
        <v>Ok</v>
      </c>
      <c r="AN535" s="7" t="str">
        <f t="shared" si="53"/>
        <v>Missmatched</v>
      </c>
    </row>
    <row r="536" spans="1:40">
      <c r="A536" t="s">
        <v>1699</v>
      </c>
      <c r="B536" s="6">
        <v>45774</v>
      </c>
      <c r="C536" s="4">
        <v>46034</v>
      </c>
      <c r="D536" t="s">
        <v>1700</v>
      </c>
      <c r="E536" t="s">
        <v>141</v>
      </c>
      <c r="F536" t="s">
        <v>95</v>
      </c>
      <c r="G536" t="s">
        <v>38</v>
      </c>
      <c r="H536" t="s">
        <v>145</v>
      </c>
      <c r="I536" t="s">
        <v>146</v>
      </c>
      <c r="J536" t="s">
        <v>74</v>
      </c>
      <c r="K536" t="s">
        <v>75</v>
      </c>
      <c r="L536" t="s">
        <v>1701</v>
      </c>
      <c r="M536" t="s">
        <v>31</v>
      </c>
      <c r="N536">
        <v>4</v>
      </c>
      <c r="O536">
        <v>3963.39</v>
      </c>
      <c r="P536">
        <v>0.1</v>
      </c>
      <c r="Q536" s="7">
        <f>IF(P536="", 0, P536)</f>
        <v>0.1</v>
      </c>
      <c r="R536">
        <v>14268.2</v>
      </c>
      <c r="S536">
        <v>11705.3</v>
      </c>
      <c r="T536" s="7">
        <f>N536*O536*(1-Q536)</f>
        <v>14268.204</v>
      </c>
      <c r="U536" s="7">
        <f t="shared" si="48"/>
        <v>2562.9040000000005</v>
      </c>
      <c r="V536">
        <v>2562.9</v>
      </c>
      <c r="W536" s="12">
        <f t="shared" si="49"/>
        <v>0.17962344805274724</v>
      </c>
      <c r="X536" t="s">
        <v>111</v>
      </c>
      <c r="Y536" t="str">
        <f t="shared" si="50"/>
        <v>Pending</v>
      </c>
      <c r="Z536" t="s">
        <v>103</v>
      </c>
      <c r="AA536">
        <f>C536-B536</f>
        <v>260</v>
      </c>
      <c r="AB536" t="str">
        <f>IF(B536="","Missing Order Date",
IF(C536="","Missing Ship Date","OK"))</f>
        <v>OK</v>
      </c>
      <c r="AC536" s="7" t="str">
        <f>IF(C536&lt;B536, "Invalid", "Valid")</f>
        <v>Valid</v>
      </c>
      <c r="AD536" s="7" t="str">
        <f>IF(COUNTIF($A:$A, A536)&gt;1, "Duplicate", "Unique")</f>
        <v>Unique</v>
      </c>
      <c r="AE536" s="7" t="str">
        <f>IF(G536="","Unknown",G536)</f>
        <v>East</v>
      </c>
      <c r="AF536" s="7" t="str">
        <f>IF(M536="","Unknown",M536)</f>
        <v>Second Class</v>
      </c>
      <c r="AG536" s="7" t="str">
        <f>IF(P536&lt;0,"Invalid",
IF(P536&gt;1,"Invalid","Valid"))</f>
        <v>Valid</v>
      </c>
      <c r="AH536" s="7" t="str">
        <f>TEXT(B536,"mmmm")</f>
        <v>April</v>
      </c>
      <c r="AI536" s="7">
        <f t="shared" si="51"/>
        <v>2025</v>
      </c>
      <c r="AJ536" s="7" t="str">
        <f>IF(OR(R536&lt;0,C536&lt;B536),"Invalid",
IF(OR(G536="Unknown",M536="Unknown"),"Warning","Clean"))</f>
        <v>Clean</v>
      </c>
      <c r="AK536" s="7" t="str">
        <f>IF(C536&lt;B536,"Ship Before Order","OK")</f>
        <v>OK</v>
      </c>
      <c r="AL536" s="7" t="str">
        <f>IF(ISNUMBER(B536),"Valid","Invalid")</f>
        <v>Valid</v>
      </c>
      <c r="AM536" s="7" t="str">
        <f t="shared" si="52"/>
        <v>Missmatched</v>
      </c>
      <c r="AN536" s="7" t="str">
        <f t="shared" si="53"/>
        <v>Missmatched</v>
      </c>
    </row>
    <row r="537" spans="1:40">
      <c r="A537" t="s">
        <v>1702</v>
      </c>
      <c r="B537" s="6">
        <v>45431</v>
      </c>
      <c r="C537" s="4">
        <v>46035</v>
      </c>
      <c r="D537" t="s">
        <v>1703</v>
      </c>
      <c r="E537" t="s">
        <v>162</v>
      </c>
      <c r="F537" t="s">
        <v>37</v>
      </c>
      <c r="G537" t="s">
        <v>63</v>
      </c>
      <c r="H537" t="s">
        <v>64</v>
      </c>
      <c r="I537" t="s">
        <v>65</v>
      </c>
      <c r="J537" t="s">
        <v>74</v>
      </c>
      <c r="K537" t="s">
        <v>80</v>
      </c>
      <c r="L537" t="s">
        <v>1704</v>
      </c>
      <c r="M537" t="s">
        <v>50</v>
      </c>
      <c r="N537">
        <v>3</v>
      </c>
      <c r="O537">
        <v>4000.98</v>
      </c>
      <c r="P537">
        <v>0.2</v>
      </c>
      <c r="Q537" s="7">
        <f>IF(P537="", 0, P537)</f>
        <v>0.2</v>
      </c>
      <c r="R537">
        <v>9602.35</v>
      </c>
      <c r="S537">
        <v>7387.57</v>
      </c>
      <c r="T537" s="7">
        <f>N537*O537*(1-Q537)</f>
        <v>9602.3520000000008</v>
      </c>
      <c r="U537" s="7">
        <f t="shared" si="48"/>
        <v>2214.7820000000011</v>
      </c>
      <c r="V537">
        <v>2214.7800000000002</v>
      </c>
      <c r="W537" s="12">
        <f t="shared" si="49"/>
        <v>0.23064994909580494</v>
      </c>
      <c r="X537" t="s">
        <v>32</v>
      </c>
      <c r="Y537" t="str">
        <f t="shared" si="50"/>
        <v>Paid</v>
      </c>
      <c r="Z537" t="s">
        <v>33</v>
      </c>
      <c r="AA537">
        <f>C537-B537</f>
        <v>604</v>
      </c>
      <c r="AB537" t="str">
        <f>IF(B537="","Missing Order Date",
IF(C537="","Missing Ship Date","OK"))</f>
        <v>OK</v>
      </c>
      <c r="AC537" s="7" t="str">
        <f>IF(C537&lt;B537, "Invalid", "Valid")</f>
        <v>Valid</v>
      </c>
      <c r="AD537" s="7" t="str">
        <f>IF(COUNTIF($A:$A, A537)&gt;1, "Duplicate", "Unique")</f>
        <v>Unique</v>
      </c>
      <c r="AE537" s="7" t="str">
        <f>IF(G537="","Unknown",G537)</f>
        <v>West</v>
      </c>
      <c r="AF537" s="7" t="str">
        <f>IF(M537="","Unknown",M537)</f>
        <v>First Class</v>
      </c>
      <c r="AG537" s="7" t="str">
        <f>IF(P537&lt;0,"Invalid",
IF(P537&gt;1,"Invalid","Valid"))</f>
        <v>Valid</v>
      </c>
      <c r="AH537" s="7" t="str">
        <f>TEXT(B537,"mmmm")</f>
        <v>May</v>
      </c>
      <c r="AI537" s="7">
        <f t="shared" si="51"/>
        <v>2024</v>
      </c>
      <c r="AJ537" s="7" t="str">
        <f>IF(OR(R537&lt;0,C537&lt;B537),"Invalid",
IF(OR(G537="Unknown",M537="Unknown"),"Warning","Clean"))</f>
        <v>Clean</v>
      </c>
      <c r="AK537" s="7" t="str">
        <f>IF(C537&lt;B537,"Ship Before Order","OK")</f>
        <v>OK</v>
      </c>
      <c r="AL537" s="7" t="str">
        <f>IF(ISNUMBER(B537),"Valid","Invalid")</f>
        <v>Valid</v>
      </c>
      <c r="AM537" s="7" t="str">
        <f t="shared" si="52"/>
        <v>Missmatched</v>
      </c>
      <c r="AN537" s="7" t="str">
        <f t="shared" si="53"/>
        <v>Missmatched</v>
      </c>
    </row>
    <row r="538" spans="1:40">
      <c r="A538" t="s">
        <v>1705</v>
      </c>
      <c r="B538" s="6">
        <v>45934</v>
      </c>
      <c r="C538" s="4">
        <v>46036</v>
      </c>
      <c r="D538" t="s">
        <v>1706</v>
      </c>
      <c r="E538" t="s">
        <v>62</v>
      </c>
      <c r="F538" t="s">
        <v>37</v>
      </c>
      <c r="G538" t="s">
        <v>63</v>
      </c>
      <c r="H538" t="s">
        <v>26</v>
      </c>
      <c r="I538" t="s">
        <v>109</v>
      </c>
      <c r="J538" t="s">
        <v>41</v>
      </c>
      <c r="K538" t="s">
        <v>66</v>
      </c>
      <c r="L538" t="s">
        <v>1707</v>
      </c>
      <c r="M538" t="s">
        <v>50</v>
      </c>
      <c r="N538">
        <v>7</v>
      </c>
      <c r="O538">
        <v>3788.9</v>
      </c>
      <c r="P538">
        <v>0.25</v>
      </c>
      <c r="Q538" s="7">
        <f>IF(P538="", 0, P538)</f>
        <v>0.25</v>
      </c>
      <c r="R538">
        <v>19891.72</v>
      </c>
      <c r="S538">
        <v>12295.76</v>
      </c>
      <c r="T538" s="7">
        <f>N538*O538*(1-Q538)</f>
        <v>19891.724999999999</v>
      </c>
      <c r="U538" s="7">
        <f t="shared" si="48"/>
        <v>7595.9649999999983</v>
      </c>
      <c r="V538">
        <v>7595.96</v>
      </c>
      <c r="W538" s="12">
        <f t="shared" si="49"/>
        <v>0.38186557475533162</v>
      </c>
      <c r="X538" t="s">
        <v>155</v>
      </c>
      <c r="Y538" t="str">
        <f t="shared" si="50"/>
        <v>Failed</v>
      </c>
      <c r="Z538" t="s">
        <v>68</v>
      </c>
      <c r="AA538">
        <f>C538-B538</f>
        <v>102</v>
      </c>
      <c r="AB538" t="str">
        <f>IF(B538="","Missing Order Date",
IF(C538="","Missing Ship Date","OK"))</f>
        <v>OK</v>
      </c>
      <c r="AC538" s="7" t="str">
        <f>IF(C538&lt;B538, "Invalid", "Valid")</f>
        <v>Valid</v>
      </c>
      <c r="AD538" s="7" t="str">
        <f>IF(COUNTIF($A:$A, A538)&gt;1, "Duplicate", "Unique")</f>
        <v>Unique</v>
      </c>
      <c r="AE538" s="7" t="str">
        <f>IF(G538="","Unknown",G538)</f>
        <v>West</v>
      </c>
      <c r="AF538" s="7" t="str">
        <f>IF(M538="","Unknown",M538)</f>
        <v>First Class</v>
      </c>
      <c r="AG538" s="7" t="str">
        <f>IF(P538&lt;0,"Invalid",
IF(P538&gt;1,"Invalid","Valid"))</f>
        <v>Valid</v>
      </c>
      <c r="AH538" s="7" t="str">
        <f>TEXT(B538,"mmmm")</f>
        <v>October</v>
      </c>
      <c r="AI538" s="7">
        <f t="shared" si="51"/>
        <v>2025</v>
      </c>
      <c r="AJ538" s="7" t="str">
        <f>IF(OR(R538&lt;0,C538&lt;B538),"Invalid",
IF(OR(G538="Unknown",M538="Unknown"),"Warning","Clean"))</f>
        <v>Clean</v>
      </c>
      <c r="AK538" s="7" t="str">
        <f>IF(C538&lt;B538,"Ship Before Order","OK")</f>
        <v>OK</v>
      </c>
      <c r="AL538" s="7" t="str">
        <f>IF(ISNUMBER(B538),"Valid","Invalid")</f>
        <v>Valid</v>
      </c>
      <c r="AM538" s="7" t="str">
        <f t="shared" si="52"/>
        <v>Missmatched</v>
      </c>
      <c r="AN538" s="7" t="str">
        <f t="shared" si="53"/>
        <v>Missmatched</v>
      </c>
    </row>
    <row r="539" spans="1:40">
      <c r="A539" t="s">
        <v>1708</v>
      </c>
      <c r="B539" s="6">
        <v>45313</v>
      </c>
      <c r="C539" s="4">
        <v>46037</v>
      </c>
      <c r="D539" t="s">
        <v>1709</v>
      </c>
      <c r="E539" t="s">
        <v>62</v>
      </c>
      <c r="F539" t="s">
        <v>37</v>
      </c>
      <c r="G539" t="s">
        <v>25</v>
      </c>
      <c r="H539" t="s">
        <v>236</v>
      </c>
      <c r="I539" t="s">
        <v>237</v>
      </c>
      <c r="J539" t="s">
        <v>28</v>
      </c>
      <c r="K539" t="s">
        <v>48</v>
      </c>
      <c r="L539" t="s">
        <v>1710</v>
      </c>
      <c r="M539" t="s">
        <v>44</v>
      </c>
      <c r="N539">
        <v>3</v>
      </c>
      <c r="O539">
        <v>676.37</v>
      </c>
      <c r="P539">
        <v>0.05</v>
      </c>
      <c r="Q539" s="7">
        <f>IF(P539="", 0, P539)</f>
        <v>0.05</v>
      </c>
      <c r="R539">
        <v>1927.65</v>
      </c>
      <c r="S539">
        <v>1460.6</v>
      </c>
      <c r="T539" s="7">
        <f>N539*O539*(1-Q539)</f>
        <v>1927.6545000000001</v>
      </c>
      <c r="U539" s="7">
        <f t="shared" si="48"/>
        <v>467.05450000000019</v>
      </c>
      <c r="V539">
        <v>467.05</v>
      </c>
      <c r="W539" s="12">
        <f t="shared" si="49"/>
        <v>0.24229160360427668</v>
      </c>
      <c r="X539" t="s">
        <v>155</v>
      </c>
      <c r="Y539" t="str">
        <f t="shared" si="50"/>
        <v>Failed</v>
      </c>
      <c r="Z539" t="s">
        <v>68</v>
      </c>
      <c r="AA539">
        <f>C539-B539</f>
        <v>724</v>
      </c>
      <c r="AB539" t="str">
        <f>IF(B539="","Missing Order Date",
IF(C539="","Missing Ship Date","OK"))</f>
        <v>OK</v>
      </c>
      <c r="AC539" s="7" t="str">
        <f>IF(C539&lt;B539, "Invalid", "Valid")</f>
        <v>Valid</v>
      </c>
      <c r="AD539" s="7" t="str">
        <f>IF(COUNTIF($A:$A, A539)&gt;1, "Duplicate", "Unique")</f>
        <v>Unique</v>
      </c>
      <c r="AE539" s="7" t="str">
        <f>IF(G539="","Unknown",G539)</f>
        <v>North</v>
      </c>
      <c r="AF539" s="7" t="str">
        <f>IF(M539="","Unknown",M539)</f>
        <v>Same Day</v>
      </c>
      <c r="AG539" s="7" t="str">
        <f>IF(P539&lt;0,"Invalid",
IF(P539&gt;1,"Invalid","Valid"))</f>
        <v>Valid</v>
      </c>
      <c r="AH539" s="7" t="str">
        <f>TEXT(B539,"mmmm")</f>
        <v>January</v>
      </c>
      <c r="AI539" s="7">
        <f t="shared" si="51"/>
        <v>2024</v>
      </c>
      <c r="AJ539" s="7" t="str">
        <f>IF(OR(R539&lt;0,C539&lt;B539),"Invalid",
IF(OR(G539="Unknown",M539="Unknown"),"Warning","Clean"))</f>
        <v>Clean</v>
      </c>
      <c r="AK539" s="7" t="str">
        <f>IF(C539&lt;B539,"Ship Before Order","OK")</f>
        <v>OK</v>
      </c>
      <c r="AL539" s="7" t="str">
        <f>IF(ISNUMBER(B539),"Valid","Invalid")</f>
        <v>Valid</v>
      </c>
      <c r="AM539" s="7" t="str">
        <f t="shared" si="52"/>
        <v>Missmatched</v>
      </c>
      <c r="AN539" s="7" t="str">
        <f t="shared" si="53"/>
        <v>Missmatched</v>
      </c>
    </row>
    <row r="540" spans="1:40">
      <c r="A540" t="s">
        <v>1711</v>
      </c>
      <c r="B540" s="6">
        <v>45560</v>
      </c>
      <c r="C540" s="4">
        <v>46038</v>
      </c>
      <c r="D540" t="s">
        <v>1712</v>
      </c>
      <c r="E540" t="s">
        <v>162</v>
      </c>
      <c r="F540" t="s">
        <v>37</v>
      </c>
      <c r="G540" t="s">
        <v>38</v>
      </c>
      <c r="H540" t="s">
        <v>228</v>
      </c>
      <c r="I540" t="s">
        <v>229</v>
      </c>
      <c r="J540" t="s">
        <v>41</v>
      </c>
      <c r="K540" t="s">
        <v>42</v>
      </c>
      <c r="L540" t="s">
        <v>1713</v>
      </c>
      <c r="M540" t="s">
        <v>31</v>
      </c>
      <c r="N540">
        <v>9</v>
      </c>
      <c r="O540">
        <v>3908.6</v>
      </c>
      <c r="P540">
        <v>0.15</v>
      </c>
      <c r="Q540" s="7">
        <f>IF(P540="", 0, P540)</f>
        <v>0.15</v>
      </c>
      <c r="R540">
        <v>29900.79</v>
      </c>
      <c r="S540">
        <v>24650.67</v>
      </c>
      <c r="T540" s="7">
        <f>N540*O540*(1-Q540)</f>
        <v>29900.79</v>
      </c>
      <c r="U540" s="7">
        <f t="shared" si="48"/>
        <v>5250.1200000000026</v>
      </c>
      <c r="V540">
        <v>5250.12</v>
      </c>
      <c r="W540" s="12">
        <f t="shared" si="49"/>
        <v>0.17558465846554563</v>
      </c>
      <c r="X540" t="s">
        <v>32</v>
      </c>
      <c r="Y540" t="str">
        <f t="shared" si="50"/>
        <v>Paid</v>
      </c>
      <c r="Z540" t="s">
        <v>33</v>
      </c>
      <c r="AA540">
        <f>C540-B540</f>
        <v>478</v>
      </c>
      <c r="AB540" t="str">
        <f>IF(B540="","Missing Order Date",
IF(C540="","Missing Ship Date","OK"))</f>
        <v>OK</v>
      </c>
      <c r="AC540" s="7" t="str">
        <f>IF(C540&lt;B540, "Invalid", "Valid")</f>
        <v>Valid</v>
      </c>
      <c r="AD540" s="7" t="str">
        <f>IF(COUNTIF($A:$A, A540)&gt;1, "Duplicate", "Unique")</f>
        <v>Unique</v>
      </c>
      <c r="AE540" s="7" t="str">
        <f>IF(G540="","Unknown",G540)</f>
        <v>East</v>
      </c>
      <c r="AF540" s="7" t="str">
        <f>IF(M540="","Unknown",M540)</f>
        <v>Second Class</v>
      </c>
      <c r="AG540" s="7" t="str">
        <f>IF(P540&lt;0,"Invalid",
IF(P540&gt;1,"Invalid","Valid"))</f>
        <v>Valid</v>
      </c>
      <c r="AH540" s="7" t="str">
        <f>TEXT(B540,"mmmm")</f>
        <v>September</v>
      </c>
      <c r="AI540" s="7">
        <f t="shared" si="51"/>
        <v>2024</v>
      </c>
      <c r="AJ540" s="7" t="str">
        <f>IF(OR(R540&lt;0,C540&lt;B540),"Invalid",
IF(OR(G540="Unknown",M540="Unknown"),"Warning","Clean"))</f>
        <v>Clean</v>
      </c>
      <c r="AK540" s="7" t="str">
        <f>IF(C540&lt;B540,"Ship Before Order","OK")</f>
        <v>OK</v>
      </c>
      <c r="AL540" s="7" t="str">
        <f>IF(ISNUMBER(B540),"Valid","Invalid")</f>
        <v>Valid</v>
      </c>
      <c r="AM540" s="7" t="str">
        <f t="shared" si="52"/>
        <v>Ok</v>
      </c>
      <c r="AN540" s="7" t="str">
        <f t="shared" si="53"/>
        <v>Ok</v>
      </c>
    </row>
    <row r="541" spans="1:40">
      <c r="A541" t="s">
        <v>1714</v>
      </c>
      <c r="B541" s="6">
        <v>45754</v>
      </c>
      <c r="C541" s="4">
        <v>46039</v>
      </c>
      <c r="D541" t="s">
        <v>1715</v>
      </c>
      <c r="E541" t="s">
        <v>36</v>
      </c>
      <c r="F541" t="s">
        <v>37</v>
      </c>
      <c r="G541" t="s">
        <v>54</v>
      </c>
      <c r="H541" t="s">
        <v>247</v>
      </c>
      <c r="I541" t="s">
        <v>248</v>
      </c>
      <c r="J541" t="s">
        <v>41</v>
      </c>
      <c r="K541" t="s">
        <v>66</v>
      </c>
      <c r="L541" t="s">
        <v>1716</v>
      </c>
      <c r="M541" t="s">
        <v>59</v>
      </c>
      <c r="N541">
        <v>3</v>
      </c>
      <c r="O541">
        <v>705.35</v>
      </c>
      <c r="P541">
        <v>0.1</v>
      </c>
      <c r="Q541" s="7">
        <f>IF(P541="", 0, P541)</f>
        <v>0.1</v>
      </c>
      <c r="R541">
        <v>1904.45</v>
      </c>
      <c r="S541">
        <v>1316.54</v>
      </c>
      <c r="T541" s="7">
        <f>N541*O541*(1-Q541)</f>
        <v>1904.4450000000002</v>
      </c>
      <c r="U541" s="7">
        <f t="shared" si="48"/>
        <v>587.9050000000002</v>
      </c>
      <c r="V541">
        <v>587.91</v>
      </c>
      <c r="W541" s="12">
        <f t="shared" si="49"/>
        <v>0.30870148520960183</v>
      </c>
      <c r="X541" t="s">
        <v>32</v>
      </c>
      <c r="Y541" t="str">
        <f t="shared" si="50"/>
        <v>Paid</v>
      </c>
      <c r="Z541" t="s">
        <v>68</v>
      </c>
      <c r="AA541">
        <f>C541-B541</f>
        <v>285</v>
      </c>
      <c r="AB541" t="str">
        <f>IF(B541="","Missing Order Date",
IF(C541="","Missing Ship Date","OK"))</f>
        <v>OK</v>
      </c>
      <c r="AC541" s="7" t="str">
        <f>IF(C541&lt;B541, "Invalid", "Valid")</f>
        <v>Valid</v>
      </c>
      <c r="AD541" s="7" t="str">
        <f>IF(COUNTIF($A:$A, A541)&gt;1, "Duplicate", "Unique")</f>
        <v>Unique</v>
      </c>
      <c r="AE541" s="7" t="str">
        <f>IF(G541="","Unknown",G541)</f>
        <v>South</v>
      </c>
      <c r="AF541" s="7" t="str">
        <f>IF(M541="","Unknown",M541)</f>
        <v>Standard Class</v>
      </c>
      <c r="AG541" s="7" t="str">
        <f>IF(P541&lt;0,"Invalid",
IF(P541&gt;1,"Invalid","Valid"))</f>
        <v>Valid</v>
      </c>
      <c r="AH541" s="7" t="str">
        <f>TEXT(B541,"mmmm")</f>
        <v>April</v>
      </c>
      <c r="AI541" s="7">
        <f t="shared" si="51"/>
        <v>2025</v>
      </c>
      <c r="AJ541" s="7" t="str">
        <f>IF(OR(R541&lt;0,C541&lt;B541),"Invalid",
IF(OR(G541="Unknown",M541="Unknown"),"Warning","Clean"))</f>
        <v>Clean</v>
      </c>
      <c r="AK541" s="7" t="str">
        <f>IF(C541&lt;B541,"Ship Before Order","OK")</f>
        <v>OK</v>
      </c>
      <c r="AL541" s="7" t="str">
        <f>IF(ISNUMBER(B541),"Valid","Invalid")</f>
        <v>Valid</v>
      </c>
      <c r="AM541" s="7" t="str">
        <f t="shared" si="52"/>
        <v>Missmatched</v>
      </c>
      <c r="AN541" s="7" t="str">
        <f t="shared" si="53"/>
        <v>Missmatched</v>
      </c>
    </row>
    <row r="542" spans="1:40">
      <c r="A542" t="s">
        <v>1717</v>
      </c>
      <c r="B542" s="6">
        <v>45348</v>
      </c>
      <c r="C542" s="4">
        <v>46040</v>
      </c>
      <c r="D542" t="s">
        <v>1718</v>
      </c>
      <c r="E542" t="s">
        <v>264</v>
      </c>
      <c r="F542" t="s">
        <v>24</v>
      </c>
      <c r="G542" t="s">
        <v>63</v>
      </c>
      <c r="H542" t="s">
        <v>180</v>
      </c>
      <c r="I542" t="s">
        <v>181</v>
      </c>
      <c r="J542" t="s">
        <v>41</v>
      </c>
      <c r="K542" t="s">
        <v>57</v>
      </c>
      <c r="L542" t="s">
        <v>1719</v>
      </c>
      <c r="M542" t="s">
        <v>59</v>
      </c>
      <c r="N542">
        <v>7</v>
      </c>
      <c r="O542">
        <v>3852.07</v>
      </c>
      <c r="P542">
        <v>0.2</v>
      </c>
      <c r="Q542" s="7">
        <f>IF(P542="", 0, P542)</f>
        <v>0.2</v>
      </c>
      <c r="R542">
        <v>21571.59</v>
      </c>
      <c r="S542">
        <v>17118.07</v>
      </c>
      <c r="T542" s="7">
        <f>N542*O542*(1-Q542)</f>
        <v>21571.592000000004</v>
      </c>
      <c r="U542" s="7">
        <f t="shared" si="48"/>
        <v>4453.5220000000045</v>
      </c>
      <c r="V542">
        <v>4453.5200000000004</v>
      </c>
      <c r="W542" s="12">
        <f t="shared" si="49"/>
        <v>0.20645309813017063</v>
      </c>
      <c r="X542" t="s">
        <v>32</v>
      </c>
      <c r="Y542" t="str">
        <f t="shared" si="50"/>
        <v>Paid</v>
      </c>
      <c r="Z542" t="s">
        <v>33</v>
      </c>
      <c r="AA542">
        <f>C542-B542</f>
        <v>692</v>
      </c>
      <c r="AB542" t="str">
        <f>IF(B542="","Missing Order Date",
IF(C542="","Missing Ship Date","OK"))</f>
        <v>OK</v>
      </c>
      <c r="AC542" s="7" t="str">
        <f>IF(C542&lt;B542, "Invalid", "Valid")</f>
        <v>Valid</v>
      </c>
      <c r="AD542" s="7" t="str">
        <f>IF(COUNTIF($A:$A, A542)&gt;1, "Duplicate", "Unique")</f>
        <v>Unique</v>
      </c>
      <c r="AE542" s="7" t="str">
        <f>IF(G542="","Unknown",G542)</f>
        <v>West</v>
      </c>
      <c r="AF542" s="7" t="str">
        <f>IF(M542="","Unknown",M542)</f>
        <v>Standard Class</v>
      </c>
      <c r="AG542" s="7" t="str">
        <f>IF(P542&lt;0,"Invalid",
IF(P542&gt;1,"Invalid","Valid"))</f>
        <v>Valid</v>
      </c>
      <c r="AH542" s="7" t="str">
        <f>TEXT(B542,"mmmm")</f>
        <v>February</v>
      </c>
      <c r="AI542" s="7">
        <f t="shared" si="51"/>
        <v>2024</v>
      </c>
      <c r="AJ542" s="7" t="str">
        <f>IF(OR(R542&lt;0,C542&lt;B542),"Invalid",
IF(OR(G542="Unknown",M542="Unknown"),"Warning","Clean"))</f>
        <v>Clean</v>
      </c>
      <c r="AK542" s="7" t="str">
        <f>IF(C542&lt;B542,"Ship Before Order","OK")</f>
        <v>OK</v>
      </c>
      <c r="AL542" s="7" t="str">
        <f>IF(ISNUMBER(B542),"Valid","Invalid")</f>
        <v>Valid</v>
      </c>
      <c r="AM542" s="7" t="str">
        <f t="shared" si="52"/>
        <v>Missmatched</v>
      </c>
      <c r="AN542" s="7" t="str">
        <f t="shared" si="53"/>
        <v>Missmatched</v>
      </c>
    </row>
    <row r="543" spans="1:40">
      <c r="A543" t="s">
        <v>1720</v>
      </c>
      <c r="B543" s="6">
        <v>45846</v>
      </c>
      <c r="C543" s="4">
        <v>46041</v>
      </c>
      <c r="D543" t="s">
        <v>1721</v>
      </c>
      <c r="E543" t="s">
        <v>132</v>
      </c>
      <c r="F543" t="s">
        <v>24</v>
      </c>
      <c r="G543" t="s">
        <v>63</v>
      </c>
      <c r="H543" t="s">
        <v>64</v>
      </c>
      <c r="I543" t="s">
        <v>65</v>
      </c>
      <c r="J543" t="s">
        <v>74</v>
      </c>
      <c r="K543" t="s">
        <v>80</v>
      </c>
      <c r="L543" t="s">
        <v>1722</v>
      </c>
      <c r="M543" t="s">
        <v>44</v>
      </c>
      <c r="N543">
        <v>3</v>
      </c>
      <c r="O543">
        <v>2880.56</v>
      </c>
      <c r="P543">
        <v>0</v>
      </c>
      <c r="Q543" s="7">
        <f>IF(P543="", 0, P543)</f>
        <v>0</v>
      </c>
      <c r="R543">
        <v>8641.68</v>
      </c>
      <c r="S543">
        <v>5747.09</v>
      </c>
      <c r="T543" s="7">
        <f>N543*O543*(1-Q543)</f>
        <v>8641.68</v>
      </c>
      <c r="U543" s="7">
        <f t="shared" si="48"/>
        <v>2894.59</v>
      </c>
      <c r="V543">
        <v>2894.59</v>
      </c>
      <c r="W543" s="12">
        <f t="shared" si="49"/>
        <v>0.33495686024013849</v>
      </c>
      <c r="X543" t="s">
        <v>32</v>
      </c>
      <c r="Y543" t="str">
        <f t="shared" si="50"/>
        <v>Paid</v>
      </c>
      <c r="Z543" t="s">
        <v>103</v>
      </c>
      <c r="AA543">
        <f>C543-B543</f>
        <v>195</v>
      </c>
      <c r="AB543" t="str">
        <f>IF(B543="","Missing Order Date",
IF(C543="","Missing Ship Date","OK"))</f>
        <v>OK</v>
      </c>
      <c r="AC543" s="7" t="str">
        <f>IF(C543&lt;B543, "Invalid", "Valid")</f>
        <v>Valid</v>
      </c>
      <c r="AD543" s="7" t="str">
        <f>IF(COUNTIF($A:$A, A543)&gt;1, "Duplicate", "Unique")</f>
        <v>Unique</v>
      </c>
      <c r="AE543" s="7" t="str">
        <f>IF(G543="","Unknown",G543)</f>
        <v>West</v>
      </c>
      <c r="AF543" s="7" t="str">
        <f>IF(M543="","Unknown",M543)</f>
        <v>Same Day</v>
      </c>
      <c r="AG543" s="7" t="str">
        <f>IF(P543&lt;0,"Invalid",
IF(P543&gt;1,"Invalid","Valid"))</f>
        <v>Valid</v>
      </c>
      <c r="AH543" s="7" t="str">
        <f>TEXT(B543,"mmmm")</f>
        <v>July</v>
      </c>
      <c r="AI543" s="7">
        <f t="shared" si="51"/>
        <v>2025</v>
      </c>
      <c r="AJ543" s="7" t="str">
        <f>IF(OR(R543&lt;0,C543&lt;B543),"Invalid",
IF(OR(G543="Unknown",M543="Unknown"),"Warning","Clean"))</f>
        <v>Clean</v>
      </c>
      <c r="AK543" s="7" t="str">
        <f>IF(C543&lt;B543,"Ship Before Order","OK")</f>
        <v>OK</v>
      </c>
      <c r="AL543" s="7" t="str">
        <f>IF(ISNUMBER(B543),"Valid","Invalid")</f>
        <v>Valid</v>
      </c>
      <c r="AM543" s="7" t="str">
        <f t="shared" si="52"/>
        <v>Ok</v>
      </c>
      <c r="AN543" s="7" t="str">
        <f t="shared" si="53"/>
        <v>Ok</v>
      </c>
    </row>
    <row r="544" spans="1:40">
      <c r="A544" t="s">
        <v>1723</v>
      </c>
      <c r="B544" s="6">
        <v>45552</v>
      </c>
      <c r="C544" s="4">
        <v>46042</v>
      </c>
      <c r="D544" t="s">
        <v>1724</v>
      </c>
      <c r="E544" t="s">
        <v>118</v>
      </c>
      <c r="F544" t="s">
        <v>95</v>
      </c>
      <c r="G544" t="s">
        <v>54</v>
      </c>
      <c r="H544" t="s">
        <v>185</v>
      </c>
      <c r="I544" t="s">
        <v>186</v>
      </c>
      <c r="J544" t="s">
        <v>41</v>
      </c>
      <c r="K544" t="s">
        <v>158</v>
      </c>
      <c r="L544" t="s">
        <v>1725</v>
      </c>
      <c r="M544" t="s">
        <v>31</v>
      </c>
      <c r="N544">
        <v>3</v>
      </c>
      <c r="O544">
        <v>4067.62</v>
      </c>
      <c r="P544">
        <v>0.2</v>
      </c>
      <c r="Q544" s="7">
        <f>IF(P544="", 0, P544)</f>
        <v>0.2</v>
      </c>
      <c r="R544">
        <v>9988.5300000000007</v>
      </c>
      <c r="S544">
        <v>8368.24</v>
      </c>
      <c r="T544" s="7">
        <f>N544*O544*(1-Q544)</f>
        <v>9762.2880000000005</v>
      </c>
      <c r="U544" s="7">
        <f t="shared" si="48"/>
        <v>1394.0480000000007</v>
      </c>
      <c r="V544">
        <v>1394.05</v>
      </c>
      <c r="W544" s="12">
        <f t="shared" si="49"/>
        <v>0.14279931098119628</v>
      </c>
      <c r="X544" t="s">
        <v>32</v>
      </c>
      <c r="Y544" t="str">
        <f t="shared" si="50"/>
        <v>Paid</v>
      </c>
      <c r="Z544" t="s">
        <v>68</v>
      </c>
      <c r="AA544">
        <f>C544-B544</f>
        <v>490</v>
      </c>
      <c r="AB544" t="str">
        <f>IF(B544="","Missing Order Date",
IF(C544="","Missing Ship Date","OK"))</f>
        <v>OK</v>
      </c>
      <c r="AC544" s="7" t="str">
        <f>IF(C544&lt;B544, "Invalid", "Valid")</f>
        <v>Valid</v>
      </c>
      <c r="AD544" s="7" t="str">
        <f>IF(COUNTIF($A:$A, A544)&gt;1, "Duplicate", "Unique")</f>
        <v>Unique</v>
      </c>
      <c r="AE544" s="7" t="str">
        <f>IF(G544="","Unknown",G544)</f>
        <v>South</v>
      </c>
      <c r="AF544" s="7" t="str">
        <f>IF(M544="","Unknown",M544)</f>
        <v>Second Class</v>
      </c>
      <c r="AG544" s="7" t="str">
        <f>IF(P544&lt;0,"Invalid",
IF(P544&gt;1,"Invalid","Valid"))</f>
        <v>Valid</v>
      </c>
      <c r="AH544" s="7" t="str">
        <f>TEXT(B544,"mmmm")</f>
        <v>September</v>
      </c>
      <c r="AI544" s="7">
        <f t="shared" si="51"/>
        <v>2024</v>
      </c>
      <c r="AJ544" s="7" t="str">
        <f>IF(OR(R544&lt;0,C544&lt;B544),"Invalid",
IF(OR(G544="Unknown",M544="Unknown"),"Warning","Clean"))</f>
        <v>Clean</v>
      </c>
      <c r="AK544" s="7" t="str">
        <f>IF(C544&lt;B544,"Ship Before Order","OK")</f>
        <v>OK</v>
      </c>
      <c r="AL544" s="7" t="str">
        <f>IF(ISNUMBER(B544),"Valid","Invalid")</f>
        <v>Valid</v>
      </c>
      <c r="AM544" s="7" t="str">
        <f t="shared" si="52"/>
        <v>Missmatched</v>
      </c>
      <c r="AN544" s="7" t="str">
        <f t="shared" si="53"/>
        <v>Missmatched</v>
      </c>
    </row>
    <row r="545" spans="1:40">
      <c r="A545" t="s">
        <v>1726</v>
      </c>
      <c r="B545" s="6">
        <v>45487</v>
      </c>
      <c r="C545" s="4">
        <v>46043</v>
      </c>
      <c r="D545" t="s">
        <v>1727</v>
      </c>
      <c r="E545" t="s">
        <v>36</v>
      </c>
      <c r="F545" t="s">
        <v>24</v>
      </c>
      <c r="G545" t="s">
        <v>38</v>
      </c>
      <c r="H545" t="s">
        <v>145</v>
      </c>
      <c r="I545" t="s">
        <v>146</v>
      </c>
      <c r="J545" t="s">
        <v>74</v>
      </c>
      <c r="K545" t="s">
        <v>80</v>
      </c>
      <c r="L545" t="s">
        <v>1728</v>
      </c>
      <c r="M545" t="s">
        <v>44</v>
      </c>
      <c r="N545">
        <v>1</v>
      </c>
      <c r="O545">
        <v>492.67</v>
      </c>
      <c r="P545">
        <v>0.15</v>
      </c>
      <c r="Q545" s="7">
        <f>IF(P545="", 0, P545)</f>
        <v>0.15</v>
      </c>
      <c r="R545">
        <v>418.77</v>
      </c>
      <c r="S545">
        <v>313.72000000000003</v>
      </c>
      <c r="T545" s="7">
        <f>N545*O545*(1-Q545)</f>
        <v>418.76949999999999</v>
      </c>
      <c r="U545" s="7">
        <f t="shared" si="48"/>
        <v>105.04949999999997</v>
      </c>
      <c r="V545">
        <v>105.05</v>
      </c>
      <c r="W545" s="12">
        <f t="shared" si="49"/>
        <v>0.25085279610859906</v>
      </c>
      <c r="X545" t="s">
        <v>32</v>
      </c>
      <c r="Y545" t="str">
        <f t="shared" si="50"/>
        <v>Paid</v>
      </c>
      <c r="Z545" t="s">
        <v>33</v>
      </c>
      <c r="AA545">
        <f>C545-B545</f>
        <v>556</v>
      </c>
      <c r="AB545" t="str">
        <f>IF(B545="","Missing Order Date",
IF(C545="","Missing Ship Date","OK"))</f>
        <v>OK</v>
      </c>
      <c r="AC545" s="7" t="str">
        <f>IF(C545&lt;B545, "Invalid", "Valid")</f>
        <v>Valid</v>
      </c>
      <c r="AD545" s="7" t="str">
        <f>IF(COUNTIF($A:$A, A545)&gt;1, "Duplicate", "Unique")</f>
        <v>Unique</v>
      </c>
      <c r="AE545" s="7" t="str">
        <f>IF(G545="","Unknown",G545)</f>
        <v>East</v>
      </c>
      <c r="AF545" s="7" t="str">
        <f>IF(M545="","Unknown",M545)</f>
        <v>Same Day</v>
      </c>
      <c r="AG545" s="7" t="str">
        <f>IF(P545&lt;0,"Invalid",
IF(P545&gt;1,"Invalid","Valid"))</f>
        <v>Valid</v>
      </c>
      <c r="AH545" s="7" t="str">
        <f>TEXT(B545,"mmmm")</f>
        <v>July</v>
      </c>
      <c r="AI545" s="7">
        <f t="shared" si="51"/>
        <v>2024</v>
      </c>
      <c r="AJ545" s="7" t="str">
        <f>IF(OR(R545&lt;0,C545&lt;B545),"Invalid",
IF(OR(G545="Unknown",M545="Unknown"),"Warning","Clean"))</f>
        <v>Clean</v>
      </c>
      <c r="AK545" s="7" t="str">
        <f>IF(C545&lt;B545,"Ship Before Order","OK")</f>
        <v>OK</v>
      </c>
      <c r="AL545" s="7" t="str">
        <f>IF(ISNUMBER(B545),"Valid","Invalid")</f>
        <v>Valid</v>
      </c>
      <c r="AM545" s="7" t="str">
        <f t="shared" si="52"/>
        <v>Missmatched</v>
      </c>
      <c r="AN545" s="7" t="str">
        <f t="shared" si="53"/>
        <v>Missmatched</v>
      </c>
    </row>
    <row r="546" spans="1:40">
      <c r="A546" t="s">
        <v>1729</v>
      </c>
      <c r="B546" s="6">
        <v>45686</v>
      </c>
      <c r="C546" s="4">
        <v>46044</v>
      </c>
      <c r="D546" t="s">
        <v>1730</v>
      </c>
      <c r="E546" t="s">
        <v>62</v>
      </c>
      <c r="F546" t="s">
        <v>24</v>
      </c>
      <c r="G546" t="s">
        <v>54</v>
      </c>
      <c r="H546" t="s">
        <v>185</v>
      </c>
      <c r="I546" t="s">
        <v>186</v>
      </c>
      <c r="J546" t="s">
        <v>28</v>
      </c>
      <c r="K546" t="s">
        <v>48</v>
      </c>
      <c r="L546" t="s">
        <v>1731</v>
      </c>
      <c r="M546" t="s">
        <v>44</v>
      </c>
      <c r="N546">
        <v>8</v>
      </c>
      <c r="O546">
        <v>3643.62</v>
      </c>
      <c r="P546">
        <v>0.25</v>
      </c>
      <c r="Q546" s="7">
        <f>IF(P546="", 0, P546)</f>
        <v>0.25</v>
      </c>
      <c r="R546">
        <v>21861.72</v>
      </c>
      <c r="S546">
        <v>18464.34</v>
      </c>
      <c r="T546" s="7">
        <f>N546*O546*(1-Q546)</f>
        <v>21861.72</v>
      </c>
      <c r="U546" s="7">
        <f t="shared" si="48"/>
        <v>3397.380000000001</v>
      </c>
      <c r="V546">
        <v>3397.38</v>
      </c>
      <c r="W546" s="12">
        <f t="shared" si="49"/>
        <v>0.1554031430280875</v>
      </c>
      <c r="X546" t="s">
        <v>32</v>
      </c>
      <c r="Y546" t="str">
        <f t="shared" si="50"/>
        <v>Paid</v>
      </c>
      <c r="Z546" t="s">
        <v>68</v>
      </c>
      <c r="AA546">
        <f>C546-B546</f>
        <v>358</v>
      </c>
      <c r="AB546" t="str">
        <f>IF(B546="","Missing Order Date",
IF(C546="","Missing Ship Date","OK"))</f>
        <v>OK</v>
      </c>
      <c r="AC546" s="7" t="str">
        <f>IF(C546&lt;B546, "Invalid", "Valid")</f>
        <v>Valid</v>
      </c>
      <c r="AD546" s="7" t="str">
        <f>IF(COUNTIF($A:$A, A546)&gt;1, "Duplicate", "Unique")</f>
        <v>Unique</v>
      </c>
      <c r="AE546" s="7" t="str">
        <f>IF(G546="","Unknown",G546)</f>
        <v>South</v>
      </c>
      <c r="AF546" s="7" t="str">
        <f>IF(M546="","Unknown",M546)</f>
        <v>Same Day</v>
      </c>
      <c r="AG546" s="7" t="str">
        <f>IF(P546&lt;0,"Invalid",
IF(P546&gt;1,"Invalid","Valid"))</f>
        <v>Valid</v>
      </c>
      <c r="AH546" s="7" t="str">
        <f>TEXT(B546,"mmmm")</f>
        <v>January</v>
      </c>
      <c r="AI546" s="7">
        <f t="shared" si="51"/>
        <v>2025</v>
      </c>
      <c r="AJ546" s="7" t="str">
        <f>IF(OR(R546&lt;0,C546&lt;B546),"Invalid",
IF(OR(G546="Unknown",M546="Unknown"),"Warning","Clean"))</f>
        <v>Clean</v>
      </c>
      <c r="AK546" s="7" t="str">
        <f>IF(C546&lt;B546,"Ship Before Order","OK")</f>
        <v>OK</v>
      </c>
      <c r="AL546" s="7" t="str">
        <f>IF(ISNUMBER(B546),"Valid","Invalid")</f>
        <v>Valid</v>
      </c>
      <c r="AM546" s="7" t="str">
        <f t="shared" si="52"/>
        <v>Ok</v>
      </c>
      <c r="AN546" s="7" t="str">
        <f t="shared" si="53"/>
        <v>Ok</v>
      </c>
    </row>
    <row r="547" spans="1:40">
      <c r="A547" t="s">
        <v>1732</v>
      </c>
      <c r="B547" s="6">
        <v>45439</v>
      </c>
      <c r="C547" s="4">
        <v>46045</v>
      </c>
      <c r="D547" t="s">
        <v>1733</v>
      </c>
      <c r="E547" t="s">
        <v>264</v>
      </c>
      <c r="F547" t="s">
        <v>37</v>
      </c>
      <c r="G547" t="s">
        <v>38</v>
      </c>
      <c r="H547" t="s">
        <v>228</v>
      </c>
      <c r="I547" t="s">
        <v>229</v>
      </c>
      <c r="J547" t="s">
        <v>28</v>
      </c>
      <c r="K547" t="s">
        <v>124</v>
      </c>
      <c r="L547" t="s">
        <v>1734</v>
      </c>
      <c r="M547" t="s">
        <v>44</v>
      </c>
      <c r="N547">
        <v>7</v>
      </c>
      <c r="O547">
        <v>2900.86</v>
      </c>
      <c r="P547">
        <v>0.15</v>
      </c>
      <c r="Q547" s="7">
        <f>IF(P547="", 0, P547)</f>
        <v>0.15</v>
      </c>
      <c r="R547">
        <v>17260.12</v>
      </c>
      <c r="S547">
        <v>13513.51</v>
      </c>
      <c r="T547" s="7">
        <f>N547*O547*(1-Q547)</f>
        <v>17260.116999999998</v>
      </c>
      <c r="U547" s="7">
        <f t="shared" si="48"/>
        <v>3746.6069999999982</v>
      </c>
      <c r="V547">
        <v>3746.61</v>
      </c>
      <c r="W547" s="12">
        <f t="shared" si="49"/>
        <v>0.21706730029697935</v>
      </c>
      <c r="X547" t="s">
        <v>32</v>
      </c>
      <c r="Y547" t="str">
        <f t="shared" si="50"/>
        <v>Paid</v>
      </c>
      <c r="Z547" t="s">
        <v>33</v>
      </c>
      <c r="AA547">
        <f>C547-B547</f>
        <v>606</v>
      </c>
      <c r="AB547" t="str">
        <f>IF(B547="","Missing Order Date",
IF(C547="","Missing Ship Date","OK"))</f>
        <v>OK</v>
      </c>
      <c r="AC547" s="7" t="str">
        <f>IF(C547&lt;B547, "Invalid", "Valid")</f>
        <v>Valid</v>
      </c>
      <c r="AD547" s="7" t="str">
        <f>IF(COUNTIF($A:$A, A547)&gt;1, "Duplicate", "Unique")</f>
        <v>Unique</v>
      </c>
      <c r="AE547" s="7" t="str">
        <f>IF(G547="","Unknown",G547)</f>
        <v>East</v>
      </c>
      <c r="AF547" s="7" t="str">
        <f>IF(M547="","Unknown",M547)</f>
        <v>Same Day</v>
      </c>
      <c r="AG547" s="7" t="str">
        <f>IF(P547&lt;0,"Invalid",
IF(P547&gt;1,"Invalid","Valid"))</f>
        <v>Valid</v>
      </c>
      <c r="AH547" s="7" t="str">
        <f>TEXT(B547,"mmmm")</f>
        <v>May</v>
      </c>
      <c r="AI547" s="7">
        <f t="shared" si="51"/>
        <v>2024</v>
      </c>
      <c r="AJ547" s="7" t="str">
        <f>IF(OR(R547&lt;0,C547&lt;B547),"Invalid",
IF(OR(G547="Unknown",M547="Unknown"),"Warning","Clean"))</f>
        <v>Clean</v>
      </c>
      <c r="AK547" s="7" t="str">
        <f>IF(C547&lt;B547,"Ship Before Order","OK")</f>
        <v>OK</v>
      </c>
      <c r="AL547" s="7" t="str">
        <f>IF(ISNUMBER(B547),"Valid","Invalid")</f>
        <v>Valid</v>
      </c>
      <c r="AM547" s="7" t="str">
        <f t="shared" si="52"/>
        <v>Missmatched</v>
      </c>
      <c r="AN547" s="7" t="str">
        <f t="shared" si="53"/>
        <v>Missmatched</v>
      </c>
    </row>
    <row r="548" spans="1:40">
      <c r="A548" t="s">
        <v>1735</v>
      </c>
      <c r="B548" s="6">
        <v>45883</v>
      </c>
      <c r="C548" s="4">
        <v>46046</v>
      </c>
      <c r="D548" t="s">
        <v>1736</v>
      </c>
      <c r="E548" t="s">
        <v>53</v>
      </c>
      <c r="F548" t="s">
        <v>90</v>
      </c>
      <c r="G548" t="s">
        <v>63</v>
      </c>
      <c r="H548" t="s">
        <v>180</v>
      </c>
      <c r="I548" t="s">
        <v>181</v>
      </c>
      <c r="J548" t="s">
        <v>28</v>
      </c>
      <c r="K548" t="s">
        <v>29</v>
      </c>
      <c r="L548" t="s">
        <v>1737</v>
      </c>
      <c r="M548" t="s">
        <v>50</v>
      </c>
      <c r="N548">
        <v>5</v>
      </c>
      <c r="O548">
        <v>2567.37</v>
      </c>
      <c r="P548">
        <v>0.15</v>
      </c>
      <c r="Q548" s="7">
        <f>IF(P548="", 0, P548)</f>
        <v>0.15</v>
      </c>
      <c r="R548">
        <v>10911.32</v>
      </c>
      <c r="S548">
        <v>6966.44</v>
      </c>
      <c r="T548" s="7">
        <f>N548*O548*(1-Q548)</f>
        <v>10911.322499999998</v>
      </c>
      <c r="U548" s="7">
        <f t="shared" si="48"/>
        <v>3944.8824999999988</v>
      </c>
      <c r="V548">
        <v>4395.17</v>
      </c>
      <c r="W548" s="12">
        <f t="shared" si="49"/>
        <v>0.36154027158486052</v>
      </c>
      <c r="X548" t="s">
        <v>32</v>
      </c>
      <c r="Y548" t="str">
        <f t="shared" si="50"/>
        <v>Paid</v>
      </c>
      <c r="Z548" t="s">
        <v>33</v>
      </c>
      <c r="AA548">
        <f>C548-B548</f>
        <v>163</v>
      </c>
      <c r="AB548" t="str">
        <f>IF(B548="","Missing Order Date",
IF(C548="","Missing Ship Date","OK"))</f>
        <v>OK</v>
      </c>
      <c r="AC548" s="7" t="str">
        <f>IF(C548&lt;B548, "Invalid", "Valid")</f>
        <v>Valid</v>
      </c>
      <c r="AD548" s="7" t="str">
        <f>IF(COUNTIF($A:$A, A548)&gt;1, "Duplicate", "Unique")</f>
        <v>Unique</v>
      </c>
      <c r="AE548" s="7" t="str">
        <f>IF(G548="","Unknown",G548)</f>
        <v>West</v>
      </c>
      <c r="AF548" s="7" t="str">
        <f>IF(M548="","Unknown",M548)</f>
        <v>First Class</v>
      </c>
      <c r="AG548" s="7" t="str">
        <f>IF(P548&lt;0,"Invalid",
IF(P548&gt;1,"Invalid","Valid"))</f>
        <v>Valid</v>
      </c>
      <c r="AH548" s="7" t="str">
        <f>TEXT(B548,"mmmm")</f>
        <v>August</v>
      </c>
      <c r="AI548" s="7">
        <f t="shared" si="51"/>
        <v>2025</v>
      </c>
      <c r="AJ548" s="7" t="str">
        <f>IF(OR(R548&lt;0,C548&lt;B548),"Invalid",
IF(OR(G548="Unknown",M548="Unknown"),"Warning","Clean"))</f>
        <v>Clean</v>
      </c>
      <c r="AK548" s="7" t="str">
        <f>IF(C548&lt;B548,"Ship Before Order","OK")</f>
        <v>OK</v>
      </c>
      <c r="AL548" s="7" t="str">
        <f>IF(ISNUMBER(B548),"Valid","Invalid")</f>
        <v>Valid</v>
      </c>
      <c r="AM548" s="7" t="str">
        <f t="shared" si="52"/>
        <v>Missmatched</v>
      </c>
      <c r="AN548" s="7" t="str">
        <f t="shared" si="53"/>
        <v>Missmatched</v>
      </c>
    </row>
    <row r="549" spans="1:40">
      <c r="A549" t="s">
        <v>1738</v>
      </c>
      <c r="B549" s="6">
        <v>45428</v>
      </c>
      <c r="C549" s="4">
        <v>46047</v>
      </c>
      <c r="D549" t="s">
        <v>1739</v>
      </c>
      <c r="E549" t="s">
        <v>79</v>
      </c>
      <c r="F549" t="s">
        <v>37</v>
      </c>
      <c r="G549" t="s">
        <v>25</v>
      </c>
      <c r="H549" t="s">
        <v>136</v>
      </c>
      <c r="I549" t="s">
        <v>137</v>
      </c>
      <c r="J549" t="s">
        <v>74</v>
      </c>
      <c r="K549" t="s">
        <v>80</v>
      </c>
      <c r="L549" t="s">
        <v>1740</v>
      </c>
      <c r="M549" t="s">
        <v>59</v>
      </c>
      <c r="N549">
        <v>9</v>
      </c>
      <c r="O549">
        <v>3722.09</v>
      </c>
      <c r="P549">
        <v>0.1</v>
      </c>
      <c r="Q549" s="7">
        <f>IF(P549="", 0, P549)</f>
        <v>0.1</v>
      </c>
      <c r="R549">
        <v>30148.93</v>
      </c>
      <c r="S549">
        <v>25155.07</v>
      </c>
      <c r="T549" s="7">
        <f>N549*O549*(1-Q549)</f>
        <v>30148.929</v>
      </c>
      <c r="U549" s="7">
        <f t="shared" si="48"/>
        <v>4993.8590000000004</v>
      </c>
      <c r="V549">
        <v>4993.8599999999997</v>
      </c>
      <c r="W549" s="12">
        <f t="shared" si="49"/>
        <v>0.16563968159532302</v>
      </c>
      <c r="X549" t="s">
        <v>32</v>
      </c>
      <c r="Y549" t="str">
        <f t="shared" si="50"/>
        <v>Paid</v>
      </c>
      <c r="Z549" t="s">
        <v>33</v>
      </c>
      <c r="AA549">
        <f>C549-B549</f>
        <v>619</v>
      </c>
      <c r="AB549" t="str">
        <f>IF(B549="","Missing Order Date",
IF(C549="","Missing Ship Date","OK"))</f>
        <v>OK</v>
      </c>
      <c r="AC549" s="7" t="str">
        <f>IF(C549&lt;B549, "Invalid", "Valid")</f>
        <v>Valid</v>
      </c>
      <c r="AD549" s="7" t="str">
        <f>IF(COUNTIF($A:$A, A549)&gt;1, "Duplicate", "Unique")</f>
        <v>Unique</v>
      </c>
      <c r="AE549" s="7" t="str">
        <f>IF(G549="","Unknown",G549)</f>
        <v>North</v>
      </c>
      <c r="AF549" s="7" t="str">
        <f>IF(M549="","Unknown",M549)</f>
        <v>Standard Class</v>
      </c>
      <c r="AG549" s="7" t="str">
        <f>IF(P549&lt;0,"Invalid",
IF(P549&gt;1,"Invalid","Valid"))</f>
        <v>Valid</v>
      </c>
      <c r="AH549" s="7" t="str">
        <f>TEXT(B549,"mmmm")</f>
        <v>May</v>
      </c>
      <c r="AI549" s="7">
        <f t="shared" si="51"/>
        <v>2024</v>
      </c>
      <c r="AJ549" s="7" t="str">
        <f>IF(OR(R549&lt;0,C549&lt;B549),"Invalid",
IF(OR(G549="Unknown",M549="Unknown"),"Warning","Clean"))</f>
        <v>Clean</v>
      </c>
      <c r="AK549" s="7" t="str">
        <f>IF(C549&lt;B549,"Ship Before Order","OK")</f>
        <v>OK</v>
      </c>
      <c r="AL549" s="7" t="str">
        <f>IF(ISNUMBER(B549),"Valid","Invalid")</f>
        <v>Valid</v>
      </c>
      <c r="AM549" s="7" t="str">
        <f t="shared" si="52"/>
        <v>Missmatched</v>
      </c>
      <c r="AN549" s="7" t="str">
        <f t="shared" si="53"/>
        <v>Missmatched</v>
      </c>
    </row>
    <row r="550" spans="1:40">
      <c r="A550" t="s">
        <v>1741</v>
      </c>
      <c r="B550" s="6">
        <v>45441</v>
      </c>
      <c r="C550" s="4">
        <v>46048</v>
      </c>
      <c r="D550" t="s">
        <v>1742</v>
      </c>
      <c r="E550" t="s">
        <v>141</v>
      </c>
      <c r="F550" t="s">
        <v>90</v>
      </c>
      <c r="G550" t="s">
        <v>38</v>
      </c>
      <c r="H550" t="s">
        <v>145</v>
      </c>
      <c r="I550" t="s">
        <v>146</v>
      </c>
      <c r="J550" t="s">
        <v>41</v>
      </c>
      <c r="K550" t="s">
        <v>158</v>
      </c>
      <c r="L550" t="s">
        <v>1743</v>
      </c>
      <c r="M550" t="s">
        <v>44</v>
      </c>
      <c r="N550">
        <v>1</v>
      </c>
      <c r="O550">
        <v>1072.01</v>
      </c>
      <c r="P550">
        <v>0</v>
      </c>
      <c r="Q550" s="7">
        <f>IF(P550="", 0, P550)</f>
        <v>0</v>
      </c>
      <c r="R550">
        <v>1072.01</v>
      </c>
      <c r="S550">
        <v>852.62</v>
      </c>
      <c r="T550" s="7">
        <f>N550*O550*(1-Q550)</f>
        <v>1072.01</v>
      </c>
      <c r="U550" s="7">
        <f t="shared" si="48"/>
        <v>219.39</v>
      </c>
      <c r="V550">
        <v>219.39</v>
      </c>
      <c r="W550" s="12">
        <f t="shared" si="49"/>
        <v>0.20465294167032022</v>
      </c>
      <c r="X550" t="s">
        <v>111</v>
      </c>
      <c r="Y550" t="str">
        <f t="shared" si="50"/>
        <v>Pending</v>
      </c>
      <c r="Z550" t="s">
        <v>68</v>
      </c>
      <c r="AA550">
        <f>C550-B550</f>
        <v>607</v>
      </c>
      <c r="AB550" t="str">
        <f>IF(B550="","Missing Order Date",
IF(C550="","Missing Ship Date","OK"))</f>
        <v>OK</v>
      </c>
      <c r="AC550" s="7" t="str">
        <f>IF(C550&lt;B550, "Invalid", "Valid")</f>
        <v>Valid</v>
      </c>
      <c r="AD550" s="7" t="str">
        <f>IF(COUNTIF($A:$A, A550)&gt;1, "Duplicate", "Unique")</f>
        <v>Unique</v>
      </c>
      <c r="AE550" s="7" t="str">
        <f>IF(G550="","Unknown",G550)</f>
        <v>East</v>
      </c>
      <c r="AF550" s="7" t="str">
        <f>IF(M550="","Unknown",M550)</f>
        <v>Same Day</v>
      </c>
      <c r="AG550" s="7" t="str">
        <f>IF(P550&lt;0,"Invalid",
IF(P550&gt;1,"Invalid","Valid"))</f>
        <v>Valid</v>
      </c>
      <c r="AH550" s="7" t="str">
        <f>TEXT(B550,"mmmm")</f>
        <v>May</v>
      </c>
      <c r="AI550" s="7">
        <f t="shared" si="51"/>
        <v>2024</v>
      </c>
      <c r="AJ550" s="7" t="str">
        <f>IF(OR(R550&lt;0,C550&lt;B550),"Invalid",
IF(OR(G550="Unknown",M550="Unknown"),"Warning","Clean"))</f>
        <v>Clean</v>
      </c>
      <c r="AK550" s="7" t="str">
        <f>IF(C550&lt;B550,"Ship Before Order","OK")</f>
        <v>OK</v>
      </c>
      <c r="AL550" s="7" t="str">
        <f>IF(ISNUMBER(B550),"Valid","Invalid")</f>
        <v>Valid</v>
      </c>
      <c r="AM550" s="7" t="str">
        <f t="shared" si="52"/>
        <v>Ok</v>
      </c>
      <c r="AN550" s="7" t="str">
        <f t="shared" si="53"/>
        <v>Ok</v>
      </c>
    </row>
    <row r="551" spans="1:40">
      <c r="A551" t="s">
        <v>1744</v>
      </c>
      <c r="B551" s="6">
        <v>45971</v>
      </c>
      <c r="C551" s="4">
        <v>46049</v>
      </c>
      <c r="D551" t="s">
        <v>1745</v>
      </c>
      <c r="E551" t="s">
        <v>36</v>
      </c>
      <c r="F551" t="s">
        <v>90</v>
      </c>
      <c r="G551" t="s">
        <v>54</v>
      </c>
      <c r="H551" t="s">
        <v>55</v>
      </c>
      <c r="I551" t="s">
        <v>56</v>
      </c>
      <c r="J551" t="s">
        <v>28</v>
      </c>
      <c r="K551" t="s">
        <v>48</v>
      </c>
      <c r="L551" t="s">
        <v>1746</v>
      </c>
      <c r="M551" t="s">
        <v>31</v>
      </c>
      <c r="N551">
        <v>3</v>
      </c>
      <c r="O551">
        <v>3804.27</v>
      </c>
      <c r="P551">
        <v>0.1</v>
      </c>
      <c r="Q551" s="7">
        <f>IF(P551="", 0, P551)</f>
        <v>0.1</v>
      </c>
      <c r="R551">
        <v>10271.530000000001</v>
      </c>
      <c r="S551">
        <v>8272.24</v>
      </c>
      <c r="T551" s="7">
        <f>N551*O551*(1-Q551)</f>
        <v>10271.529</v>
      </c>
      <c r="U551" s="7">
        <f t="shared" si="48"/>
        <v>1999.2890000000007</v>
      </c>
      <c r="V551">
        <v>1999.29</v>
      </c>
      <c r="W551" s="12">
        <f t="shared" si="49"/>
        <v>0.19464375751652949</v>
      </c>
      <c r="X551" t="s">
        <v>32</v>
      </c>
      <c r="Y551" t="str">
        <f t="shared" si="50"/>
        <v>Paid</v>
      </c>
      <c r="Z551" t="s">
        <v>33</v>
      </c>
      <c r="AA551">
        <f>C551-B551</f>
        <v>78</v>
      </c>
      <c r="AB551" t="str">
        <f>IF(B551="","Missing Order Date",
IF(C551="","Missing Ship Date","OK"))</f>
        <v>OK</v>
      </c>
      <c r="AC551" s="7" t="str">
        <f>IF(C551&lt;B551, "Invalid", "Valid")</f>
        <v>Valid</v>
      </c>
      <c r="AD551" s="7" t="str">
        <f>IF(COUNTIF($A:$A, A551)&gt;1, "Duplicate", "Unique")</f>
        <v>Duplicate</v>
      </c>
      <c r="AE551" s="7" t="str">
        <f>IF(G551="","Unknown",G551)</f>
        <v>South</v>
      </c>
      <c r="AF551" s="7" t="str">
        <f>IF(M551="","Unknown",M551)</f>
        <v>Second Class</v>
      </c>
      <c r="AG551" s="7" t="str">
        <f>IF(P551&lt;0,"Invalid",
IF(P551&gt;1,"Invalid","Valid"))</f>
        <v>Valid</v>
      </c>
      <c r="AH551" s="7" t="str">
        <f>TEXT(B551,"mmmm")</f>
        <v>November</v>
      </c>
      <c r="AI551" s="7">
        <f t="shared" si="51"/>
        <v>2025</v>
      </c>
      <c r="AJ551" s="7" t="str">
        <f>IF(OR(R551&lt;0,C551&lt;B551),"Invalid",
IF(OR(G551="Unknown",M551="Unknown"),"Warning","Clean"))</f>
        <v>Clean</v>
      </c>
      <c r="AK551" s="7" t="str">
        <f>IF(C551&lt;B551,"Ship Before Order","OK")</f>
        <v>OK</v>
      </c>
      <c r="AL551" s="7" t="str">
        <f>IF(ISNUMBER(B551),"Valid","Invalid")</f>
        <v>Valid</v>
      </c>
      <c r="AM551" s="7" t="str">
        <f t="shared" si="52"/>
        <v>Missmatched</v>
      </c>
      <c r="AN551" s="7" t="str">
        <f t="shared" si="53"/>
        <v>Missmatched</v>
      </c>
    </row>
    <row r="552" spans="1:40">
      <c r="A552" t="s">
        <v>1747</v>
      </c>
      <c r="B552" s="6">
        <v>45506</v>
      </c>
      <c r="C552" s="4">
        <v>46050</v>
      </c>
      <c r="D552" t="s">
        <v>1748</v>
      </c>
      <c r="E552" t="s">
        <v>36</v>
      </c>
      <c r="F552" t="s">
        <v>95</v>
      </c>
      <c r="G552" t="s">
        <v>38</v>
      </c>
      <c r="H552" t="s">
        <v>39</v>
      </c>
      <c r="I552" t="s">
        <v>40</v>
      </c>
      <c r="J552" t="s">
        <v>74</v>
      </c>
      <c r="K552" t="s">
        <v>75</v>
      </c>
      <c r="L552" t="s">
        <v>1749</v>
      </c>
      <c r="M552" t="s">
        <v>59</v>
      </c>
      <c r="N552">
        <v>6</v>
      </c>
      <c r="O552">
        <v>2126.44</v>
      </c>
      <c r="P552">
        <v>0.2</v>
      </c>
      <c r="Q552" s="7">
        <f>IF(P552="", 0, P552)</f>
        <v>0.2</v>
      </c>
      <c r="R552">
        <v>10206.91</v>
      </c>
      <c r="S552">
        <v>6764.53</v>
      </c>
      <c r="T552" s="7">
        <f>N552*O552*(1-Q552)</f>
        <v>10206.912</v>
      </c>
      <c r="U552" s="7">
        <f t="shared" si="48"/>
        <v>3442.3820000000005</v>
      </c>
      <c r="V552">
        <v>3442.38</v>
      </c>
      <c r="W552" s="12">
        <f t="shared" si="49"/>
        <v>0.33725988820125036</v>
      </c>
      <c r="X552" t="s">
        <v>32</v>
      </c>
      <c r="Y552" t="str">
        <f t="shared" si="50"/>
        <v>Paid</v>
      </c>
      <c r="Z552" t="s">
        <v>33</v>
      </c>
      <c r="AA552">
        <f>C552-B552</f>
        <v>544</v>
      </c>
      <c r="AB552" t="str">
        <f>IF(B552="","Missing Order Date",
IF(C552="","Missing Ship Date","OK"))</f>
        <v>OK</v>
      </c>
      <c r="AC552" s="7" t="str">
        <f>IF(C552&lt;B552, "Invalid", "Valid")</f>
        <v>Valid</v>
      </c>
      <c r="AD552" s="7" t="str">
        <f>IF(COUNTIF($A:$A, A552)&gt;1, "Duplicate", "Unique")</f>
        <v>Unique</v>
      </c>
      <c r="AE552" s="7" t="str">
        <f>IF(G552="","Unknown",G552)</f>
        <v>East</v>
      </c>
      <c r="AF552" s="7" t="str">
        <f>IF(M552="","Unknown",M552)</f>
        <v>Standard Class</v>
      </c>
      <c r="AG552" s="7" t="str">
        <f>IF(P552&lt;0,"Invalid",
IF(P552&gt;1,"Invalid","Valid"))</f>
        <v>Valid</v>
      </c>
      <c r="AH552" s="7" t="str">
        <f>TEXT(B552,"mmmm")</f>
        <v>August</v>
      </c>
      <c r="AI552" s="7">
        <f t="shared" si="51"/>
        <v>2024</v>
      </c>
      <c r="AJ552" s="7" t="str">
        <f>IF(OR(R552&lt;0,C552&lt;B552),"Invalid",
IF(OR(G552="Unknown",M552="Unknown"),"Warning","Clean"))</f>
        <v>Clean</v>
      </c>
      <c r="AK552" s="7" t="str">
        <f>IF(C552&lt;B552,"Ship Before Order","OK")</f>
        <v>OK</v>
      </c>
      <c r="AL552" s="7" t="str">
        <f>IF(ISNUMBER(B552),"Valid","Invalid")</f>
        <v>Valid</v>
      </c>
      <c r="AM552" s="7" t="str">
        <f t="shared" si="52"/>
        <v>Missmatched</v>
      </c>
      <c r="AN552" s="7" t="str">
        <f t="shared" si="53"/>
        <v>Missmatched</v>
      </c>
    </row>
    <row r="553" spans="1:40">
      <c r="A553" t="s">
        <v>1750</v>
      </c>
      <c r="B553" s="6">
        <v>45349</v>
      </c>
      <c r="C553" s="4">
        <v>46051</v>
      </c>
      <c r="D553" t="s">
        <v>1751</v>
      </c>
      <c r="E553" t="s">
        <v>132</v>
      </c>
      <c r="F553" t="s">
        <v>24</v>
      </c>
      <c r="G553" t="s">
        <v>38</v>
      </c>
      <c r="H553" t="s">
        <v>228</v>
      </c>
      <c r="I553" t="s">
        <v>229</v>
      </c>
      <c r="J553" t="s">
        <v>41</v>
      </c>
      <c r="K553" t="s">
        <v>66</v>
      </c>
      <c r="L553" t="s">
        <v>1752</v>
      </c>
      <c r="M553" t="s">
        <v>31</v>
      </c>
      <c r="N553">
        <v>3</v>
      </c>
      <c r="O553">
        <v>3148.09</v>
      </c>
      <c r="P553">
        <v>0.15</v>
      </c>
      <c r="Q553" s="7">
        <f>IF(P553="", 0, P553)</f>
        <v>0.15</v>
      </c>
      <c r="R553">
        <v>8027.63</v>
      </c>
      <c r="S553">
        <v>5496.09</v>
      </c>
      <c r="T553" s="7">
        <f>N553*O553*(1-Q553)</f>
        <v>8027.6295</v>
      </c>
      <c r="U553" s="7">
        <f t="shared" si="48"/>
        <v>2531.5394999999999</v>
      </c>
      <c r="V553">
        <v>2531.54</v>
      </c>
      <c r="W553" s="12">
        <f t="shared" si="49"/>
        <v>0.31535330572991688</v>
      </c>
      <c r="X553" t="s">
        <v>32</v>
      </c>
      <c r="Y553" t="str">
        <f t="shared" si="50"/>
        <v>Paid</v>
      </c>
      <c r="Z553" t="s">
        <v>33</v>
      </c>
      <c r="AA553">
        <f>C553-B553</f>
        <v>702</v>
      </c>
      <c r="AB553" t="str">
        <f>IF(B553="","Missing Order Date",
IF(C553="","Missing Ship Date","OK"))</f>
        <v>OK</v>
      </c>
      <c r="AC553" s="7" t="str">
        <f>IF(C553&lt;B553, "Invalid", "Valid")</f>
        <v>Valid</v>
      </c>
      <c r="AD553" s="7" t="str">
        <f>IF(COUNTIF($A:$A, A553)&gt;1, "Duplicate", "Unique")</f>
        <v>Unique</v>
      </c>
      <c r="AE553" s="7" t="str">
        <f>IF(G553="","Unknown",G553)</f>
        <v>East</v>
      </c>
      <c r="AF553" s="7" t="str">
        <f>IF(M553="","Unknown",M553)</f>
        <v>Second Class</v>
      </c>
      <c r="AG553" s="7" t="str">
        <f>IF(P553&lt;0,"Invalid",
IF(P553&gt;1,"Invalid","Valid"))</f>
        <v>Valid</v>
      </c>
      <c r="AH553" s="7" t="str">
        <f>TEXT(B553,"mmmm")</f>
        <v>February</v>
      </c>
      <c r="AI553" s="7">
        <f t="shared" si="51"/>
        <v>2024</v>
      </c>
      <c r="AJ553" s="7" t="str">
        <f>IF(OR(R553&lt;0,C553&lt;B553),"Invalid",
IF(OR(G553="Unknown",M553="Unknown"),"Warning","Clean"))</f>
        <v>Clean</v>
      </c>
      <c r="AK553" s="7" t="str">
        <f>IF(C553&lt;B553,"Ship Before Order","OK")</f>
        <v>OK</v>
      </c>
      <c r="AL553" s="7" t="str">
        <f>IF(ISNUMBER(B553),"Valid","Invalid")</f>
        <v>Valid</v>
      </c>
      <c r="AM553" s="7" t="str">
        <f t="shared" si="52"/>
        <v>Missmatched</v>
      </c>
      <c r="AN553" s="7" t="str">
        <f t="shared" si="53"/>
        <v>Missmatched</v>
      </c>
    </row>
    <row r="554" spans="1:40">
      <c r="A554" t="s">
        <v>1753</v>
      </c>
      <c r="B554" s="6">
        <v>45681</v>
      </c>
      <c r="C554" s="4">
        <v>46052</v>
      </c>
      <c r="D554" t="s">
        <v>1754</v>
      </c>
      <c r="E554" t="s">
        <v>62</v>
      </c>
      <c r="F554" t="s">
        <v>90</v>
      </c>
      <c r="G554" t="s">
        <v>38</v>
      </c>
      <c r="H554" t="s">
        <v>99</v>
      </c>
      <c r="I554" t="s">
        <v>100</v>
      </c>
      <c r="J554" t="s">
        <v>74</v>
      </c>
      <c r="K554" t="s">
        <v>80</v>
      </c>
      <c r="L554" t="s">
        <v>1755</v>
      </c>
      <c r="M554" t="s">
        <v>59</v>
      </c>
      <c r="N554">
        <v>8</v>
      </c>
      <c r="O554">
        <v>312.52999999999997</v>
      </c>
      <c r="P554" t="s">
        <v>463</v>
      </c>
      <c r="Q554" s="7" t="str">
        <f>IF(P554="", 0, P554)</f>
        <v>70%</v>
      </c>
      <c r="R554">
        <v>1875.18</v>
      </c>
      <c r="S554">
        <v>1579.17</v>
      </c>
      <c r="T554" s="7">
        <f>N554*O554*(1-Q554)</f>
        <v>750.072</v>
      </c>
      <c r="U554" s="7">
        <f t="shared" si="48"/>
        <v>-829.09800000000007</v>
      </c>
      <c r="V554">
        <v>296.01</v>
      </c>
      <c r="W554" s="12">
        <f t="shared" si="49"/>
        <v>-1.1053578856429784</v>
      </c>
      <c r="X554" t="s">
        <v>32</v>
      </c>
      <c r="Y554" t="str">
        <f t="shared" si="50"/>
        <v>Paid</v>
      </c>
      <c r="Z554" t="s">
        <v>33</v>
      </c>
      <c r="AA554">
        <f>C554-B554</f>
        <v>371</v>
      </c>
      <c r="AB554" t="str">
        <f>IF(B554="","Missing Order Date",
IF(C554="","Missing Ship Date","OK"))</f>
        <v>OK</v>
      </c>
      <c r="AC554" s="7" t="str">
        <f>IF(C554&lt;B554, "Invalid", "Valid")</f>
        <v>Valid</v>
      </c>
      <c r="AD554" s="7" t="str">
        <f>IF(COUNTIF($A:$A, A554)&gt;1, "Duplicate", "Unique")</f>
        <v>Unique</v>
      </c>
      <c r="AE554" s="7" t="str">
        <f>IF(G554="","Unknown",G554)</f>
        <v>East</v>
      </c>
      <c r="AF554" s="7" t="str">
        <f>IF(M554="","Unknown",M554)</f>
        <v>Standard Class</v>
      </c>
      <c r="AG554" s="7" t="str">
        <f>IF(P554&lt;0,"Invalid",
IF(P554&gt;1,"Invalid","Valid"))</f>
        <v>Invalid</v>
      </c>
      <c r="AH554" s="7" t="str">
        <f>TEXT(B554,"mmmm")</f>
        <v>January</v>
      </c>
      <c r="AI554" s="7">
        <f t="shared" si="51"/>
        <v>2025</v>
      </c>
      <c r="AJ554" s="7" t="str">
        <f>IF(OR(R554&lt;0,C554&lt;B554),"Invalid",
IF(OR(G554="Unknown",M554="Unknown"),"Warning","Clean"))</f>
        <v>Clean</v>
      </c>
      <c r="AK554" s="7" t="str">
        <f>IF(C554&lt;B554,"Ship Before Order","OK")</f>
        <v>OK</v>
      </c>
      <c r="AL554" s="7" t="str">
        <f>IF(ISNUMBER(B554),"Valid","Invalid")</f>
        <v>Valid</v>
      </c>
      <c r="AM554" s="7" t="str">
        <f t="shared" si="52"/>
        <v>Missmatched</v>
      </c>
      <c r="AN554" s="7" t="str">
        <f t="shared" si="53"/>
        <v>Missmatched</v>
      </c>
    </row>
    <row r="555" spans="1:40">
      <c r="A555" t="s">
        <v>1756</v>
      </c>
      <c r="B555" s="6">
        <v>45772</v>
      </c>
      <c r="C555" s="4">
        <v>46053</v>
      </c>
      <c r="D555" t="s">
        <v>1757</v>
      </c>
      <c r="E555" t="s">
        <v>128</v>
      </c>
      <c r="F555" t="s">
        <v>37</v>
      </c>
      <c r="G555" t="s">
        <v>63</v>
      </c>
      <c r="H555" t="s">
        <v>180</v>
      </c>
      <c r="I555" t="s">
        <v>181</v>
      </c>
      <c r="J555" t="s">
        <v>28</v>
      </c>
      <c r="K555" t="s">
        <v>124</v>
      </c>
      <c r="L555" t="s">
        <v>1758</v>
      </c>
      <c r="M555" t="s">
        <v>50</v>
      </c>
      <c r="N555">
        <v>9</v>
      </c>
      <c r="O555">
        <v>1294.1099999999999</v>
      </c>
      <c r="P555">
        <v>0.25</v>
      </c>
      <c r="Q555" s="7">
        <f>IF(P555="", 0, P555)</f>
        <v>0.25</v>
      </c>
      <c r="R555">
        <v>8735.24</v>
      </c>
      <c r="S555">
        <v>6620.07</v>
      </c>
      <c r="T555" s="7">
        <f>N555*O555*(1-Q555)</f>
        <v>8735.2425000000003</v>
      </c>
      <c r="U555" s="7">
        <f t="shared" si="48"/>
        <v>2115.1725000000006</v>
      </c>
      <c r="V555">
        <v>2115.17</v>
      </c>
      <c r="W555" s="12">
        <f t="shared" si="49"/>
        <v>0.24214239043735769</v>
      </c>
      <c r="X555" t="s">
        <v>32</v>
      </c>
      <c r="Y555" t="str">
        <f t="shared" si="50"/>
        <v>Paid</v>
      </c>
      <c r="Z555" t="s">
        <v>33</v>
      </c>
      <c r="AA555">
        <f>C555-B555</f>
        <v>281</v>
      </c>
      <c r="AB555" t="str">
        <f>IF(B555="","Missing Order Date",
IF(C555="","Missing Ship Date","OK"))</f>
        <v>OK</v>
      </c>
      <c r="AC555" s="7" t="str">
        <f>IF(C555&lt;B555, "Invalid", "Valid")</f>
        <v>Valid</v>
      </c>
      <c r="AD555" s="7" t="str">
        <f>IF(COUNTIF($A:$A, A555)&gt;1, "Duplicate", "Unique")</f>
        <v>Unique</v>
      </c>
      <c r="AE555" s="7" t="str">
        <f>IF(G555="","Unknown",G555)</f>
        <v>West</v>
      </c>
      <c r="AF555" s="7" t="str">
        <f>IF(M555="","Unknown",M555)</f>
        <v>First Class</v>
      </c>
      <c r="AG555" s="7" t="str">
        <f>IF(P555&lt;0,"Invalid",
IF(P555&gt;1,"Invalid","Valid"))</f>
        <v>Valid</v>
      </c>
      <c r="AH555" s="7" t="str">
        <f>TEXT(B555,"mmmm")</f>
        <v>April</v>
      </c>
      <c r="AI555" s="7">
        <f t="shared" si="51"/>
        <v>2025</v>
      </c>
      <c r="AJ555" s="7" t="str">
        <f>IF(OR(R555&lt;0,C555&lt;B555),"Invalid",
IF(OR(G555="Unknown",M555="Unknown"),"Warning","Clean"))</f>
        <v>Clean</v>
      </c>
      <c r="AK555" s="7" t="str">
        <f>IF(C555&lt;B555,"Ship Before Order","OK")</f>
        <v>OK</v>
      </c>
      <c r="AL555" s="7" t="str">
        <f>IF(ISNUMBER(B555),"Valid","Invalid")</f>
        <v>Valid</v>
      </c>
      <c r="AM555" s="7" t="str">
        <f t="shared" si="52"/>
        <v>Missmatched</v>
      </c>
      <c r="AN555" s="7" t="str">
        <f t="shared" si="53"/>
        <v>Missmatched</v>
      </c>
    </row>
    <row r="556" spans="1:40">
      <c r="A556" t="s">
        <v>1759</v>
      </c>
      <c r="B556" s="6">
        <v>45636</v>
      </c>
      <c r="C556" s="4">
        <v>46054</v>
      </c>
      <c r="D556" t="s">
        <v>1760</v>
      </c>
      <c r="E556" t="s">
        <v>53</v>
      </c>
      <c r="F556" t="s">
        <v>24</v>
      </c>
      <c r="G556" t="s">
        <v>2785</v>
      </c>
      <c r="H556" t="s">
        <v>228</v>
      </c>
      <c r="I556" t="s">
        <v>229</v>
      </c>
      <c r="J556" t="s">
        <v>41</v>
      </c>
      <c r="K556" t="s">
        <v>57</v>
      </c>
      <c r="L556" t="s">
        <v>1761</v>
      </c>
      <c r="M556" t="s">
        <v>59</v>
      </c>
      <c r="N556">
        <v>4</v>
      </c>
      <c r="O556">
        <v>1071.22</v>
      </c>
      <c r="P556">
        <v>0.05</v>
      </c>
      <c r="Q556" s="7">
        <f>IF(P556="", 0, P556)</f>
        <v>0.05</v>
      </c>
      <c r="R556">
        <v>4070.64</v>
      </c>
      <c r="S556">
        <v>2831.62</v>
      </c>
      <c r="T556" s="7">
        <f>N556*O556*(1-Q556)</f>
        <v>4070.636</v>
      </c>
      <c r="U556" s="7">
        <f t="shared" si="48"/>
        <v>1239.0160000000001</v>
      </c>
      <c r="V556">
        <v>1239.02</v>
      </c>
      <c r="W556" s="12">
        <f t="shared" si="49"/>
        <v>0.30437897173807732</v>
      </c>
      <c r="X556" t="s">
        <v>32</v>
      </c>
      <c r="Y556" t="str">
        <f t="shared" si="50"/>
        <v>Paid</v>
      </c>
      <c r="Z556" t="s">
        <v>33</v>
      </c>
      <c r="AA556">
        <f>C556-B556</f>
        <v>418</v>
      </c>
      <c r="AB556" t="str">
        <f>IF(B556="","Missing Order Date",
IF(C556="","Missing Ship Date","OK"))</f>
        <v>OK</v>
      </c>
      <c r="AC556" s="7" t="str">
        <f>IF(C556&lt;B556, "Invalid", "Valid")</f>
        <v>Valid</v>
      </c>
      <c r="AD556" s="7" t="str">
        <f>IF(COUNTIF($A:$A, A556)&gt;1, "Duplicate", "Unique")</f>
        <v>Unique</v>
      </c>
      <c r="AE556" s="7" t="str">
        <f>IF(G556="","Unknown",G556)</f>
        <v>Unknown</v>
      </c>
      <c r="AF556" s="7" t="str">
        <f>IF(M556="","Unknown",M556)</f>
        <v>Standard Class</v>
      </c>
      <c r="AG556" s="7" t="str">
        <f>IF(P556&lt;0,"Invalid",
IF(P556&gt;1,"Invalid","Valid"))</f>
        <v>Valid</v>
      </c>
      <c r="AH556" s="7" t="str">
        <f>TEXT(B556,"mmmm")</f>
        <v>December</v>
      </c>
      <c r="AI556" s="7">
        <f t="shared" si="51"/>
        <v>2024</v>
      </c>
      <c r="AJ556" s="7" t="str">
        <f>IF(OR(R556&lt;0,C556&lt;B556),"Invalid",
IF(OR(G556="Unknown",M556="Unknown"),"Warning","Clean"))</f>
        <v>Clean</v>
      </c>
      <c r="AK556" s="7" t="str">
        <f>IF(C556&lt;B556,"Ship Before Order","OK")</f>
        <v>OK</v>
      </c>
      <c r="AL556" s="7" t="str">
        <f>IF(ISNUMBER(B556),"Valid","Invalid")</f>
        <v>Valid</v>
      </c>
      <c r="AM556" s="7" t="str">
        <f t="shared" si="52"/>
        <v>Missmatched</v>
      </c>
      <c r="AN556" s="7" t="str">
        <f t="shared" si="53"/>
        <v>Missmatched</v>
      </c>
    </row>
    <row r="557" spans="1:40">
      <c r="A557" t="s">
        <v>1762</v>
      </c>
      <c r="B557" s="6">
        <v>45692</v>
      </c>
      <c r="C557" s="4">
        <v>46055</v>
      </c>
      <c r="D557" t="s">
        <v>1763</v>
      </c>
      <c r="E557" t="s">
        <v>62</v>
      </c>
      <c r="F557" t="s">
        <v>37</v>
      </c>
      <c r="G557" t="s">
        <v>54</v>
      </c>
      <c r="H557" t="s">
        <v>55</v>
      </c>
      <c r="I557" t="s">
        <v>56</v>
      </c>
      <c r="J557" t="s">
        <v>28</v>
      </c>
      <c r="K557" t="s">
        <v>124</v>
      </c>
      <c r="L557" t="s">
        <v>1764</v>
      </c>
      <c r="M557" t="s">
        <v>59</v>
      </c>
      <c r="N557">
        <v>6</v>
      </c>
      <c r="O557">
        <v>1042.8</v>
      </c>
      <c r="P557">
        <v>0.05</v>
      </c>
      <c r="Q557" s="7">
        <f>IF(P557="", 0, P557)</f>
        <v>0.05</v>
      </c>
      <c r="R557">
        <v>5943.96</v>
      </c>
      <c r="S557">
        <v>3604.14</v>
      </c>
      <c r="T557" s="7">
        <f>N557*O557*(1-Q557)</f>
        <v>5943.9599999999991</v>
      </c>
      <c r="U557" s="7">
        <f t="shared" si="48"/>
        <v>2339.8199999999993</v>
      </c>
      <c r="V557">
        <v>2339.8200000000002</v>
      </c>
      <c r="W557" s="12">
        <f t="shared" si="49"/>
        <v>0.39364665980255581</v>
      </c>
      <c r="X557" t="s">
        <v>32</v>
      </c>
      <c r="Y557" t="str">
        <f t="shared" si="50"/>
        <v>Paid</v>
      </c>
      <c r="Z557" t="s">
        <v>33</v>
      </c>
      <c r="AA557">
        <f>C557-B557</f>
        <v>363</v>
      </c>
      <c r="AB557" t="str">
        <f>IF(B557="","Missing Order Date",
IF(C557="","Missing Ship Date","OK"))</f>
        <v>OK</v>
      </c>
      <c r="AC557" s="7" t="str">
        <f>IF(C557&lt;B557, "Invalid", "Valid")</f>
        <v>Valid</v>
      </c>
      <c r="AD557" s="7" t="str">
        <f>IF(COUNTIF($A:$A, A557)&gt;1, "Duplicate", "Unique")</f>
        <v>Unique</v>
      </c>
      <c r="AE557" s="7" t="str">
        <f>IF(G557="","Unknown",G557)</f>
        <v>South</v>
      </c>
      <c r="AF557" s="7" t="str">
        <f>IF(M557="","Unknown",M557)</f>
        <v>Standard Class</v>
      </c>
      <c r="AG557" s="7" t="str">
        <f>IF(P557&lt;0,"Invalid",
IF(P557&gt;1,"Invalid","Valid"))</f>
        <v>Valid</v>
      </c>
      <c r="AH557" s="7" t="str">
        <f>TEXT(B557,"mmmm")</f>
        <v>February</v>
      </c>
      <c r="AI557" s="7">
        <f t="shared" si="51"/>
        <v>2025</v>
      </c>
      <c r="AJ557" s="7" t="str">
        <f>IF(OR(R557&lt;0,C557&lt;B557),"Invalid",
IF(OR(G557="Unknown",M557="Unknown"),"Warning","Clean"))</f>
        <v>Clean</v>
      </c>
      <c r="AK557" s="7" t="str">
        <f>IF(C557&lt;B557,"Ship Before Order","OK")</f>
        <v>OK</v>
      </c>
      <c r="AL557" s="7" t="str">
        <f>IF(ISNUMBER(B557),"Valid","Invalid")</f>
        <v>Valid</v>
      </c>
      <c r="AM557" s="7" t="str">
        <f t="shared" si="52"/>
        <v>Ok</v>
      </c>
      <c r="AN557" s="7" t="str">
        <f t="shared" si="53"/>
        <v>Ok</v>
      </c>
    </row>
    <row r="558" spans="1:40">
      <c r="A558" t="s">
        <v>1765</v>
      </c>
      <c r="B558" s="6">
        <v>45466</v>
      </c>
      <c r="C558" s="4">
        <v>46056</v>
      </c>
      <c r="D558" t="s">
        <v>1766</v>
      </c>
      <c r="E558" t="s">
        <v>79</v>
      </c>
      <c r="F558" t="s">
        <v>24</v>
      </c>
      <c r="G558" t="s">
        <v>25</v>
      </c>
      <c r="H558" t="s">
        <v>236</v>
      </c>
      <c r="I558" t="s">
        <v>237</v>
      </c>
      <c r="J558" t="s">
        <v>41</v>
      </c>
      <c r="K558" t="s">
        <v>42</v>
      </c>
      <c r="L558" t="s">
        <v>1767</v>
      </c>
      <c r="M558" t="s">
        <v>50</v>
      </c>
      <c r="N558">
        <v>1</v>
      </c>
      <c r="O558">
        <v>4426.66</v>
      </c>
      <c r="P558">
        <v>0</v>
      </c>
      <c r="Q558" s="7">
        <f>IF(P558="", 0, P558)</f>
        <v>0</v>
      </c>
      <c r="R558">
        <v>4426.66</v>
      </c>
      <c r="S558">
        <v>3035.2</v>
      </c>
      <c r="T558" s="7">
        <f>N558*O558*(1-Q558)</f>
        <v>4426.66</v>
      </c>
      <c r="U558" s="7">
        <f t="shared" si="48"/>
        <v>1391.46</v>
      </c>
      <c r="V558">
        <v>1816.23</v>
      </c>
      <c r="W558" s="12">
        <f t="shared" si="49"/>
        <v>0.31433631677156143</v>
      </c>
      <c r="X558" t="s">
        <v>32</v>
      </c>
      <c r="Y558" t="str">
        <f t="shared" si="50"/>
        <v>Paid</v>
      </c>
      <c r="Z558" t="s">
        <v>103</v>
      </c>
      <c r="AA558">
        <f>C558-B558</f>
        <v>590</v>
      </c>
      <c r="AB558" t="str">
        <f>IF(B558="","Missing Order Date",
IF(C558="","Missing Ship Date","OK"))</f>
        <v>OK</v>
      </c>
      <c r="AC558" s="7" t="str">
        <f>IF(C558&lt;B558, "Invalid", "Valid")</f>
        <v>Valid</v>
      </c>
      <c r="AD558" s="7" t="str">
        <f>IF(COUNTIF($A:$A, A558)&gt;1, "Duplicate", "Unique")</f>
        <v>Unique</v>
      </c>
      <c r="AE558" s="7" t="str">
        <f>IF(G558="","Unknown",G558)</f>
        <v>North</v>
      </c>
      <c r="AF558" s="7" t="str">
        <f>IF(M558="","Unknown",M558)</f>
        <v>First Class</v>
      </c>
      <c r="AG558" s="7" t="str">
        <f>IF(P558&lt;0,"Invalid",
IF(P558&gt;1,"Invalid","Valid"))</f>
        <v>Valid</v>
      </c>
      <c r="AH558" s="7" t="str">
        <f>TEXT(B558,"mmmm")</f>
        <v>June</v>
      </c>
      <c r="AI558" s="7">
        <f t="shared" si="51"/>
        <v>2024</v>
      </c>
      <c r="AJ558" s="7" t="str">
        <f>IF(OR(R558&lt;0,C558&lt;B558),"Invalid",
IF(OR(G558="Unknown",M558="Unknown"),"Warning","Clean"))</f>
        <v>Clean</v>
      </c>
      <c r="AK558" s="7" t="str">
        <f>IF(C558&lt;B558,"Ship Before Order","OK")</f>
        <v>OK</v>
      </c>
      <c r="AL558" s="7" t="str">
        <f>IF(ISNUMBER(B558),"Valid","Invalid")</f>
        <v>Valid</v>
      </c>
      <c r="AM558" s="7" t="str">
        <f t="shared" si="52"/>
        <v>Ok</v>
      </c>
      <c r="AN558" s="7" t="str">
        <f t="shared" si="53"/>
        <v>Missmatched</v>
      </c>
    </row>
    <row r="559" spans="1:40">
      <c r="A559" t="s">
        <v>1768</v>
      </c>
      <c r="B559" s="6">
        <v>45509</v>
      </c>
      <c r="C559" s="4">
        <v>46057</v>
      </c>
      <c r="D559" t="s">
        <v>1769</v>
      </c>
      <c r="E559" t="s">
        <v>71</v>
      </c>
      <c r="F559" t="s">
        <v>95</v>
      </c>
      <c r="G559" t="s">
        <v>25</v>
      </c>
      <c r="H559" t="s">
        <v>236</v>
      </c>
      <c r="I559" t="s">
        <v>237</v>
      </c>
      <c r="J559" t="s">
        <v>74</v>
      </c>
      <c r="K559" t="s">
        <v>171</v>
      </c>
      <c r="L559" t="s">
        <v>1770</v>
      </c>
      <c r="M559" t="s">
        <v>50</v>
      </c>
      <c r="N559">
        <v>9</v>
      </c>
      <c r="O559">
        <v>3769.46</v>
      </c>
      <c r="P559">
        <v>0.05</v>
      </c>
      <c r="Q559" s="7">
        <f>IF(P559="", 0, P559)</f>
        <v>0.05</v>
      </c>
      <c r="R559">
        <v>32228.880000000001</v>
      </c>
      <c r="S559">
        <v>24971.360000000001</v>
      </c>
      <c r="T559" s="7">
        <f>N559*O559*(1-Q559)</f>
        <v>32228.882999999998</v>
      </c>
      <c r="U559" s="7">
        <f t="shared" si="48"/>
        <v>7257.5229999999974</v>
      </c>
      <c r="V559">
        <v>7257.52</v>
      </c>
      <c r="W559" s="12">
        <f t="shared" si="49"/>
        <v>0.22518692317074712</v>
      </c>
      <c r="X559" t="s">
        <v>32</v>
      </c>
      <c r="Y559" t="str">
        <f t="shared" si="50"/>
        <v>Paid</v>
      </c>
      <c r="Z559" t="s">
        <v>68</v>
      </c>
      <c r="AA559">
        <f>C559-B559</f>
        <v>548</v>
      </c>
      <c r="AB559" t="str">
        <f>IF(B559="","Missing Order Date",
IF(C559="","Missing Ship Date","OK"))</f>
        <v>OK</v>
      </c>
      <c r="AC559" s="7" t="str">
        <f>IF(C559&lt;B559, "Invalid", "Valid")</f>
        <v>Valid</v>
      </c>
      <c r="AD559" s="7" t="str">
        <f>IF(COUNTIF($A:$A, A559)&gt;1, "Duplicate", "Unique")</f>
        <v>Unique</v>
      </c>
      <c r="AE559" s="7" t="str">
        <f>IF(G559="","Unknown",G559)</f>
        <v>North</v>
      </c>
      <c r="AF559" s="7" t="str">
        <f>IF(M559="","Unknown",M559)</f>
        <v>First Class</v>
      </c>
      <c r="AG559" s="7" t="str">
        <f>IF(P559&lt;0,"Invalid",
IF(P559&gt;1,"Invalid","Valid"))</f>
        <v>Valid</v>
      </c>
      <c r="AH559" s="7" t="str">
        <f>TEXT(B559,"mmmm")</f>
        <v>August</v>
      </c>
      <c r="AI559" s="7">
        <f t="shared" si="51"/>
        <v>2024</v>
      </c>
      <c r="AJ559" s="7" t="str">
        <f>IF(OR(R559&lt;0,C559&lt;B559),"Invalid",
IF(OR(G559="Unknown",M559="Unknown"),"Warning","Clean"))</f>
        <v>Clean</v>
      </c>
      <c r="AK559" s="7" t="str">
        <f>IF(C559&lt;B559,"Ship Before Order","OK")</f>
        <v>OK</v>
      </c>
      <c r="AL559" s="7" t="str">
        <f>IF(ISNUMBER(B559),"Valid","Invalid")</f>
        <v>Valid</v>
      </c>
      <c r="AM559" s="7" t="str">
        <f t="shared" si="52"/>
        <v>Missmatched</v>
      </c>
      <c r="AN559" s="7" t="str">
        <f t="shared" si="53"/>
        <v>Missmatched</v>
      </c>
    </row>
    <row r="560" spans="1:40">
      <c r="A560" t="s">
        <v>1771</v>
      </c>
      <c r="B560" s="6">
        <v>45756</v>
      </c>
      <c r="C560" s="4">
        <v>46058</v>
      </c>
      <c r="D560" t="s">
        <v>1772</v>
      </c>
      <c r="E560" t="s">
        <v>89</v>
      </c>
      <c r="F560" t="s">
        <v>90</v>
      </c>
      <c r="G560" t="s">
        <v>25</v>
      </c>
      <c r="H560" t="s">
        <v>122</v>
      </c>
      <c r="I560" t="s">
        <v>123</v>
      </c>
      <c r="J560" t="s">
        <v>74</v>
      </c>
      <c r="K560" t="s">
        <v>274</v>
      </c>
      <c r="L560" t="s">
        <v>1773</v>
      </c>
      <c r="M560" t="s">
        <v>50</v>
      </c>
      <c r="N560">
        <v>8</v>
      </c>
      <c r="O560">
        <v>3079.95</v>
      </c>
      <c r="P560">
        <v>0.2</v>
      </c>
      <c r="Q560" s="7">
        <f>IF(P560="", 0, P560)</f>
        <v>0.2</v>
      </c>
      <c r="R560">
        <v>19711.68</v>
      </c>
      <c r="S560">
        <v>14461.8</v>
      </c>
      <c r="T560" s="7">
        <f>N560*O560*(1-Q560)</f>
        <v>19711.68</v>
      </c>
      <c r="U560" s="7">
        <f t="shared" si="48"/>
        <v>5249.880000000001</v>
      </c>
      <c r="V560">
        <v>5249.88</v>
      </c>
      <c r="W560" s="12">
        <f t="shared" si="49"/>
        <v>0.26633346320557155</v>
      </c>
      <c r="X560" t="s">
        <v>32</v>
      </c>
      <c r="Y560" t="str">
        <f t="shared" si="50"/>
        <v>Paid</v>
      </c>
      <c r="Z560" t="s">
        <v>33</v>
      </c>
      <c r="AA560">
        <f>C560-B560</f>
        <v>302</v>
      </c>
      <c r="AB560" t="str">
        <f>IF(B560="","Missing Order Date",
IF(C560="","Missing Ship Date","OK"))</f>
        <v>OK</v>
      </c>
      <c r="AC560" s="7" t="str">
        <f>IF(C560&lt;B560, "Invalid", "Valid")</f>
        <v>Valid</v>
      </c>
      <c r="AD560" s="7" t="str">
        <f>IF(COUNTIF($A:$A, A560)&gt;1, "Duplicate", "Unique")</f>
        <v>Unique</v>
      </c>
      <c r="AE560" s="7" t="str">
        <f>IF(G560="","Unknown",G560)</f>
        <v>North</v>
      </c>
      <c r="AF560" s="7" t="str">
        <f>IF(M560="","Unknown",M560)</f>
        <v>First Class</v>
      </c>
      <c r="AG560" s="7" t="str">
        <f>IF(P560&lt;0,"Invalid",
IF(P560&gt;1,"Invalid","Valid"))</f>
        <v>Valid</v>
      </c>
      <c r="AH560" s="7" t="str">
        <f>TEXT(B560,"mmmm")</f>
        <v>April</v>
      </c>
      <c r="AI560" s="7">
        <f t="shared" si="51"/>
        <v>2025</v>
      </c>
      <c r="AJ560" s="7" t="str">
        <f>IF(OR(R560&lt;0,C560&lt;B560),"Invalid",
IF(OR(G560="Unknown",M560="Unknown"),"Warning","Clean"))</f>
        <v>Clean</v>
      </c>
      <c r="AK560" s="7" t="str">
        <f>IF(C560&lt;B560,"Ship Before Order","OK")</f>
        <v>OK</v>
      </c>
      <c r="AL560" s="7" t="str">
        <f>IF(ISNUMBER(B560),"Valid","Invalid")</f>
        <v>Valid</v>
      </c>
      <c r="AM560" s="7" t="str">
        <f t="shared" si="52"/>
        <v>Ok</v>
      </c>
      <c r="AN560" s="7" t="str">
        <f t="shared" si="53"/>
        <v>Ok</v>
      </c>
    </row>
    <row r="561" spans="1:40">
      <c r="A561" t="s">
        <v>1774</v>
      </c>
      <c r="B561" s="6">
        <v>45930</v>
      </c>
      <c r="C561" s="4">
        <v>46059</v>
      </c>
      <c r="D561" t="s">
        <v>1775</v>
      </c>
      <c r="E561" t="s">
        <v>162</v>
      </c>
      <c r="F561" t="s">
        <v>90</v>
      </c>
      <c r="G561" t="s">
        <v>38</v>
      </c>
      <c r="H561" t="s">
        <v>145</v>
      </c>
      <c r="I561" t="s">
        <v>146</v>
      </c>
      <c r="J561" t="s">
        <v>74</v>
      </c>
      <c r="K561" t="s">
        <v>80</v>
      </c>
      <c r="L561" t="s">
        <v>1776</v>
      </c>
      <c r="M561" t="s">
        <v>31</v>
      </c>
      <c r="N561">
        <v>5</v>
      </c>
      <c r="O561">
        <v>3277.82</v>
      </c>
      <c r="P561">
        <v>0.1</v>
      </c>
      <c r="Q561" s="7">
        <f>IF(P561="", 0, P561)</f>
        <v>0.1</v>
      </c>
      <c r="R561">
        <v>14750.19</v>
      </c>
      <c r="S561">
        <v>9482.58</v>
      </c>
      <c r="T561" s="7">
        <f>N561*O561*(1-Q561)</f>
        <v>14750.190000000002</v>
      </c>
      <c r="U561" s="7">
        <f t="shared" si="48"/>
        <v>5267.6100000000024</v>
      </c>
      <c r="V561">
        <v>5267.61</v>
      </c>
      <c r="W561" s="12">
        <f t="shared" si="49"/>
        <v>0.35712150148574368</v>
      </c>
      <c r="X561" t="s">
        <v>32</v>
      </c>
      <c r="Y561" t="str">
        <f t="shared" si="50"/>
        <v>Paid</v>
      </c>
      <c r="Z561" t="s">
        <v>103</v>
      </c>
      <c r="AA561">
        <f>C561-B561</f>
        <v>129</v>
      </c>
      <c r="AB561" t="str">
        <f>IF(B561="","Missing Order Date",
IF(C561="","Missing Ship Date","OK"))</f>
        <v>OK</v>
      </c>
      <c r="AC561" s="7" t="str">
        <f>IF(C561&lt;B561, "Invalid", "Valid")</f>
        <v>Valid</v>
      </c>
      <c r="AD561" s="7" t="str">
        <f>IF(COUNTIF($A:$A, A561)&gt;1, "Duplicate", "Unique")</f>
        <v>Unique</v>
      </c>
      <c r="AE561" s="7" t="str">
        <f>IF(G561="","Unknown",G561)</f>
        <v>East</v>
      </c>
      <c r="AF561" s="7" t="str">
        <f>IF(M561="","Unknown",M561)</f>
        <v>Second Class</v>
      </c>
      <c r="AG561" s="7" t="str">
        <f>IF(P561&lt;0,"Invalid",
IF(P561&gt;1,"Invalid","Valid"))</f>
        <v>Valid</v>
      </c>
      <c r="AH561" s="7" t="str">
        <f>TEXT(B561,"mmmm")</f>
        <v>September</v>
      </c>
      <c r="AI561" s="7">
        <f t="shared" si="51"/>
        <v>2025</v>
      </c>
      <c r="AJ561" s="7" t="str">
        <f>IF(OR(R561&lt;0,C561&lt;B561),"Invalid",
IF(OR(G561="Unknown",M561="Unknown"),"Warning","Clean"))</f>
        <v>Clean</v>
      </c>
      <c r="AK561" s="7" t="str">
        <f>IF(C561&lt;B561,"Ship Before Order","OK")</f>
        <v>OK</v>
      </c>
      <c r="AL561" s="7" t="str">
        <f>IF(ISNUMBER(B561),"Valid","Invalid")</f>
        <v>Valid</v>
      </c>
      <c r="AM561" s="7" t="str">
        <f t="shared" si="52"/>
        <v>Ok</v>
      </c>
      <c r="AN561" s="7" t="str">
        <f t="shared" si="53"/>
        <v>Ok</v>
      </c>
    </row>
    <row r="562" spans="1:40">
      <c r="A562" t="s">
        <v>1777</v>
      </c>
      <c r="B562" s="6">
        <v>45307</v>
      </c>
      <c r="C562" s="4">
        <v>46060</v>
      </c>
      <c r="D562" t="s">
        <v>1778</v>
      </c>
      <c r="E562" t="s">
        <v>53</v>
      </c>
      <c r="F562" t="s">
        <v>24</v>
      </c>
      <c r="G562" t="s">
        <v>63</v>
      </c>
      <c r="H562" t="s">
        <v>190</v>
      </c>
      <c r="I562" t="s">
        <v>191</v>
      </c>
      <c r="J562" t="s">
        <v>28</v>
      </c>
      <c r="K562" t="s">
        <v>124</v>
      </c>
      <c r="L562" t="s">
        <v>1779</v>
      </c>
      <c r="M562" t="s">
        <v>59</v>
      </c>
      <c r="N562">
        <v>4</v>
      </c>
      <c r="O562">
        <v>282.52999999999997</v>
      </c>
      <c r="P562">
        <v>0</v>
      </c>
      <c r="Q562" s="7">
        <f>IF(P562="", 0, P562)</f>
        <v>0</v>
      </c>
      <c r="R562">
        <v>1130.1199999999999</v>
      </c>
      <c r="S562">
        <v>848.62</v>
      </c>
      <c r="T562" s="7">
        <f>N562*O562*(1-Q562)</f>
        <v>1130.1199999999999</v>
      </c>
      <c r="U562" s="7">
        <f t="shared" si="48"/>
        <v>281.49999999999989</v>
      </c>
      <c r="V562">
        <v>281.5</v>
      </c>
      <c r="W562" s="12">
        <f t="shared" si="49"/>
        <v>0.249088592361873</v>
      </c>
      <c r="X562" t="s">
        <v>32</v>
      </c>
      <c r="Y562" t="str">
        <f t="shared" si="50"/>
        <v>Paid</v>
      </c>
      <c r="Z562" t="s">
        <v>68</v>
      </c>
      <c r="AA562">
        <f>C562-B562</f>
        <v>753</v>
      </c>
      <c r="AB562" t="str">
        <f>IF(B562="","Missing Order Date",
IF(C562="","Missing Ship Date","OK"))</f>
        <v>OK</v>
      </c>
      <c r="AC562" s="7" t="str">
        <f>IF(C562&lt;B562, "Invalid", "Valid")</f>
        <v>Valid</v>
      </c>
      <c r="AD562" s="7" t="str">
        <f>IF(COUNTIF($A:$A, A562)&gt;1, "Duplicate", "Unique")</f>
        <v>Unique</v>
      </c>
      <c r="AE562" s="7" t="str">
        <f>IF(G562="","Unknown",G562)</f>
        <v>West</v>
      </c>
      <c r="AF562" s="7" t="str">
        <f>IF(M562="","Unknown",M562)</f>
        <v>Standard Class</v>
      </c>
      <c r="AG562" s="7" t="str">
        <f>IF(P562&lt;0,"Invalid",
IF(P562&gt;1,"Invalid","Valid"))</f>
        <v>Valid</v>
      </c>
      <c r="AH562" s="7" t="str">
        <f>TEXT(B562,"mmmm")</f>
        <v>January</v>
      </c>
      <c r="AI562" s="7">
        <f t="shared" si="51"/>
        <v>2024</v>
      </c>
      <c r="AJ562" s="7" t="str">
        <f>IF(OR(R562&lt;0,C562&lt;B562),"Invalid",
IF(OR(G562="Unknown",M562="Unknown"),"Warning","Clean"))</f>
        <v>Clean</v>
      </c>
      <c r="AK562" s="7" t="str">
        <f>IF(C562&lt;B562,"Ship Before Order","OK")</f>
        <v>OK</v>
      </c>
      <c r="AL562" s="7" t="str">
        <f>IF(ISNUMBER(B562),"Valid","Invalid")</f>
        <v>Valid</v>
      </c>
      <c r="AM562" s="7" t="str">
        <f t="shared" si="52"/>
        <v>Ok</v>
      </c>
      <c r="AN562" s="7" t="str">
        <f t="shared" si="53"/>
        <v>Ok</v>
      </c>
    </row>
    <row r="563" spans="1:40">
      <c r="A563" t="s">
        <v>1780</v>
      </c>
      <c r="B563" s="6">
        <v>45852</v>
      </c>
      <c r="C563" s="4">
        <v>46061</v>
      </c>
      <c r="D563" t="s">
        <v>1781</v>
      </c>
      <c r="E563" t="s">
        <v>89</v>
      </c>
      <c r="F563" t="s">
        <v>24</v>
      </c>
      <c r="G563" t="s">
        <v>25</v>
      </c>
      <c r="H563" t="s">
        <v>122</v>
      </c>
      <c r="I563" t="s">
        <v>123</v>
      </c>
      <c r="J563" t="s">
        <v>74</v>
      </c>
      <c r="K563" t="s">
        <v>80</v>
      </c>
      <c r="L563" t="s">
        <v>1782</v>
      </c>
      <c r="M563" t="s">
        <v>50</v>
      </c>
      <c r="N563">
        <v>4</v>
      </c>
      <c r="O563">
        <v>725.22</v>
      </c>
      <c r="P563">
        <v>0</v>
      </c>
      <c r="Q563" s="7">
        <f>IF(P563="", 0, P563)</f>
        <v>0</v>
      </c>
      <c r="R563">
        <v>2900.88</v>
      </c>
      <c r="S563">
        <v>2391.85</v>
      </c>
      <c r="T563" s="7">
        <f>N563*O563*(1-Q563)</f>
        <v>2900.88</v>
      </c>
      <c r="U563" s="7">
        <f t="shared" si="48"/>
        <v>509.0300000000002</v>
      </c>
      <c r="V563">
        <v>509.03</v>
      </c>
      <c r="W563" s="12">
        <f t="shared" si="49"/>
        <v>0.17547433882132324</v>
      </c>
      <c r="X563" t="s">
        <v>111</v>
      </c>
      <c r="Y563" t="str">
        <f t="shared" si="50"/>
        <v>Pending</v>
      </c>
      <c r="Z563" t="s">
        <v>103</v>
      </c>
      <c r="AA563">
        <f>C563-B563</f>
        <v>209</v>
      </c>
      <c r="AB563" t="str">
        <f>IF(B563="","Missing Order Date",
IF(C563="","Missing Ship Date","OK"))</f>
        <v>OK</v>
      </c>
      <c r="AC563" s="7" t="str">
        <f>IF(C563&lt;B563, "Invalid", "Valid")</f>
        <v>Valid</v>
      </c>
      <c r="AD563" s="7" t="str">
        <f>IF(COUNTIF($A:$A, A563)&gt;1, "Duplicate", "Unique")</f>
        <v>Unique</v>
      </c>
      <c r="AE563" s="7" t="str">
        <f>IF(G563="","Unknown",G563)</f>
        <v>North</v>
      </c>
      <c r="AF563" s="7" t="str">
        <f>IF(M563="","Unknown",M563)</f>
        <v>First Class</v>
      </c>
      <c r="AG563" s="7" t="str">
        <f>IF(P563&lt;0,"Invalid",
IF(P563&gt;1,"Invalid","Valid"))</f>
        <v>Valid</v>
      </c>
      <c r="AH563" s="7" t="str">
        <f>TEXT(B563,"mmmm")</f>
        <v>July</v>
      </c>
      <c r="AI563" s="7">
        <f t="shared" si="51"/>
        <v>2025</v>
      </c>
      <c r="AJ563" s="7" t="str">
        <f>IF(OR(R563&lt;0,C563&lt;B563),"Invalid",
IF(OR(G563="Unknown",M563="Unknown"),"Warning","Clean"))</f>
        <v>Clean</v>
      </c>
      <c r="AK563" s="7" t="str">
        <f>IF(C563&lt;B563,"Ship Before Order","OK")</f>
        <v>OK</v>
      </c>
      <c r="AL563" s="7" t="str">
        <f>IF(ISNUMBER(B563),"Valid","Invalid")</f>
        <v>Valid</v>
      </c>
      <c r="AM563" s="7" t="str">
        <f t="shared" si="52"/>
        <v>Ok</v>
      </c>
      <c r="AN563" s="7" t="str">
        <f t="shared" si="53"/>
        <v>Ok</v>
      </c>
    </row>
    <row r="564" spans="1:40">
      <c r="A564" t="s">
        <v>1783</v>
      </c>
      <c r="B564" s="6">
        <v>45570</v>
      </c>
      <c r="C564" s="4">
        <v>46062</v>
      </c>
      <c r="D564" t="s">
        <v>1784</v>
      </c>
      <c r="E564" t="s">
        <v>23</v>
      </c>
      <c r="F564" t="s">
        <v>24</v>
      </c>
      <c r="G564" t="s">
        <v>25</v>
      </c>
      <c r="H564" t="s">
        <v>122</v>
      </c>
      <c r="I564" t="s">
        <v>123</v>
      </c>
      <c r="J564" t="s">
        <v>28</v>
      </c>
      <c r="K564" t="s">
        <v>153</v>
      </c>
      <c r="L564" t="s">
        <v>1785</v>
      </c>
      <c r="M564" t="s">
        <v>44</v>
      </c>
      <c r="N564">
        <v>7</v>
      </c>
      <c r="O564">
        <v>121.54</v>
      </c>
      <c r="P564">
        <v>0.2</v>
      </c>
      <c r="Q564" s="7">
        <f>IF(P564="", 0, P564)</f>
        <v>0.2</v>
      </c>
      <c r="R564">
        <v>680.62</v>
      </c>
      <c r="S564">
        <v>463.49</v>
      </c>
      <c r="T564" s="7">
        <f>N564*O564*(1-Q564)</f>
        <v>680.62400000000014</v>
      </c>
      <c r="U564" s="7">
        <f t="shared" si="48"/>
        <v>217.13400000000013</v>
      </c>
      <c r="V564">
        <v>217.13</v>
      </c>
      <c r="W564" s="12">
        <f t="shared" si="49"/>
        <v>0.31902195632243363</v>
      </c>
      <c r="X564" t="s">
        <v>155</v>
      </c>
      <c r="Y564" t="str">
        <f t="shared" si="50"/>
        <v>Failed</v>
      </c>
      <c r="Z564" t="s">
        <v>103</v>
      </c>
      <c r="AA564">
        <f>C564-B564</f>
        <v>492</v>
      </c>
      <c r="AB564" t="str">
        <f>IF(B564="","Missing Order Date",
IF(C564="","Missing Ship Date","OK"))</f>
        <v>OK</v>
      </c>
      <c r="AC564" s="7" t="str">
        <f>IF(C564&lt;B564, "Invalid", "Valid")</f>
        <v>Valid</v>
      </c>
      <c r="AD564" s="7" t="str">
        <f>IF(COUNTIF($A:$A, A564)&gt;1, "Duplicate", "Unique")</f>
        <v>Unique</v>
      </c>
      <c r="AE564" s="7" t="str">
        <f>IF(G564="","Unknown",G564)</f>
        <v>North</v>
      </c>
      <c r="AF564" s="7" t="str">
        <f>IF(M564="","Unknown",M564)</f>
        <v>Same Day</v>
      </c>
      <c r="AG564" s="7" t="str">
        <f>IF(P564&lt;0,"Invalid",
IF(P564&gt;1,"Invalid","Valid"))</f>
        <v>Valid</v>
      </c>
      <c r="AH564" s="7" t="str">
        <f>TEXT(B564,"mmmm")</f>
        <v>October</v>
      </c>
      <c r="AI564" s="7">
        <f t="shared" si="51"/>
        <v>2024</v>
      </c>
      <c r="AJ564" s="7" t="str">
        <f>IF(OR(R564&lt;0,C564&lt;B564),"Invalid",
IF(OR(G564="Unknown",M564="Unknown"),"Warning","Clean"))</f>
        <v>Clean</v>
      </c>
      <c r="AK564" s="7" t="str">
        <f>IF(C564&lt;B564,"Ship Before Order","OK")</f>
        <v>OK</v>
      </c>
      <c r="AL564" s="7" t="str">
        <f>IF(ISNUMBER(B564),"Valid","Invalid")</f>
        <v>Valid</v>
      </c>
      <c r="AM564" s="7" t="str">
        <f t="shared" si="52"/>
        <v>Missmatched</v>
      </c>
      <c r="AN564" s="7" t="str">
        <f t="shared" si="53"/>
        <v>Missmatched</v>
      </c>
    </row>
    <row r="565" spans="1:40">
      <c r="A565" t="s">
        <v>1786</v>
      </c>
      <c r="B565" s="6">
        <v>45448</v>
      </c>
      <c r="C565" s="4">
        <v>46063</v>
      </c>
      <c r="D565" t="s">
        <v>1787</v>
      </c>
      <c r="E565" t="s">
        <v>53</v>
      </c>
      <c r="F565" t="s">
        <v>90</v>
      </c>
      <c r="G565" t="s">
        <v>63</v>
      </c>
      <c r="H565" t="s">
        <v>190</v>
      </c>
      <c r="I565" t="s">
        <v>191</v>
      </c>
      <c r="J565" t="s">
        <v>41</v>
      </c>
      <c r="K565" t="s">
        <v>42</v>
      </c>
      <c r="L565" t="s">
        <v>1788</v>
      </c>
      <c r="M565" t="s">
        <v>59</v>
      </c>
      <c r="N565">
        <v>9</v>
      </c>
      <c r="O565">
        <v>790.97</v>
      </c>
      <c r="P565">
        <v>0.2</v>
      </c>
      <c r="Q565" s="7">
        <f>IF(P565="", 0, P565)</f>
        <v>0.2</v>
      </c>
      <c r="R565">
        <v>5694.98</v>
      </c>
      <c r="S565">
        <v>4618.33</v>
      </c>
      <c r="T565" s="7">
        <f>N565*O565*(1-Q565)</f>
        <v>5694.9840000000004</v>
      </c>
      <c r="U565" s="7">
        <f t="shared" si="48"/>
        <v>1076.6540000000005</v>
      </c>
      <c r="V565">
        <v>1076.6500000000001</v>
      </c>
      <c r="W565" s="12">
        <f t="shared" si="49"/>
        <v>0.1890530333360024</v>
      </c>
      <c r="X565" t="s">
        <v>111</v>
      </c>
      <c r="Y565" t="str">
        <f t="shared" si="50"/>
        <v>Pending</v>
      </c>
      <c r="Z565" t="s">
        <v>68</v>
      </c>
      <c r="AA565">
        <f>C565-B565</f>
        <v>615</v>
      </c>
      <c r="AB565" t="str">
        <f>IF(B565="","Missing Order Date",
IF(C565="","Missing Ship Date","OK"))</f>
        <v>OK</v>
      </c>
      <c r="AC565" s="7" t="str">
        <f>IF(C565&lt;B565, "Invalid", "Valid")</f>
        <v>Valid</v>
      </c>
      <c r="AD565" s="7" t="str">
        <f>IF(COUNTIF($A:$A, A565)&gt;1, "Duplicate", "Unique")</f>
        <v>Unique</v>
      </c>
      <c r="AE565" s="7" t="str">
        <f>IF(G565="","Unknown",G565)</f>
        <v>West</v>
      </c>
      <c r="AF565" s="7" t="str">
        <f>IF(M565="","Unknown",M565)</f>
        <v>Standard Class</v>
      </c>
      <c r="AG565" s="7" t="str">
        <f>IF(P565&lt;0,"Invalid",
IF(P565&gt;1,"Invalid","Valid"))</f>
        <v>Valid</v>
      </c>
      <c r="AH565" s="7" t="str">
        <f>TEXT(B565,"mmmm")</f>
        <v>June</v>
      </c>
      <c r="AI565" s="7">
        <f t="shared" si="51"/>
        <v>2024</v>
      </c>
      <c r="AJ565" s="7" t="str">
        <f>IF(OR(R565&lt;0,C565&lt;B565),"Invalid",
IF(OR(G565="Unknown",M565="Unknown"),"Warning","Clean"))</f>
        <v>Clean</v>
      </c>
      <c r="AK565" s="7" t="str">
        <f>IF(C565&lt;B565,"Ship Before Order","OK")</f>
        <v>OK</v>
      </c>
      <c r="AL565" s="7" t="str">
        <f>IF(ISNUMBER(B565),"Valid","Invalid")</f>
        <v>Valid</v>
      </c>
      <c r="AM565" s="7" t="str">
        <f t="shared" si="52"/>
        <v>Missmatched</v>
      </c>
      <c r="AN565" s="7" t="str">
        <f t="shared" si="53"/>
        <v>Missmatched</v>
      </c>
    </row>
    <row r="566" spans="1:40">
      <c r="A566" t="s">
        <v>1789</v>
      </c>
      <c r="B566" s="6">
        <v>45576</v>
      </c>
      <c r="C566" s="4">
        <v>46064</v>
      </c>
      <c r="D566" t="s">
        <v>1790</v>
      </c>
      <c r="E566" t="s">
        <v>132</v>
      </c>
      <c r="F566" t="s">
        <v>90</v>
      </c>
      <c r="G566" t="s">
        <v>54</v>
      </c>
      <c r="H566" t="s">
        <v>84</v>
      </c>
      <c r="I566" t="s">
        <v>85</v>
      </c>
      <c r="J566" t="s">
        <v>41</v>
      </c>
      <c r="K566" t="s">
        <v>42</v>
      </c>
      <c r="L566" t="s">
        <v>1791</v>
      </c>
      <c r="M566" t="s">
        <v>50</v>
      </c>
      <c r="N566">
        <v>2</v>
      </c>
      <c r="O566">
        <v>921.34</v>
      </c>
      <c r="P566">
        <v>0.2</v>
      </c>
      <c r="Q566" s="7">
        <f>IF(P566="", 0, P566)</f>
        <v>0.2</v>
      </c>
      <c r="R566">
        <v>1474.14</v>
      </c>
      <c r="S566">
        <v>968.46</v>
      </c>
      <c r="T566" s="7">
        <f>N566*O566*(1-Q566)</f>
        <v>1474.1440000000002</v>
      </c>
      <c r="U566" s="7">
        <f t="shared" si="48"/>
        <v>505.6840000000002</v>
      </c>
      <c r="V566">
        <v>505.68</v>
      </c>
      <c r="W566" s="12">
        <f t="shared" si="49"/>
        <v>0.34303568715132315</v>
      </c>
      <c r="X566" t="s">
        <v>32</v>
      </c>
      <c r="Y566" t="str">
        <f t="shared" si="50"/>
        <v>Paid</v>
      </c>
      <c r="Z566" t="s">
        <v>33</v>
      </c>
      <c r="AA566">
        <f>C566-B566</f>
        <v>488</v>
      </c>
      <c r="AB566" t="str">
        <f>IF(B566="","Missing Order Date",
IF(C566="","Missing Ship Date","OK"))</f>
        <v>OK</v>
      </c>
      <c r="AC566" s="7" t="str">
        <f>IF(C566&lt;B566, "Invalid", "Valid")</f>
        <v>Valid</v>
      </c>
      <c r="AD566" s="7" t="str">
        <f>IF(COUNTIF($A:$A, A566)&gt;1, "Duplicate", "Unique")</f>
        <v>Unique</v>
      </c>
      <c r="AE566" s="7" t="str">
        <f>IF(G566="","Unknown",G566)</f>
        <v>South</v>
      </c>
      <c r="AF566" s="7" t="str">
        <f>IF(M566="","Unknown",M566)</f>
        <v>First Class</v>
      </c>
      <c r="AG566" s="7" t="str">
        <f>IF(P566&lt;0,"Invalid",
IF(P566&gt;1,"Invalid","Valid"))</f>
        <v>Valid</v>
      </c>
      <c r="AH566" s="7" t="str">
        <f>TEXT(B566,"mmmm")</f>
        <v>October</v>
      </c>
      <c r="AI566" s="7">
        <f t="shared" si="51"/>
        <v>2024</v>
      </c>
      <c r="AJ566" s="7" t="str">
        <f>IF(OR(R566&lt;0,C566&lt;B566),"Invalid",
IF(OR(G566="Unknown",M566="Unknown"),"Warning","Clean"))</f>
        <v>Clean</v>
      </c>
      <c r="AK566" s="7" t="str">
        <f>IF(C566&lt;B566,"Ship Before Order","OK")</f>
        <v>OK</v>
      </c>
      <c r="AL566" s="7" t="str">
        <f>IF(ISNUMBER(B566),"Valid","Invalid")</f>
        <v>Valid</v>
      </c>
      <c r="AM566" s="7" t="str">
        <f t="shared" si="52"/>
        <v>Missmatched</v>
      </c>
      <c r="AN566" s="7" t="str">
        <f t="shared" si="53"/>
        <v>Missmatched</v>
      </c>
    </row>
    <row r="567" spans="1:40">
      <c r="A567" t="s">
        <v>1792</v>
      </c>
      <c r="B567" s="6">
        <v>45846</v>
      </c>
      <c r="C567" s="4">
        <v>46065</v>
      </c>
      <c r="D567" t="s">
        <v>1793</v>
      </c>
      <c r="E567" t="s">
        <v>36</v>
      </c>
      <c r="F567" t="s">
        <v>90</v>
      </c>
      <c r="G567" t="s">
        <v>25</v>
      </c>
      <c r="H567" t="s">
        <v>350</v>
      </c>
      <c r="I567" t="s">
        <v>351</v>
      </c>
      <c r="J567" t="s">
        <v>74</v>
      </c>
      <c r="K567" t="s">
        <v>171</v>
      </c>
      <c r="L567" t="s">
        <v>1794</v>
      </c>
      <c r="M567" t="s">
        <v>59</v>
      </c>
      <c r="N567">
        <v>6</v>
      </c>
      <c r="O567">
        <v>1921.86</v>
      </c>
      <c r="P567">
        <v>0.2</v>
      </c>
      <c r="Q567" s="7">
        <f>IF(P567="", 0, P567)</f>
        <v>0.2</v>
      </c>
      <c r="R567">
        <v>9224.93</v>
      </c>
      <c r="S567">
        <v>7005.2</v>
      </c>
      <c r="T567" s="7">
        <f>N567*O567*(1-Q567)</f>
        <v>9224.9279999999999</v>
      </c>
      <c r="U567" s="7">
        <f t="shared" si="48"/>
        <v>2219.7280000000001</v>
      </c>
      <c r="V567">
        <v>2219.73</v>
      </c>
      <c r="W567" s="12">
        <f t="shared" si="49"/>
        <v>0.24062279944081949</v>
      </c>
      <c r="X567" t="s">
        <v>102</v>
      </c>
      <c r="Y567" t="str">
        <f t="shared" si="50"/>
        <v>Refunded</v>
      </c>
      <c r="Z567" t="s">
        <v>68</v>
      </c>
      <c r="AA567">
        <f>C567-B567</f>
        <v>219</v>
      </c>
      <c r="AB567" t="str">
        <f>IF(B567="","Missing Order Date",
IF(C567="","Missing Ship Date","OK"))</f>
        <v>OK</v>
      </c>
      <c r="AC567" s="7" t="str">
        <f>IF(C567&lt;B567, "Invalid", "Valid")</f>
        <v>Valid</v>
      </c>
      <c r="AD567" s="7" t="str">
        <f>IF(COUNTIF($A:$A, A567)&gt;1, "Duplicate", "Unique")</f>
        <v>Unique</v>
      </c>
      <c r="AE567" s="7" t="str">
        <f>IF(G567="","Unknown",G567)</f>
        <v>North</v>
      </c>
      <c r="AF567" s="7" t="str">
        <f>IF(M567="","Unknown",M567)</f>
        <v>Standard Class</v>
      </c>
      <c r="AG567" s="7" t="str">
        <f>IF(P567&lt;0,"Invalid",
IF(P567&gt;1,"Invalid","Valid"))</f>
        <v>Valid</v>
      </c>
      <c r="AH567" s="7" t="str">
        <f>TEXT(B567,"mmmm")</f>
        <v>July</v>
      </c>
      <c r="AI567" s="7">
        <f t="shared" si="51"/>
        <v>2025</v>
      </c>
      <c r="AJ567" s="7" t="str">
        <f>IF(OR(R567&lt;0,C567&lt;B567),"Invalid",
IF(OR(G567="Unknown",M567="Unknown"),"Warning","Clean"))</f>
        <v>Clean</v>
      </c>
      <c r="AK567" s="7" t="str">
        <f>IF(C567&lt;B567,"Ship Before Order","OK")</f>
        <v>OK</v>
      </c>
      <c r="AL567" s="7" t="str">
        <f>IF(ISNUMBER(B567),"Valid","Invalid")</f>
        <v>Valid</v>
      </c>
      <c r="AM567" s="7" t="str">
        <f t="shared" si="52"/>
        <v>Missmatched</v>
      </c>
      <c r="AN567" s="7" t="str">
        <f t="shared" si="53"/>
        <v>Missmatched</v>
      </c>
    </row>
    <row r="568" spans="1:40">
      <c r="A568" t="s">
        <v>1795</v>
      </c>
      <c r="B568" s="6">
        <v>45604</v>
      </c>
      <c r="C568" s="4">
        <v>46066</v>
      </c>
      <c r="D568" t="s">
        <v>1796</v>
      </c>
      <c r="E568" t="s">
        <v>132</v>
      </c>
      <c r="F568" t="s">
        <v>37</v>
      </c>
      <c r="G568" t="s">
        <v>63</v>
      </c>
      <c r="H568" t="s">
        <v>64</v>
      </c>
      <c r="I568" t="s">
        <v>65</v>
      </c>
      <c r="J568" t="s">
        <v>28</v>
      </c>
      <c r="K568" t="s">
        <v>29</v>
      </c>
      <c r="L568" t="s">
        <v>1797</v>
      </c>
      <c r="M568" t="s">
        <v>44</v>
      </c>
      <c r="N568">
        <v>2</v>
      </c>
      <c r="O568">
        <v>2617.89</v>
      </c>
      <c r="P568">
        <v>0.1</v>
      </c>
      <c r="Q568" s="7">
        <f>IF(P568="", 0, P568)</f>
        <v>0.1</v>
      </c>
      <c r="R568">
        <v>4712.2</v>
      </c>
      <c r="S568">
        <v>3851.91</v>
      </c>
      <c r="T568" s="7">
        <f>N568*O568*(1-Q568)</f>
        <v>4712.2020000000002</v>
      </c>
      <c r="U568" s="7">
        <f t="shared" si="48"/>
        <v>860.29200000000037</v>
      </c>
      <c r="V568">
        <v>860.29</v>
      </c>
      <c r="W568" s="12">
        <f t="shared" si="49"/>
        <v>0.18256687637754077</v>
      </c>
      <c r="X568" t="s">
        <v>155</v>
      </c>
      <c r="Y568" t="str">
        <f t="shared" si="50"/>
        <v>Failed</v>
      </c>
      <c r="Z568" t="s">
        <v>103</v>
      </c>
      <c r="AA568">
        <f>C568-B568</f>
        <v>462</v>
      </c>
      <c r="AB568" t="str">
        <f>IF(B568="","Missing Order Date",
IF(C568="","Missing Ship Date","OK"))</f>
        <v>OK</v>
      </c>
      <c r="AC568" s="7" t="str">
        <f>IF(C568&lt;B568, "Invalid", "Valid")</f>
        <v>Valid</v>
      </c>
      <c r="AD568" s="7" t="str">
        <f>IF(COUNTIF($A:$A, A568)&gt;1, "Duplicate", "Unique")</f>
        <v>Unique</v>
      </c>
      <c r="AE568" s="7" t="str">
        <f>IF(G568="","Unknown",G568)</f>
        <v>West</v>
      </c>
      <c r="AF568" s="7" t="str">
        <f>IF(M568="","Unknown",M568)</f>
        <v>Same Day</v>
      </c>
      <c r="AG568" s="7" t="str">
        <f>IF(P568&lt;0,"Invalid",
IF(P568&gt;1,"Invalid","Valid"))</f>
        <v>Valid</v>
      </c>
      <c r="AH568" s="7" t="str">
        <f>TEXT(B568,"mmmm")</f>
        <v>November</v>
      </c>
      <c r="AI568" s="7">
        <f t="shared" si="51"/>
        <v>2024</v>
      </c>
      <c r="AJ568" s="7" t="str">
        <f>IF(OR(R568&lt;0,C568&lt;B568),"Invalid",
IF(OR(G568="Unknown",M568="Unknown"),"Warning","Clean"))</f>
        <v>Clean</v>
      </c>
      <c r="AK568" s="7" t="str">
        <f>IF(C568&lt;B568,"Ship Before Order","OK")</f>
        <v>OK</v>
      </c>
      <c r="AL568" s="7" t="str">
        <f>IF(ISNUMBER(B568),"Valid","Invalid")</f>
        <v>Valid</v>
      </c>
      <c r="AM568" s="7" t="str">
        <f t="shared" si="52"/>
        <v>Missmatched</v>
      </c>
      <c r="AN568" s="7" t="str">
        <f t="shared" si="53"/>
        <v>Missmatched</v>
      </c>
    </row>
    <row r="569" spans="1:40">
      <c r="A569" t="s">
        <v>1798</v>
      </c>
      <c r="B569" s="6">
        <v>45445</v>
      </c>
      <c r="C569" s="4">
        <v>46067</v>
      </c>
      <c r="D569" t="s">
        <v>1799</v>
      </c>
      <c r="E569" t="s">
        <v>53</v>
      </c>
      <c r="F569" t="s">
        <v>95</v>
      </c>
      <c r="G569" t="s">
        <v>25</v>
      </c>
      <c r="H569" t="s">
        <v>136</v>
      </c>
      <c r="I569" t="s">
        <v>137</v>
      </c>
      <c r="J569" t="s">
        <v>41</v>
      </c>
      <c r="K569" t="s">
        <v>57</v>
      </c>
      <c r="L569" t="s">
        <v>597</v>
      </c>
      <c r="M569" t="s">
        <v>44</v>
      </c>
      <c r="N569">
        <v>1</v>
      </c>
      <c r="O569">
        <v>1374.06</v>
      </c>
      <c r="P569">
        <v>0.05</v>
      </c>
      <c r="Q569" s="7">
        <f>IF(P569="", 0, P569)</f>
        <v>0.05</v>
      </c>
      <c r="R569">
        <v>1305.3599999999999</v>
      </c>
      <c r="S569">
        <v>731.89</v>
      </c>
      <c r="T569" s="7">
        <f>N569*O569*(1-Q569)</f>
        <v>1305.357</v>
      </c>
      <c r="U569" s="7">
        <f t="shared" si="48"/>
        <v>573.46699999999998</v>
      </c>
      <c r="V569">
        <v>573.47</v>
      </c>
      <c r="W569" s="12">
        <f t="shared" si="49"/>
        <v>0.4393181328939133</v>
      </c>
      <c r="X569" t="s">
        <v>32</v>
      </c>
      <c r="Y569" t="str">
        <f t="shared" si="50"/>
        <v>Paid</v>
      </c>
      <c r="Z569" t="s">
        <v>33</v>
      </c>
      <c r="AA569">
        <f>C569-B569</f>
        <v>622</v>
      </c>
      <c r="AB569" t="str">
        <f>IF(B569="","Missing Order Date",
IF(C569="","Missing Ship Date","OK"))</f>
        <v>OK</v>
      </c>
      <c r="AC569" s="7" t="str">
        <f>IF(C569&lt;B569, "Invalid", "Valid")</f>
        <v>Valid</v>
      </c>
      <c r="AD569" s="7" t="str">
        <f>IF(COUNTIF($A:$A, A569)&gt;1, "Duplicate", "Unique")</f>
        <v>Unique</v>
      </c>
      <c r="AE569" s="7" t="str">
        <f>IF(G569="","Unknown",G569)</f>
        <v>North</v>
      </c>
      <c r="AF569" s="7" t="str">
        <f>IF(M569="","Unknown",M569)</f>
        <v>Same Day</v>
      </c>
      <c r="AG569" s="7" t="str">
        <f>IF(P569&lt;0,"Invalid",
IF(P569&gt;1,"Invalid","Valid"))</f>
        <v>Valid</v>
      </c>
      <c r="AH569" s="7" t="str">
        <f>TEXT(B569,"mmmm")</f>
        <v>June</v>
      </c>
      <c r="AI569" s="7">
        <f t="shared" si="51"/>
        <v>2024</v>
      </c>
      <c r="AJ569" s="7" t="str">
        <f>IF(OR(R569&lt;0,C569&lt;B569),"Invalid",
IF(OR(G569="Unknown",M569="Unknown"),"Warning","Clean"))</f>
        <v>Clean</v>
      </c>
      <c r="AK569" s="7" t="str">
        <f>IF(C569&lt;B569,"Ship Before Order","OK")</f>
        <v>OK</v>
      </c>
      <c r="AL569" s="7" t="str">
        <f>IF(ISNUMBER(B569),"Valid","Invalid")</f>
        <v>Valid</v>
      </c>
      <c r="AM569" s="7" t="str">
        <f t="shared" si="52"/>
        <v>Missmatched</v>
      </c>
      <c r="AN569" s="7" t="str">
        <f t="shared" si="53"/>
        <v>Missmatched</v>
      </c>
    </row>
    <row r="570" spans="1:40">
      <c r="A570" t="s">
        <v>1800</v>
      </c>
      <c r="B570" s="6">
        <v>45312</v>
      </c>
      <c r="C570" s="4">
        <v>46068</v>
      </c>
      <c r="D570" t="s">
        <v>1801</v>
      </c>
      <c r="E570" t="s">
        <v>264</v>
      </c>
      <c r="F570" t="s">
        <v>90</v>
      </c>
      <c r="G570" t="s">
        <v>25</v>
      </c>
      <c r="H570" t="s">
        <v>122</v>
      </c>
      <c r="I570" t="s">
        <v>123</v>
      </c>
      <c r="J570" t="s">
        <v>74</v>
      </c>
      <c r="K570" t="s">
        <v>274</v>
      </c>
      <c r="L570" t="s">
        <v>1802</v>
      </c>
      <c r="M570" t="s">
        <v>44</v>
      </c>
      <c r="N570">
        <v>1</v>
      </c>
      <c r="O570">
        <v>3806.3</v>
      </c>
      <c r="P570">
        <v>0.25</v>
      </c>
      <c r="Q570" s="7">
        <f>IF(P570="", 0, P570)</f>
        <v>0.25</v>
      </c>
      <c r="R570">
        <v>2854.73</v>
      </c>
      <c r="S570">
        <v>1968.12</v>
      </c>
      <c r="T570" s="7">
        <f>N570*O570*(1-Q570)</f>
        <v>2854.7250000000004</v>
      </c>
      <c r="U570" s="7">
        <f t="shared" si="48"/>
        <v>886.60500000000047</v>
      </c>
      <c r="V570">
        <v>886.61</v>
      </c>
      <c r="W570" s="12">
        <f t="shared" si="49"/>
        <v>0.31057457373302172</v>
      </c>
      <c r="X570" t="s">
        <v>32</v>
      </c>
      <c r="Y570" t="str">
        <f t="shared" si="50"/>
        <v>Paid</v>
      </c>
      <c r="Z570" t="s">
        <v>33</v>
      </c>
      <c r="AA570">
        <f>C570-B570</f>
        <v>756</v>
      </c>
      <c r="AB570" t="str">
        <f>IF(B570="","Missing Order Date",
IF(C570="","Missing Ship Date","OK"))</f>
        <v>OK</v>
      </c>
      <c r="AC570" s="7" t="str">
        <f>IF(C570&lt;B570, "Invalid", "Valid")</f>
        <v>Valid</v>
      </c>
      <c r="AD570" s="7" t="str">
        <f>IF(COUNTIF($A:$A, A570)&gt;1, "Duplicate", "Unique")</f>
        <v>Unique</v>
      </c>
      <c r="AE570" s="7" t="str">
        <f>IF(G570="","Unknown",G570)</f>
        <v>North</v>
      </c>
      <c r="AF570" s="7" t="str">
        <f>IF(M570="","Unknown",M570)</f>
        <v>Same Day</v>
      </c>
      <c r="AG570" s="7" t="str">
        <f>IF(P570&lt;0,"Invalid",
IF(P570&gt;1,"Invalid","Valid"))</f>
        <v>Valid</v>
      </c>
      <c r="AH570" s="7" t="str">
        <f>TEXT(B570,"mmmm")</f>
        <v>January</v>
      </c>
      <c r="AI570" s="7">
        <f t="shared" si="51"/>
        <v>2024</v>
      </c>
      <c r="AJ570" s="7" t="str">
        <f>IF(OR(R570&lt;0,C570&lt;B570),"Invalid",
IF(OR(G570="Unknown",M570="Unknown"),"Warning","Clean"))</f>
        <v>Clean</v>
      </c>
      <c r="AK570" s="7" t="str">
        <f>IF(C570&lt;B570,"Ship Before Order","OK")</f>
        <v>OK</v>
      </c>
      <c r="AL570" s="7" t="str">
        <f>IF(ISNUMBER(B570),"Valid","Invalid")</f>
        <v>Valid</v>
      </c>
      <c r="AM570" s="7" t="str">
        <f t="shared" si="52"/>
        <v>Missmatched</v>
      </c>
      <c r="AN570" s="7" t="str">
        <f t="shared" si="53"/>
        <v>Missmatched</v>
      </c>
    </row>
    <row r="571" spans="1:40">
      <c r="A571" t="s">
        <v>1803</v>
      </c>
      <c r="B571" s="6">
        <v>45878</v>
      </c>
      <c r="C571" s="4">
        <v>46069</v>
      </c>
      <c r="D571" t="s">
        <v>1804</v>
      </c>
      <c r="E571" t="s">
        <v>118</v>
      </c>
      <c r="F571" t="s">
        <v>95</v>
      </c>
      <c r="G571" t="s">
        <v>63</v>
      </c>
      <c r="H571" t="s">
        <v>64</v>
      </c>
      <c r="I571" t="s">
        <v>65</v>
      </c>
      <c r="J571" t="s">
        <v>41</v>
      </c>
      <c r="K571" t="s">
        <v>57</v>
      </c>
      <c r="L571" t="s">
        <v>1805</v>
      </c>
      <c r="M571" t="s">
        <v>59</v>
      </c>
      <c r="N571">
        <v>6</v>
      </c>
      <c r="O571">
        <v>3251.17</v>
      </c>
      <c r="P571">
        <v>0.25</v>
      </c>
      <c r="Q571" s="7">
        <f>IF(P571="", 0, P571)</f>
        <v>0.25</v>
      </c>
      <c r="R571">
        <v>14630.26</v>
      </c>
      <c r="S571">
        <v>11906.36</v>
      </c>
      <c r="T571" s="7">
        <f>N571*O571*(1-Q571)</f>
        <v>14630.264999999999</v>
      </c>
      <c r="U571" s="7">
        <f t="shared" si="48"/>
        <v>2723.9049999999988</v>
      </c>
      <c r="V571">
        <v>2723.9</v>
      </c>
      <c r="W571" s="12">
        <f t="shared" si="49"/>
        <v>0.18618288868998606</v>
      </c>
      <c r="X571" t="s">
        <v>102</v>
      </c>
      <c r="Y571" t="str">
        <f t="shared" si="50"/>
        <v>Refunded</v>
      </c>
      <c r="Z571" t="s">
        <v>103</v>
      </c>
      <c r="AA571">
        <f>C571-B571</f>
        <v>191</v>
      </c>
      <c r="AB571" t="str">
        <f>IF(B571="","Missing Order Date",
IF(C571="","Missing Ship Date","OK"))</f>
        <v>OK</v>
      </c>
      <c r="AC571" s="7" t="str">
        <f>IF(C571&lt;B571, "Invalid", "Valid")</f>
        <v>Valid</v>
      </c>
      <c r="AD571" s="7" t="str">
        <f>IF(COUNTIF($A:$A, A571)&gt;1, "Duplicate", "Unique")</f>
        <v>Unique</v>
      </c>
      <c r="AE571" s="7" t="str">
        <f>IF(G571="","Unknown",G571)</f>
        <v>West</v>
      </c>
      <c r="AF571" s="7" t="str">
        <f>IF(M571="","Unknown",M571)</f>
        <v>Standard Class</v>
      </c>
      <c r="AG571" s="7" t="str">
        <f>IF(P571&lt;0,"Invalid",
IF(P571&gt;1,"Invalid","Valid"))</f>
        <v>Valid</v>
      </c>
      <c r="AH571" s="7" t="str">
        <f>TEXT(B571,"mmmm")</f>
        <v>August</v>
      </c>
      <c r="AI571" s="7">
        <f t="shared" si="51"/>
        <v>2025</v>
      </c>
      <c r="AJ571" s="7" t="str">
        <f>IF(OR(R571&lt;0,C571&lt;B571),"Invalid",
IF(OR(G571="Unknown",M571="Unknown"),"Warning","Clean"))</f>
        <v>Clean</v>
      </c>
      <c r="AK571" s="7" t="str">
        <f>IF(C571&lt;B571,"Ship Before Order","OK")</f>
        <v>OK</v>
      </c>
      <c r="AL571" s="7" t="str">
        <f>IF(ISNUMBER(B571),"Valid","Invalid")</f>
        <v>Valid</v>
      </c>
      <c r="AM571" s="7" t="str">
        <f t="shared" si="52"/>
        <v>Missmatched</v>
      </c>
      <c r="AN571" s="7" t="str">
        <f t="shared" si="53"/>
        <v>Missmatched</v>
      </c>
    </row>
    <row r="572" spans="1:40">
      <c r="A572" t="s">
        <v>1806</v>
      </c>
      <c r="B572" s="6">
        <v>45887</v>
      </c>
      <c r="C572" s="4">
        <v>46070</v>
      </c>
      <c r="D572" t="s">
        <v>1807</v>
      </c>
      <c r="E572" t="s">
        <v>53</v>
      </c>
      <c r="F572" t="s">
        <v>24</v>
      </c>
      <c r="G572" t="s">
        <v>38</v>
      </c>
      <c r="H572" t="s">
        <v>228</v>
      </c>
      <c r="I572" t="s">
        <v>229</v>
      </c>
      <c r="J572" t="s">
        <v>41</v>
      </c>
      <c r="K572" t="s">
        <v>57</v>
      </c>
      <c r="L572" t="s">
        <v>1808</v>
      </c>
      <c r="M572" t="s">
        <v>31</v>
      </c>
      <c r="N572">
        <v>3</v>
      </c>
      <c r="O572">
        <v>3946.44</v>
      </c>
      <c r="P572">
        <v>0.25</v>
      </c>
      <c r="Q572" s="7">
        <f>IF(P572="", 0, P572)</f>
        <v>0.25</v>
      </c>
      <c r="R572">
        <v>8879.49</v>
      </c>
      <c r="S572">
        <v>6344.57</v>
      </c>
      <c r="T572" s="7">
        <f>N572*O572*(1-Q572)</f>
        <v>8879.49</v>
      </c>
      <c r="U572" s="7">
        <f t="shared" si="48"/>
        <v>2534.92</v>
      </c>
      <c r="V572">
        <v>2534.92</v>
      </c>
      <c r="W572" s="12">
        <f t="shared" si="49"/>
        <v>0.28548035979543873</v>
      </c>
      <c r="X572" t="s">
        <v>155</v>
      </c>
      <c r="Y572" t="str">
        <f t="shared" si="50"/>
        <v>Failed</v>
      </c>
      <c r="Z572" t="s">
        <v>103</v>
      </c>
      <c r="AA572">
        <f>C572-B572</f>
        <v>183</v>
      </c>
      <c r="AB572" t="str">
        <f>IF(B572="","Missing Order Date",
IF(C572="","Missing Ship Date","OK"))</f>
        <v>OK</v>
      </c>
      <c r="AC572" s="7" t="str">
        <f>IF(C572&lt;B572, "Invalid", "Valid")</f>
        <v>Valid</v>
      </c>
      <c r="AD572" s="7" t="str">
        <f>IF(COUNTIF($A:$A, A572)&gt;1, "Duplicate", "Unique")</f>
        <v>Unique</v>
      </c>
      <c r="AE572" s="7" t="str">
        <f>IF(G572="","Unknown",G572)</f>
        <v>East</v>
      </c>
      <c r="AF572" s="7" t="str">
        <f>IF(M572="","Unknown",M572)</f>
        <v>Second Class</v>
      </c>
      <c r="AG572" s="7" t="str">
        <f>IF(P572&lt;0,"Invalid",
IF(P572&gt;1,"Invalid","Valid"))</f>
        <v>Valid</v>
      </c>
      <c r="AH572" s="7" t="str">
        <f>TEXT(B572,"mmmm")</f>
        <v>August</v>
      </c>
      <c r="AI572" s="7">
        <f t="shared" si="51"/>
        <v>2025</v>
      </c>
      <c r="AJ572" s="7" t="str">
        <f>IF(OR(R572&lt;0,C572&lt;B572),"Invalid",
IF(OR(G572="Unknown",M572="Unknown"),"Warning","Clean"))</f>
        <v>Clean</v>
      </c>
      <c r="AK572" s="7" t="str">
        <f>IF(C572&lt;B572,"Ship Before Order","OK")</f>
        <v>OK</v>
      </c>
      <c r="AL572" s="7" t="str">
        <f>IF(ISNUMBER(B572),"Valid","Invalid")</f>
        <v>Valid</v>
      </c>
      <c r="AM572" s="7" t="str">
        <f t="shared" si="52"/>
        <v>Ok</v>
      </c>
      <c r="AN572" s="7" t="str">
        <f t="shared" si="53"/>
        <v>Ok</v>
      </c>
    </row>
    <row r="573" spans="1:40">
      <c r="A573" t="s">
        <v>1809</v>
      </c>
      <c r="B573" s="6">
        <v>45932</v>
      </c>
      <c r="C573" s="4">
        <v>46071</v>
      </c>
      <c r="D573" t="s">
        <v>1810</v>
      </c>
      <c r="E573" t="s">
        <v>114</v>
      </c>
      <c r="F573" t="s">
        <v>37</v>
      </c>
      <c r="G573" t="s">
        <v>25</v>
      </c>
      <c r="H573" t="s">
        <v>136</v>
      </c>
      <c r="I573" t="s">
        <v>137</v>
      </c>
      <c r="J573" t="s">
        <v>74</v>
      </c>
      <c r="K573" t="s">
        <v>171</v>
      </c>
      <c r="L573" t="s">
        <v>1811</v>
      </c>
      <c r="M573" t="s">
        <v>2785</v>
      </c>
      <c r="N573">
        <v>5</v>
      </c>
      <c r="O573">
        <v>4276.29</v>
      </c>
      <c r="P573">
        <v>0</v>
      </c>
      <c r="Q573" s="7">
        <f>IF(P573="", 0, P573)</f>
        <v>0</v>
      </c>
      <c r="R573">
        <v>21381.45</v>
      </c>
      <c r="S573">
        <v>13240.21</v>
      </c>
      <c r="T573" s="7">
        <f>N573*O573*(1-Q573)</f>
        <v>21381.45</v>
      </c>
      <c r="U573" s="7">
        <f t="shared" si="48"/>
        <v>8141.2400000000016</v>
      </c>
      <c r="V573">
        <v>8141.24</v>
      </c>
      <c r="W573" s="12">
        <f t="shared" si="49"/>
        <v>0.38076182859441249</v>
      </c>
      <c r="X573" t="s">
        <v>155</v>
      </c>
      <c r="Y573" t="str">
        <f t="shared" si="50"/>
        <v>Failed</v>
      </c>
      <c r="Z573" t="s">
        <v>103</v>
      </c>
      <c r="AA573">
        <f>C573-B573</f>
        <v>139</v>
      </c>
      <c r="AB573" t="str">
        <f>IF(B573="","Missing Order Date",
IF(C573="","Missing Ship Date","OK"))</f>
        <v>OK</v>
      </c>
      <c r="AC573" s="7" t="str">
        <f>IF(C573&lt;B573, "Invalid", "Valid")</f>
        <v>Valid</v>
      </c>
      <c r="AD573" s="7" t="str">
        <f>IF(COUNTIF($A:$A, A573)&gt;1, "Duplicate", "Unique")</f>
        <v>Duplicate</v>
      </c>
      <c r="AE573" s="7" t="str">
        <f>IF(G573="","Unknown",G573)</f>
        <v>North</v>
      </c>
      <c r="AF573" s="7" t="str">
        <f>IF(M573="","Unknown",M573)</f>
        <v>Unknown</v>
      </c>
      <c r="AG573" s="7" t="str">
        <f>IF(P573&lt;0,"Invalid",
IF(P573&gt;1,"Invalid","Valid"))</f>
        <v>Valid</v>
      </c>
      <c r="AH573" s="7" t="str">
        <f>TEXT(B573,"mmmm")</f>
        <v>October</v>
      </c>
      <c r="AI573" s="7">
        <f t="shared" si="51"/>
        <v>2025</v>
      </c>
      <c r="AJ573" s="7" t="str">
        <f>IF(OR(R573&lt;0,C573&lt;B573),"Invalid",
IF(OR(G573="Unknown",M573="Unknown"),"Warning","Clean"))</f>
        <v>Clean</v>
      </c>
      <c r="AK573" s="7" t="str">
        <f>IF(C573&lt;B573,"Ship Before Order","OK")</f>
        <v>OK</v>
      </c>
      <c r="AL573" s="7" t="str">
        <f>IF(ISNUMBER(B573),"Valid","Invalid")</f>
        <v>Valid</v>
      </c>
      <c r="AM573" s="7" t="str">
        <f t="shared" si="52"/>
        <v>Ok</v>
      </c>
      <c r="AN573" s="7" t="str">
        <f t="shared" si="53"/>
        <v>Ok</v>
      </c>
    </row>
    <row r="574" spans="1:40">
      <c r="A574" t="s">
        <v>1812</v>
      </c>
      <c r="B574" s="6">
        <v>45323</v>
      </c>
      <c r="C574" s="4">
        <v>46072</v>
      </c>
      <c r="D574" t="s">
        <v>1813</v>
      </c>
      <c r="E574" t="s">
        <v>162</v>
      </c>
      <c r="F574" t="s">
        <v>90</v>
      </c>
      <c r="G574" t="s">
        <v>25</v>
      </c>
      <c r="H574" t="s">
        <v>350</v>
      </c>
      <c r="I574" t="s">
        <v>351</v>
      </c>
      <c r="J574" t="s">
        <v>74</v>
      </c>
      <c r="K574" t="s">
        <v>171</v>
      </c>
      <c r="L574" t="s">
        <v>1814</v>
      </c>
      <c r="M574" t="s">
        <v>59</v>
      </c>
      <c r="N574">
        <v>3</v>
      </c>
      <c r="O574">
        <v>739.56</v>
      </c>
      <c r="P574">
        <v>0.2</v>
      </c>
      <c r="Q574" s="7">
        <f>IF(P574="", 0, P574)</f>
        <v>0.2</v>
      </c>
      <c r="R574">
        <v>1774.94</v>
      </c>
      <c r="S574">
        <v>1007.4</v>
      </c>
      <c r="T574" s="7">
        <f>N574*O574*(1-Q574)</f>
        <v>1774.944</v>
      </c>
      <c r="U574" s="7">
        <f t="shared" si="48"/>
        <v>767.54399999999998</v>
      </c>
      <c r="V574">
        <v>767.54</v>
      </c>
      <c r="W574" s="12">
        <f t="shared" si="49"/>
        <v>0.43243279787982042</v>
      </c>
      <c r="X574" t="s">
        <v>32</v>
      </c>
      <c r="Y574" t="str">
        <f t="shared" si="50"/>
        <v>Paid</v>
      </c>
      <c r="Z574" t="s">
        <v>33</v>
      </c>
      <c r="AA574">
        <f>C574-B574</f>
        <v>749</v>
      </c>
      <c r="AB574" t="str">
        <f>IF(B574="","Missing Order Date",
IF(C574="","Missing Ship Date","OK"))</f>
        <v>OK</v>
      </c>
      <c r="AC574" s="7" t="str">
        <f>IF(C574&lt;B574, "Invalid", "Valid")</f>
        <v>Valid</v>
      </c>
      <c r="AD574" s="7" t="str">
        <f>IF(COUNTIF($A:$A, A574)&gt;1, "Duplicate", "Unique")</f>
        <v>Unique</v>
      </c>
      <c r="AE574" s="7" t="str">
        <f>IF(G574="","Unknown",G574)</f>
        <v>North</v>
      </c>
      <c r="AF574" s="7" t="str">
        <f>IF(M574="","Unknown",M574)</f>
        <v>Standard Class</v>
      </c>
      <c r="AG574" s="7" t="str">
        <f>IF(P574&lt;0,"Invalid",
IF(P574&gt;1,"Invalid","Valid"))</f>
        <v>Valid</v>
      </c>
      <c r="AH574" s="7" t="str">
        <f>TEXT(B574,"mmmm")</f>
        <v>February</v>
      </c>
      <c r="AI574" s="7">
        <f t="shared" si="51"/>
        <v>2024</v>
      </c>
      <c r="AJ574" s="7" t="str">
        <f>IF(OR(R574&lt;0,C574&lt;B574),"Invalid",
IF(OR(G574="Unknown",M574="Unknown"),"Warning","Clean"))</f>
        <v>Clean</v>
      </c>
      <c r="AK574" s="7" t="str">
        <f>IF(C574&lt;B574,"Ship Before Order","OK")</f>
        <v>OK</v>
      </c>
      <c r="AL574" s="7" t="str">
        <f>IF(ISNUMBER(B574),"Valid","Invalid")</f>
        <v>Valid</v>
      </c>
      <c r="AM574" s="7" t="str">
        <f t="shared" si="52"/>
        <v>Missmatched</v>
      </c>
      <c r="AN574" s="7" t="str">
        <f t="shared" si="53"/>
        <v>Missmatched</v>
      </c>
    </row>
    <row r="575" spans="1:40">
      <c r="A575" t="s">
        <v>1815</v>
      </c>
      <c r="B575" s="6">
        <v>45922</v>
      </c>
      <c r="C575" s="4">
        <v>46073</v>
      </c>
      <c r="D575" t="s">
        <v>1816</v>
      </c>
      <c r="E575" t="s">
        <v>47</v>
      </c>
      <c r="F575" t="s">
        <v>24</v>
      </c>
      <c r="G575" t="s">
        <v>54</v>
      </c>
      <c r="H575" t="s">
        <v>84</v>
      </c>
      <c r="I575" t="s">
        <v>85</v>
      </c>
      <c r="J575" t="s">
        <v>74</v>
      </c>
      <c r="K575" t="s">
        <v>171</v>
      </c>
      <c r="L575" t="s">
        <v>1817</v>
      </c>
      <c r="M575" t="s">
        <v>59</v>
      </c>
      <c r="N575">
        <v>1</v>
      </c>
      <c r="O575">
        <v>573.65</v>
      </c>
      <c r="P575">
        <v>0</v>
      </c>
      <c r="Q575" s="7">
        <f>IF(P575="", 0, P575)</f>
        <v>0</v>
      </c>
      <c r="R575">
        <v>573.65</v>
      </c>
      <c r="S575">
        <v>322.67</v>
      </c>
      <c r="T575" s="7">
        <f>N575*O575*(1-Q575)</f>
        <v>573.65</v>
      </c>
      <c r="U575" s="7">
        <f t="shared" si="48"/>
        <v>250.97999999999996</v>
      </c>
      <c r="V575">
        <v>250.98</v>
      </c>
      <c r="W575" s="12">
        <f t="shared" si="49"/>
        <v>0.43751416368866031</v>
      </c>
      <c r="X575" t="s">
        <v>32</v>
      </c>
      <c r="Y575" t="str">
        <f t="shared" si="50"/>
        <v>Paid</v>
      </c>
      <c r="Z575" t="s">
        <v>33</v>
      </c>
      <c r="AA575">
        <f>C575-B575</f>
        <v>151</v>
      </c>
      <c r="AB575" t="str">
        <f>IF(B575="","Missing Order Date",
IF(C575="","Missing Ship Date","OK"))</f>
        <v>OK</v>
      </c>
      <c r="AC575" s="7" t="str">
        <f>IF(C575&lt;B575, "Invalid", "Valid")</f>
        <v>Valid</v>
      </c>
      <c r="AD575" s="7" t="str">
        <f>IF(COUNTIF($A:$A, A575)&gt;1, "Duplicate", "Unique")</f>
        <v>Unique</v>
      </c>
      <c r="AE575" s="7" t="str">
        <f>IF(G575="","Unknown",G575)</f>
        <v>South</v>
      </c>
      <c r="AF575" s="7" t="str">
        <f>IF(M575="","Unknown",M575)</f>
        <v>Standard Class</v>
      </c>
      <c r="AG575" s="7" t="str">
        <f>IF(P575&lt;0,"Invalid",
IF(P575&gt;1,"Invalid","Valid"))</f>
        <v>Valid</v>
      </c>
      <c r="AH575" s="7" t="str">
        <f>TEXT(B575,"mmmm")</f>
        <v>September</v>
      </c>
      <c r="AI575" s="7">
        <f t="shared" si="51"/>
        <v>2025</v>
      </c>
      <c r="AJ575" s="7" t="str">
        <f>IF(OR(R575&lt;0,C575&lt;B575),"Invalid",
IF(OR(G575="Unknown",M575="Unknown"),"Warning","Clean"))</f>
        <v>Clean</v>
      </c>
      <c r="AK575" s="7" t="str">
        <f>IF(C575&lt;B575,"Ship Before Order","OK")</f>
        <v>OK</v>
      </c>
      <c r="AL575" s="7" t="str">
        <f>IF(ISNUMBER(B575),"Valid","Invalid")</f>
        <v>Valid</v>
      </c>
      <c r="AM575" s="7" t="str">
        <f t="shared" si="52"/>
        <v>Ok</v>
      </c>
      <c r="AN575" s="7" t="str">
        <f t="shared" si="53"/>
        <v>Ok</v>
      </c>
    </row>
    <row r="576" spans="1:40">
      <c r="A576" t="s">
        <v>1818</v>
      </c>
      <c r="B576" s="6">
        <v>45342</v>
      </c>
      <c r="C576" s="4">
        <v>46074</v>
      </c>
      <c r="D576" t="s">
        <v>802</v>
      </c>
      <c r="E576" t="s">
        <v>162</v>
      </c>
      <c r="F576" t="s">
        <v>95</v>
      </c>
      <c r="G576" t="s">
        <v>25</v>
      </c>
      <c r="H576" t="s">
        <v>122</v>
      </c>
      <c r="I576" t="s">
        <v>123</v>
      </c>
      <c r="J576" t="s">
        <v>74</v>
      </c>
      <c r="K576" t="s">
        <v>274</v>
      </c>
      <c r="L576" t="s">
        <v>1819</v>
      </c>
      <c r="M576" t="s">
        <v>59</v>
      </c>
      <c r="N576">
        <v>4</v>
      </c>
      <c r="O576">
        <v>1355.8</v>
      </c>
      <c r="P576">
        <v>0</v>
      </c>
      <c r="Q576" s="7">
        <f>IF(P576="", 0, P576)</f>
        <v>0</v>
      </c>
      <c r="R576">
        <v>5423.2</v>
      </c>
      <c r="S576">
        <v>4072.44</v>
      </c>
      <c r="T576" s="7">
        <f>N576*O576*(1-Q576)</f>
        <v>5423.2</v>
      </c>
      <c r="U576" s="7">
        <f t="shared" si="48"/>
        <v>1350.7599999999998</v>
      </c>
      <c r="V576">
        <v>1350.76</v>
      </c>
      <c r="W576" s="12">
        <f t="shared" si="49"/>
        <v>0.24907065938929043</v>
      </c>
      <c r="X576" t="s">
        <v>32</v>
      </c>
      <c r="Y576" t="str">
        <f t="shared" si="50"/>
        <v>Paid</v>
      </c>
      <c r="Z576" t="s">
        <v>33</v>
      </c>
      <c r="AA576">
        <f>C576-B576</f>
        <v>732</v>
      </c>
      <c r="AB576" t="str">
        <f>IF(B576="","Missing Order Date",
IF(C576="","Missing Ship Date","OK"))</f>
        <v>OK</v>
      </c>
      <c r="AC576" s="7" t="str">
        <f>IF(C576&lt;B576, "Invalid", "Valid")</f>
        <v>Valid</v>
      </c>
      <c r="AD576" s="7" t="str">
        <f>IF(COUNTIF($A:$A, A576)&gt;1, "Duplicate", "Unique")</f>
        <v>Unique</v>
      </c>
      <c r="AE576" s="7" t="str">
        <f>IF(G576="","Unknown",G576)</f>
        <v>North</v>
      </c>
      <c r="AF576" s="7" t="str">
        <f>IF(M576="","Unknown",M576)</f>
        <v>Standard Class</v>
      </c>
      <c r="AG576" s="7" t="str">
        <f>IF(P576&lt;0,"Invalid",
IF(P576&gt;1,"Invalid","Valid"))</f>
        <v>Valid</v>
      </c>
      <c r="AH576" s="7" t="str">
        <f>TEXT(B576,"mmmm")</f>
        <v>February</v>
      </c>
      <c r="AI576" s="7">
        <f t="shared" si="51"/>
        <v>2024</v>
      </c>
      <c r="AJ576" s="7" t="str">
        <f>IF(OR(R576&lt;0,C576&lt;B576),"Invalid",
IF(OR(G576="Unknown",M576="Unknown"),"Warning","Clean"))</f>
        <v>Clean</v>
      </c>
      <c r="AK576" s="7" t="str">
        <f>IF(C576&lt;B576,"Ship Before Order","OK")</f>
        <v>OK</v>
      </c>
      <c r="AL576" s="7" t="str">
        <f>IF(ISNUMBER(B576),"Valid","Invalid")</f>
        <v>Valid</v>
      </c>
      <c r="AM576" s="7" t="str">
        <f t="shared" si="52"/>
        <v>Ok</v>
      </c>
      <c r="AN576" s="7" t="str">
        <f t="shared" si="53"/>
        <v>Ok</v>
      </c>
    </row>
    <row r="577" spans="1:40">
      <c r="A577" t="s">
        <v>1820</v>
      </c>
      <c r="B577" s="6">
        <v>45964</v>
      </c>
      <c r="C577" s="4">
        <v>46075</v>
      </c>
      <c r="D577" t="s">
        <v>1821</v>
      </c>
      <c r="E577" t="s">
        <v>132</v>
      </c>
      <c r="F577" t="s">
        <v>95</v>
      </c>
      <c r="G577" t="s">
        <v>54</v>
      </c>
      <c r="H577" t="s">
        <v>185</v>
      </c>
      <c r="I577" t="s">
        <v>186</v>
      </c>
      <c r="J577" t="s">
        <v>41</v>
      </c>
      <c r="K577" t="s">
        <v>57</v>
      </c>
      <c r="L577" t="s">
        <v>1822</v>
      </c>
      <c r="M577" t="s">
        <v>44</v>
      </c>
      <c r="N577">
        <v>4</v>
      </c>
      <c r="O577">
        <v>1244.82</v>
      </c>
      <c r="P577">
        <v>0.2</v>
      </c>
      <c r="Q577" s="7">
        <f>IF(P577="", 0, P577)</f>
        <v>0.2</v>
      </c>
      <c r="R577">
        <v>3983.42</v>
      </c>
      <c r="S577">
        <v>3174.91</v>
      </c>
      <c r="T577" s="7">
        <f>N577*O577*(1-Q577)</f>
        <v>3983.424</v>
      </c>
      <c r="U577" s="7">
        <f t="shared" si="48"/>
        <v>808.51400000000012</v>
      </c>
      <c r="V577">
        <v>808.51</v>
      </c>
      <c r="W577" s="12">
        <f t="shared" si="49"/>
        <v>0.2029696060474607</v>
      </c>
      <c r="X577" t="s">
        <v>155</v>
      </c>
      <c r="Y577" t="str">
        <f t="shared" si="50"/>
        <v>Failed</v>
      </c>
      <c r="Z577" t="s">
        <v>103</v>
      </c>
      <c r="AA577">
        <f>C577-B577</f>
        <v>111</v>
      </c>
      <c r="AB577" t="str">
        <f>IF(B577="","Missing Order Date",
IF(C577="","Missing Ship Date","OK"))</f>
        <v>OK</v>
      </c>
      <c r="AC577" s="7" t="str">
        <f>IF(C577&lt;B577, "Invalid", "Valid")</f>
        <v>Valid</v>
      </c>
      <c r="AD577" s="7" t="str">
        <f>IF(COUNTIF($A:$A, A577)&gt;1, "Duplicate", "Unique")</f>
        <v>Unique</v>
      </c>
      <c r="AE577" s="7" t="str">
        <f>IF(G577="","Unknown",G577)</f>
        <v>South</v>
      </c>
      <c r="AF577" s="7" t="str">
        <f>IF(M577="","Unknown",M577)</f>
        <v>Same Day</v>
      </c>
      <c r="AG577" s="7" t="str">
        <f>IF(P577&lt;0,"Invalid",
IF(P577&gt;1,"Invalid","Valid"))</f>
        <v>Valid</v>
      </c>
      <c r="AH577" s="7" t="str">
        <f>TEXT(B577,"mmmm")</f>
        <v>November</v>
      </c>
      <c r="AI577" s="7">
        <f t="shared" si="51"/>
        <v>2025</v>
      </c>
      <c r="AJ577" s="7" t="str">
        <f>IF(OR(R577&lt;0,C577&lt;B577),"Invalid",
IF(OR(G577="Unknown",M577="Unknown"),"Warning","Clean"))</f>
        <v>Clean</v>
      </c>
      <c r="AK577" s="7" t="str">
        <f>IF(C577&lt;B577,"Ship Before Order","OK")</f>
        <v>OK</v>
      </c>
      <c r="AL577" s="7" t="str">
        <f>IF(ISNUMBER(B577),"Valid","Invalid")</f>
        <v>Valid</v>
      </c>
      <c r="AM577" s="7" t="str">
        <f t="shared" si="52"/>
        <v>Missmatched</v>
      </c>
      <c r="AN577" s="7" t="str">
        <f t="shared" si="53"/>
        <v>Missmatched</v>
      </c>
    </row>
    <row r="578" spans="1:40">
      <c r="A578" t="s">
        <v>1823</v>
      </c>
      <c r="B578" s="6">
        <v>45339</v>
      </c>
      <c r="C578" s="4">
        <v>46076</v>
      </c>
      <c r="D578" t="s">
        <v>1824</v>
      </c>
      <c r="E578" t="s">
        <v>141</v>
      </c>
      <c r="F578" t="s">
        <v>95</v>
      </c>
      <c r="G578" t="s">
        <v>2785</v>
      </c>
      <c r="H578" t="s">
        <v>145</v>
      </c>
      <c r="I578" t="s">
        <v>146</v>
      </c>
      <c r="J578" t="s">
        <v>28</v>
      </c>
      <c r="K578" t="s">
        <v>153</v>
      </c>
      <c r="L578" t="s">
        <v>1825</v>
      </c>
      <c r="M578" t="s">
        <v>59</v>
      </c>
      <c r="N578">
        <v>9</v>
      </c>
      <c r="O578">
        <v>2614.46</v>
      </c>
      <c r="P578">
        <v>0</v>
      </c>
      <c r="Q578" s="7">
        <f>IF(P578="", 0, P578)</f>
        <v>0</v>
      </c>
      <c r="R578">
        <v>23530.14</v>
      </c>
      <c r="S578">
        <v>19537.79</v>
      </c>
      <c r="T578" s="7">
        <f>N578*O578*(1-Q578)</f>
        <v>23530.14</v>
      </c>
      <c r="U578" s="7">
        <f t="shared" ref="U578:U641" si="54">T578-S578</f>
        <v>3992.3499999999985</v>
      </c>
      <c r="V578">
        <v>3992.35</v>
      </c>
      <c r="W578" s="12">
        <f t="shared" ref="W578:W641" si="55">IF(T578=0,0,U578/T578)</f>
        <v>0.16966962372514566</v>
      </c>
      <c r="X578" t="s">
        <v>102</v>
      </c>
      <c r="Y578" t="str">
        <f t="shared" ref="Y578:Y641" si="56">PROPER(TRIM(X578))</f>
        <v>Refunded</v>
      </c>
      <c r="Z578" t="s">
        <v>103</v>
      </c>
      <c r="AA578">
        <f>C578-B578</f>
        <v>737</v>
      </c>
      <c r="AB578" t="str">
        <f>IF(B578="","Missing Order Date",
IF(C578="","Missing Ship Date","OK"))</f>
        <v>OK</v>
      </c>
      <c r="AC578" s="7" t="str">
        <f>IF(C578&lt;B578, "Invalid", "Valid")</f>
        <v>Valid</v>
      </c>
      <c r="AD578" s="7" t="str">
        <f>IF(COUNTIF($A:$A, A578)&gt;1, "Duplicate", "Unique")</f>
        <v>Unique</v>
      </c>
      <c r="AE578" s="7" t="str">
        <f>IF(G578="","Unknown",G578)</f>
        <v>Unknown</v>
      </c>
      <c r="AF578" s="7" t="str">
        <f>IF(M578="","Unknown",M578)</f>
        <v>Standard Class</v>
      </c>
      <c r="AG578" s="7" t="str">
        <f>IF(P578&lt;0,"Invalid",
IF(P578&gt;1,"Invalid","Valid"))</f>
        <v>Valid</v>
      </c>
      <c r="AH578" s="7" t="str">
        <f>TEXT(B578,"mmmm")</f>
        <v>February</v>
      </c>
      <c r="AI578" s="7">
        <f t="shared" ref="AI578:AI641" si="57">YEAR(B578)</f>
        <v>2024</v>
      </c>
      <c r="AJ578" s="7" t="str">
        <f>IF(OR(R578&lt;0,C578&lt;B578),"Invalid",
IF(OR(G578="Unknown",M578="Unknown"),"Warning","Clean"))</f>
        <v>Clean</v>
      </c>
      <c r="AK578" s="7" t="str">
        <f>IF(C578&lt;B578,"Ship Before Order","OK")</f>
        <v>OK</v>
      </c>
      <c r="AL578" s="7" t="str">
        <f>IF(ISNUMBER(B578),"Valid","Invalid")</f>
        <v>Valid</v>
      </c>
      <c r="AM578" s="7" t="str">
        <f t="shared" ref="AM578:AM641" si="58">IF(R578&lt;&gt;T578, "Missmatched", "Ok")</f>
        <v>Ok</v>
      </c>
      <c r="AN578" s="7" t="str">
        <f t="shared" ref="AN578:AN641" si="59">IF(V578&lt;&gt;U578, "Missmatched", "Ok")</f>
        <v>Ok</v>
      </c>
    </row>
    <row r="579" spans="1:40">
      <c r="A579" t="s">
        <v>1826</v>
      </c>
      <c r="B579" s="6">
        <v>45897</v>
      </c>
      <c r="C579" s="4">
        <v>46077</v>
      </c>
      <c r="D579" t="s">
        <v>1827</v>
      </c>
      <c r="E579" t="s">
        <v>114</v>
      </c>
      <c r="F579" t="s">
        <v>90</v>
      </c>
      <c r="G579" t="s">
        <v>63</v>
      </c>
      <c r="H579" t="s">
        <v>72</v>
      </c>
      <c r="I579" t="s">
        <v>73</v>
      </c>
      <c r="J579" t="s">
        <v>41</v>
      </c>
      <c r="K579" t="s">
        <v>57</v>
      </c>
      <c r="L579" t="s">
        <v>1828</v>
      </c>
      <c r="M579" t="s">
        <v>59</v>
      </c>
      <c r="N579">
        <v>7</v>
      </c>
      <c r="O579">
        <v>268.45</v>
      </c>
      <c r="P579">
        <v>0</v>
      </c>
      <c r="Q579" s="7">
        <f>IF(P579="", 0, P579)</f>
        <v>0</v>
      </c>
      <c r="R579">
        <v>1879.15</v>
      </c>
      <c r="S579">
        <v>1134.9000000000001</v>
      </c>
      <c r="T579" s="7">
        <f>N579*O579*(1-Q579)</f>
        <v>1879.1499999999999</v>
      </c>
      <c r="U579" s="7">
        <f t="shared" si="54"/>
        <v>744.24999999999977</v>
      </c>
      <c r="V579">
        <v>744.25</v>
      </c>
      <c r="W579" s="12">
        <f t="shared" si="55"/>
        <v>0.39605672777585599</v>
      </c>
      <c r="X579" t="s">
        <v>32</v>
      </c>
      <c r="Y579" t="str">
        <f t="shared" si="56"/>
        <v>Paid</v>
      </c>
      <c r="Z579" t="s">
        <v>33</v>
      </c>
      <c r="AA579">
        <f>C579-B579</f>
        <v>180</v>
      </c>
      <c r="AB579" t="str">
        <f>IF(B579="","Missing Order Date",
IF(C579="","Missing Ship Date","OK"))</f>
        <v>OK</v>
      </c>
      <c r="AC579" s="7" t="str">
        <f>IF(C579&lt;B579, "Invalid", "Valid")</f>
        <v>Valid</v>
      </c>
      <c r="AD579" s="7" t="str">
        <f>IF(COUNTIF($A:$A, A579)&gt;1, "Duplicate", "Unique")</f>
        <v>Unique</v>
      </c>
      <c r="AE579" s="7" t="str">
        <f>IF(G579="","Unknown",G579)</f>
        <v>West</v>
      </c>
      <c r="AF579" s="7" t="str">
        <f>IF(M579="","Unknown",M579)</f>
        <v>Standard Class</v>
      </c>
      <c r="AG579" s="7" t="str">
        <f>IF(P579&lt;0,"Invalid",
IF(P579&gt;1,"Invalid","Valid"))</f>
        <v>Valid</v>
      </c>
      <c r="AH579" s="7" t="str">
        <f>TEXT(B579,"mmmm")</f>
        <v>August</v>
      </c>
      <c r="AI579" s="7">
        <f t="shared" si="57"/>
        <v>2025</v>
      </c>
      <c r="AJ579" s="7" t="str">
        <f>IF(OR(R579&lt;0,C579&lt;B579),"Invalid",
IF(OR(G579="Unknown",M579="Unknown"),"Warning","Clean"))</f>
        <v>Clean</v>
      </c>
      <c r="AK579" s="7" t="str">
        <f>IF(C579&lt;B579,"Ship Before Order","OK")</f>
        <v>OK</v>
      </c>
      <c r="AL579" s="7" t="str">
        <f>IF(ISNUMBER(B579),"Valid","Invalid")</f>
        <v>Valid</v>
      </c>
      <c r="AM579" s="7" t="str">
        <f t="shared" si="58"/>
        <v>Ok</v>
      </c>
      <c r="AN579" s="7" t="str">
        <f t="shared" si="59"/>
        <v>Ok</v>
      </c>
    </row>
    <row r="580" spans="1:40">
      <c r="A580" t="s">
        <v>1829</v>
      </c>
      <c r="B580" s="6">
        <v>45343</v>
      </c>
      <c r="C580" s="4">
        <v>46078</v>
      </c>
      <c r="D580" t="s">
        <v>295</v>
      </c>
      <c r="E580" t="s">
        <v>79</v>
      </c>
      <c r="F580" t="s">
        <v>37</v>
      </c>
      <c r="G580" t="s">
        <v>63</v>
      </c>
      <c r="H580" t="s">
        <v>180</v>
      </c>
      <c r="I580" t="s">
        <v>181</v>
      </c>
      <c r="J580" t="s">
        <v>74</v>
      </c>
      <c r="K580" t="s">
        <v>80</v>
      </c>
      <c r="L580" t="s">
        <v>1830</v>
      </c>
      <c r="M580" t="s">
        <v>50</v>
      </c>
      <c r="N580">
        <v>6</v>
      </c>
      <c r="O580">
        <v>2633.65</v>
      </c>
      <c r="P580">
        <v>0.05</v>
      </c>
      <c r="Q580" s="7">
        <f>IF(P580="", 0, P580)</f>
        <v>0.05</v>
      </c>
      <c r="R580">
        <v>15011.81</v>
      </c>
      <c r="S580">
        <v>9660.36</v>
      </c>
      <c r="T580" s="7">
        <f>N580*O580*(1-Q580)</f>
        <v>15011.805</v>
      </c>
      <c r="U580" s="7">
        <f t="shared" si="54"/>
        <v>5351.4449999999997</v>
      </c>
      <c r="V580">
        <v>5351.45</v>
      </c>
      <c r="W580" s="12">
        <f t="shared" si="55"/>
        <v>0.35648244831317749</v>
      </c>
      <c r="X580" t="s">
        <v>32</v>
      </c>
      <c r="Y580" t="str">
        <f t="shared" si="56"/>
        <v>Paid</v>
      </c>
      <c r="Z580" t="s">
        <v>33</v>
      </c>
      <c r="AA580">
        <f>C580-B580</f>
        <v>735</v>
      </c>
      <c r="AB580" t="str">
        <f>IF(B580="","Missing Order Date",
IF(C580="","Missing Ship Date","OK"))</f>
        <v>OK</v>
      </c>
      <c r="AC580" s="7" t="str">
        <f>IF(C580&lt;B580, "Invalid", "Valid")</f>
        <v>Valid</v>
      </c>
      <c r="AD580" s="7" t="str">
        <f>IF(COUNTIF($A:$A, A580)&gt;1, "Duplicate", "Unique")</f>
        <v>Unique</v>
      </c>
      <c r="AE580" s="7" t="str">
        <f>IF(G580="","Unknown",G580)</f>
        <v>West</v>
      </c>
      <c r="AF580" s="7" t="str">
        <f>IF(M580="","Unknown",M580)</f>
        <v>First Class</v>
      </c>
      <c r="AG580" s="7" t="str">
        <f>IF(P580&lt;0,"Invalid",
IF(P580&gt;1,"Invalid","Valid"))</f>
        <v>Valid</v>
      </c>
      <c r="AH580" s="7" t="str">
        <f>TEXT(B580,"mmmm")</f>
        <v>February</v>
      </c>
      <c r="AI580" s="7">
        <f t="shared" si="57"/>
        <v>2024</v>
      </c>
      <c r="AJ580" s="7" t="str">
        <f>IF(OR(R580&lt;0,C580&lt;B580),"Invalid",
IF(OR(G580="Unknown",M580="Unknown"),"Warning","Clean"))</f>
        <v>Clean</v>
      </c>
      <c r="AK580" s="7" t="str">
        <f>IF(C580&lt;B580,"Ship Before Order","OK")</f>
        <v>OK</v>
      </c>
      <c r="AL580" s="7" t="str">
        <f>IF(ISNUMBER(B580),"Valid","Invalid")</f>
        <v>Valid</v>
      </c>
      <c r="AM580" s="7" t="str">
        <f t="shared" si="58"/>
        <v>Missmatched</v>
      </c>
      <c r="AN580" s="7" t="str">
        <f t="shared" si="59"/>
        <v>Missmatched</v>
      </c>
    </row>
    <row r="581" spans="1:40">
      <c r="A581" t="s">
        <v>1831</v>
      </c>
      <c r="B581" s="6">
        <v>45462</v>
      </c>
      <c r="C581" s="4">
        <v>46079</v>
      </c>
      <c r="D581" t="s">
        <v>1832</v>
      </c>
      <c r="E581" t="s">
        <v>128</v>
      </c>
      <c r="F581" t="s">
        <v>37</v>
      </c>
      <c r="G581" t="s">
        <v>54</v>
      </c>
      <c r="H581" t="s">
        <v>247</v>
      </c>
      <c r="I581" t="s">
        <v>248</v>
      </c>
      <c r="J581" t="s">
        <v>28</v>
      </c>
      <c r="K581" t="s">
        <v>124</v>
      </c>
      <c r="L581" t="s">
        <v>1833</v>
      </c>
      <c r="M581" t="s">
        <v>44</v>
      </c>
      <c r="N581">
        <v>1</v>
      </c>
      <c r="O581">
        <v>3202.41</v>
      </c>
      <c r="P581">
        <v>0</v>
      </c>
      <c r="Q581" s="7">
        <f>IF(P581="", 0, P581)</f>
        <v>0</v>
      </c>
      <c r="R581">
        <v>3202.41</v>
      </c>
      <c r="S581">
        <v>2608.44</v>
      </c>
      <c r="T581" s="7">
        <f>N581*O581*(1-Q581)</f>
        <v>3202.41</v>
      </c>
      <c r="U581" s="7">
        <f t="shared" si="54"/>
        <v>593.9699999999998</v>
      </c>
      <c r="V581">
        <v>593.97</v>
      </c>
      <c r="W581" s="12">
        <f t="shared" si="55"/>
        <v>0.18547593843386695</v>
      </c>
      <c r="X581" t="s">
        <v>32</v>
      </c>
      <c r="Y581" t="str">
        <f t="shared" si="56"/>
        <v>Paid</v>
      </c>
      <c r="Z581" t="s">
        <v>33</v>
      </c>
      <c r="AA581">
        <f>C581-B581</f>
        <v>617</v>
      </c>
      <c r="AB581" t="str">
        <f>IF(B581="","Missing Order Date",
IF(C581="","Missing Ship Date","OK"))</f>
        <v>OK</v>
      </c>
      <c r="AC581" s="7" t="str">
        <f>IF(C581&lt;B581, "Invalid", "Valid")</f>
        <v>Valid</v>
      </c>
      <c r="AD581" s="7" t="str">
        <f>IF(COUNTIF($A:$A, A581)&gt;1, "Duplicate", "Unique")</f>
        <v>Unique</v>
      </c>
      <c r="AE581" s="7" t="str">
        <f>IF(G581="","Unknown",G581)</f>
        <v>South</v>
      </c>
      <c r="AF581" s="7" t="str">
        <f>IF(M581="","Unknown",M581)</f>
        <v>Same Day</v>
      </c>
      <c r="AG581" s="7" t="str">
        <f>IF(P581&lt;0,"Invalid",
IF(P581&gt;1,"Invalid","Valid"))</f>
        <v>Valid</v>
      </c>
      <c r="AH581" s="7" t="str">
        <f>TEXT(B581,"mmmm")</f>
        <v>June</v>
      </c>
      <c r="AI581" s="7">
        <f t="shared" si="57"/>
        <v>2024</v>
      </c>
      <c r="AJ581" s="7" t="str">
        <f>IF(OR(R581&lt;0,C581&lt;B581),"Invalid",
IF(OR(G581="Unknown",M581="Unknown"),"Warning","Clean"))</f>
        <v>Clean</v>
      </c>
      <c r="AK581" s="7" t="str">
        <f>IF(C581&lt;B581,"Ship Before Order","OK")</f>
        <v>OK</v>
      </c>
      <c r="AL581" s="7" t="str">
        <f>IF(ISNUMBER(B581),"Valid","Invalid")</f>
        <v>Valid</v>
      </c>
      <c r="AM581" s="7" t="str">
        <f t="shared" si="58"/>
        <v>Ok</v>
      </c>
      <c r="AN581" s="7" t="str">
        <f t="shared" si="59"/>
        <v>Ok</v>
      </c>
    </row>
    <row r="582" spans="1:40">
      <c r="A582" t="s">
        <v>1834</v>
      </c>
      <c r="B582" s="6">
        <v>45722</v>
      </c>
      <c r="C582" s="4">
        <v>46080</v>
      </c>
      <c r="D582" t="s">
        <v>1835</v>
      </c>
      <c r="E582" t="s">
        <v>264</v>
      </c>
      <c r="F582" t="s">
        <v>24</v>
      </c>
      <c r="G582" t="s">
        <v>54</v>
      </c>
      <c r="H582" t="s">
        <v>185</v>
      </c>
      <c r="I582" t="s">
        <v>186</v>
      </c>
      <c r="J582" t="s">
        <v>41</v>
      </c>
      <c r="K582" t="s">
        <v>66</v>
      </c>
      <c r="L582" t="s">
        <v>1836</v>
      </c>
      <c r="M582" t="s">
        <v>59</v>
      </c>
      <c r="N582">
        <v>3</v>
      </c>
      <c r="O582">
        <v>163.72</v>
      </c>
      <c r="P582">
        <v>0.15</v>
      </c>
      <c r="Q582" s="7">
        <f>IF(P582="", 0, P582)</f>
        <v>0.15</v>
      </c>
      <c r="R582">
        <v>417.49</v>
      </c>
      <c r="S582">
        <v>261.67</v>
      </c>
      <c r="T582" s="7">
        <f>N582*O582*(1-Q582)</f>
        <v>417.48599999999999</v>
      </c>
      <c r="U582" s="7">
        <f t="shared" si="54"/>
        <v>155.81599999999997</v>
      </c>
      <c r="V582">
        <v>155.82</v>
      </c>
      <c r="W582" s="12">
        <f t="shared" si="55"/>
        <v>0.37322449136018926</v>
      </c>
      <c r="X582" t="s">
        <v>155</v>
      </c>
      <c r="Y582" t="str">
        <f t="shared" si="56"/>
        <v>Failed</v>
      </c>
      <c r="Z582" t="s">
        <v>103</v>
      </c>
      <c r="AA582">
        <f>C582-B582</f>
        <v>358</v>
      </c>
      <c r="AB582" t="str">
        <f>IF(B582="","Missing Order Date",
IF(C582="","Missing Ship Date","OK"))</f>
        <v>OK</v>
      </c>
      <c r="AC582" s="7" t="str">
        <f>IF(C582&lt;B582, "Invalid", "Valid")</f>
        <v>Valid</v>
      </c>
      <c r="AD582" s="7" t="str">
        <f>IF(COUNTIF($A:$A, A582)&gt;1, "Duplicate", "Unique")</f>
        <v>Unique</v>
      </c>
      <c r="AE582" s="7" t="str">
        <f>IF(G582="","Unknown",G582)</f>
        <v>South</v>
      </c>
      <c r="AF582" s="7" t="str">
        <f>IF(M582="","Unknown",M582)</f>
        <v>Standard Class</v>
      </c>
      <c r="AG582" s="7" t="str">
        <f>IF(P582&lt;0,"Invalid",
IF(P582&gt;1,"Invalid","Valid"))</f>
        <v>Valid</v>
      </c>
      <c r="AH582" s="7" t="str">
        <f>TEXT(B582,"mmmm")</f>
        <v>March</v>
      </c>
      <c r="AI582" s="7">
        <f t="shared" si="57"/>
        <v>2025</v>
      </c>
      <c r="AJ582" s="7" t="str">
        <f>IF(OR(R582&lt;0,C582&lt;B582),"Invalid",
IF(OR(G582="Unknown",M582="Unknown"),"Warning","Clean"))</f>
        <v>Clean</v>
      </c>
      <c r="AK582" s="7" t="str">
        <f>IF(C582&lt;B582,"Ship Before Order","OK")</f>
        <v>OK</v>
      </c>
      <c r="AL582" s="7" t="str">
        <f>IF(ISNUMBER(B582),"Valid","Invalid")</f>
        <v>Valid</v>
      </c>
      <c r="AM582" s="7" t="str">
        <f t="shared" si="58"/>
        <v>Missmatched</v>
      </c>
      <c r="AN582" s="7" t="str">
        <f t="shared" si="59"/>
        <v>Missmatched</v>
      </c>
    </row>
    <row r="583" spans="1:40">
      <c r="A583" t="s">
        <v>1837</v>
      </c>
      <c r="B583" s="6">
        <v>45908</v>
      </c>
      <c r="C583" s="4">
        <v>46081</v>
      </c>
      <c r="D583" t="s">
        <v>1838</v>
      </c>
      <c r="E583" t="s">
        <v>79</v>
      </c>
      <c r="F583" t="s">
        <v>24</v>
      </c>
      <c r="G583" t="s">
        <v>25</v>
      </c>
      <c r="H583" t="s">
        <v>350</v>
      </c>
      <c r="I583" t="s">
        <v>351</v>
      </c>
      <c r="J583" t="s">
        <v>28</v>
      </c>
      <c r="K583" t="s">
        <v>48</v>
      </c>
      <c r="L583" t="s">
        <v>1839</v>
      </c>
      <c r="M583" t="s">
        <v>31</v>
      </c>
      <c r="N583">
        <v>4</v>
      </c>
      <c r="O583">
        <v>4080.95</v>
      </c>
      <c r="P583">
        <v>0</v>
      </c>
      <c r="Q583" s="7">
        <f>IF(P583="", 0, P583)</f>
        <v>0</v>
      </c>
      <c r="R583">
        <v>16323.8</v>
      </c>
      <c r="S583">
        <v>9965.7900000000009</v>
      </c>
      <c r="T583" s="7">
        <f>N583*O583*(1-Q583)</f>
        <v>16323.8</v>
      </c>
      <c r="U583" s="7">
        <f t="shared" si="54"/>
        <v>6358.0099999999984</v>
      </c>
      <c r="V583">
        <v>6358.01</v>
      </c>
      <c r="W583" s="12">
        <f t="shared" si="55"/>
        <v>0.38949325524693995</v>
      </c>
      <c r="X583" t="s">
        <v>102</v>
      </c>
      <c r="Y583" t="str">
        <f t="shared" si="56"/>
        <v>Refunded</v>
      </c>
      <c r="Z583" t="s">
        <v>103</v>
      </c>
      <c r="AA583">
        <f>C583-B583</f>
        <v>173</v>
      </c>
      <c r="AB583" t="str">
        <f>IF(B583="","Missing Order Date",
IF(C583="","Missing Ship Date","OK"))</f>
        <v>OK</v>
      </c>
      <c r="AC583" s="7" t="str">
        <f>IF(C583&lt;B583, "Invalid", "Valid")</f>
        <v>Valid</v>
      </c>
      <c r="AD583" s="7" t="str">
        <f>IF(COUNTIF($A:$A, A583)&gt;1, "Duplicate", "Unique")</f>
        <v>Unique</v>
      </c>
      <c r="AE583" s="7" t="str">
        <f>IF(G583="","Unknown",G583)</f>
        <v>North</v>
      </c>
      <c r="AF583" s="7" t="str">
        <f>IF(M583="","Unknown",M583)</f>
        <v>Second Class</v>
      </c>
      <c r="AG583" s="7" t="str">
        <f>IF(P583&lt;0,"Invalid",
IF(P583&gt;1,"Invalid","Valid"))</f>
        <v>Valid</v>
      </c>
      <c r="AH583" s="7" t="str">
        <f>TEXT(B583,"mmmm")</f>
        <v>September</v>
      </c>
      <c r="AI583" s="7">
        <f t="shared" si="57"/>
        <v>2025</v>
      </c>
      <c r="AJ583" s="7" t="str">
        <f>IF(OR(R583&lt;0,C583&lt;B583),"Invalid",
IF(OR(G583="Unknown",M583="Unknown"),"Warning","Clean"))</f>
        <v>Clean</v>
      </c>
      <c r="AK583" s="7" t="str">
        <f>IF(C583&lt;B583,"Ship Before Order","OK")</f>
        <v>OK</v>
      </c>
      <c r="AL583" s="7" t="str">
        <f>IF(ISNUMBER(B583),"Valid","Invalid")</f>
        <v>Valid</v>
      </c>
      <c r="AM583" s="7" t="str">
        <f t="shared" si="58"/>
        <v>Ok</v>
      </c>
      <c r="AN583" s="7" t="str">
        <f t="shared" si="59"/>
        <v>Ok</v>
      </c>
    </row>
    <row r="584" spans="1:40">
      <c r="A584" t="s">
        <v>1840</v>
      </c>
      <c r="B584" s="6">
        <v>45580</v>
      </c>
      <c r="C584" s="4">
        <v>46082</v>
      </c>
      <c r="D584" t="s">
        <v>1841</v>
      </c>
      <c r="E584" t="s">
        <v>62</v>
      </c>
      <c r="F584" t="s">
        <v>24</v>
      </c>
      <c r="G584" t="s">
        <v>38</v>
      </c>
      <c r="H584" t="s">
        <v>39</v>
      </c>
      <c r="I584" t="s">
        <v>40</v>
      </c>
      <c r="J584" t="s">
        <v>28</v>
      </c>
      <c r="K584" t="s">
        <v>48</v>
      </c>
      <c r="L584" t="s">
        <v>1842</v>
      </c>
      <c r="M584" t="s">
        <v>50</v>
      </c>
      <c r="N584">
        <v>5</v>
      </c>
      <c r="O584">
        <v>671.24</v>
      </c>
      <c r="P584">
        <v>0</v>
      </c>
      <c r="Q584" s="7">
        <f>IF(P584="", 0, P584)</f>
        <v>0</v>
      </c>
      <c r="R584">
        <v>3356.2</v>
      </c>
      <c r="S584">
        <v>2205.7199999999998</v>
      </c>
      <c r="T584" s="7">
        <f>N584*O584*(1-Q584)</f>
        <v>3356.2</v>
      </c>
      <c r="U584" s="7">
        <f t="shared" si="54"/>
        <v>1150.48</v>
      </c>
      <c r="V584">
        <v>1150.48</v>
      </c>
      <c r="W584" s="12">
        <f t="shared" si="55"/>
        <v>0.34279244383528995</v>
      </c>
      <c r="X584" t="s">
        <v>111</v>
      </c>
      <c r="Y584" t="str">
        <f t="shared" si="56"/>
        <v>Pending</v>
      </c>
      <c r="Z584" t="s">
        <v>103</v>
      </c>
      <c r="AA584">
        <f>C584-B584</f>
        <v>502</v>
      </c>
      <c r="AB584" t="str">
        <f>IF(B584="","Missing Order Date",
IF(C584="","Missing Ship Date","OK"))</f>
        <v>OK</v>
      </c>
      <c r="AC584" s="7" t="str">
        <f>IF(C584&lt;B584, "Invalid", "Valid")</f>
        <v>Valid</v>
      </c>
      <c r="AD584" s="7" t="str">
        <f>IF(COUNTIF($A:$A, A584)&gt;1, "Duplicate", "Unique")</f>
        <v>Unique</v>
      </c>
      <c r="AE584" s="7" t="str">
        <f>IF(G584="","Unknown",G584)</f>
        <v>East</v>
      </c>
      <c r="AF584" s="7" t="str">
        <f>IF(M584="","Unknown",M584)</f>
        <v>First Class</v>
      </c>
      <c r="AG584" s="7" t="str">
        <f>IF(P584&lt;0,"Invalid",
IF(P584&gt;1,"Invalid","Valid"))</f>
        <v>Valid</v>
      </c>
      <c r="AH584" s="7" t="str">
        <f>TEXT(B584,"mmmm")</f>
        <v>October</v>
      </c>
      <c r="AI584" s="7">
        <f t="shared" si="57"/>
        <v>2024</v>
      </c>
      <c r="AJ584" s="7" t="str">
        <f>IF(OR(R584&lt;0,C584&lt;B584),"Invalid",
IF(OR(G584="Unknown",M584="Unknown"),"Warning","Clean"))</f>
        <v>Clean</v>
      </c>
      <c r="AK584" s="7" t="str">
        <f>IF(C584&lt;B584,"Ship Before Order","OK")</f>
        <v>OK</v>
      </c>
      <c r="AL584" s="7" t="str">
        <f>IF(ISNUMBER(B584),"Valid","Invalid")</f>
        <v>Valid</v>
      </c>
      <c r="AM584" s="7" t="str">
        <f t="shared" si="58"/>
        <v>Ok</v>
      </c>
      <c r="AN584" s="7" t="str">
        <f t="shared" si="59"/>
        <v>Ok</v>
      </c>
    </row>
    <row r="585" spans="1:40">
      <c r="A585" t="s">
        <v>1843</v>
      </c>
      <c r="B585" s="6">
        <v>45350</v>
      </c>
      <c r="C585" s="4">
        <v>46083</v>
      </c>
      <c r="D585" t="s">
        <v>1844</v>
      </c>
      <c r="E585" t="s">
        <v>141</v>
      </c>
      <c r="F585" t="s">
        <v>37</v>
      </c>
      <c r="G585" t="s">
        <v>38</v>
      </c>
      <c r="H585" t="s">
        <v>99</v>
      </c>
      <c r="I585" t="s">
        <v>100</v>
      </c>
      <c r="J585" t="s">
        <v>28</v>
      </c>
      <c r="K585" t="s">
        <v>124</v>
      </c>
      <c r="L585" t="s">
        <v>1845</v>
      </c>
      <c r="M585" t="s">
        <v>50</v>
      </c>
      <c r="N585">
        <v>1</v>
      </c>
      <c r="O585">
        <v>2626.84</v>
      </c>
      <c r="P585">
        <v>0.2</v>
      </c>
      <c r="Q585" s="7">
        <f>IF(P585="", 0, P585)</f>
        <v>0.2</v>
      </c>
      <c r="R585">
        <v>2101.4699999999998</v>
      </c>
      <c r="S585">
        <v>1217.83</v>
      </c>
      <c r="T585" s="7">
        <f>N585*O585*(1-Q585)</f>
        <v>2101.4720000000002</v>
      </c>
      <c r="U585" s="7">
        <f t="shared" si="54"/>
        <v>883.64200000000028</v>
      </c>
      <c r="V585">
        <v>883.64</v>
      </c>
      <c r="W585" s="12">
        <f t="shared" si="55"/>
        <v>0.42048716328364127</v>
      </c>
      <c r="X585" t="s">
        <v>155</v>
      </c>
      <c r="Y585" t="str">
        <f t="shared" si="56"/>
        <v>Failed</v>
      </c>
      <c r="Z585" t="s">
        <v>103</v>
      </c>
      <c r="AA585">
        <f>C585-B585</f>
        <v>733</v>
      </c>
      <c r="AB585" t="str">
        <f>IF(B585="","Missing Order Date",
IF(C585="","Missing Ship Date","OK"))</f>
        <v>OK</v>
      </c>
      <c r="AC585" s="7" t="str">
        <f>IF(C585&lt;B585, "Invalid", "Valid")</f>
        <v>Valid</v>
      </c>
      <c r="AD585" s="7" t="str">
        <f>IF(COUNTIF($A:$A, A585)&gt;1, "Duplicate", "Unique")</f>
        <v>Unique</v>
      </c>
      <c r="AE585" s="7" t="str">
        <f>IF(G585="","Unknown",G585)</f>
        <v>East</v>
      </c>
      <c r="AF585" s="7" t="str">
        <f>IF(M585="","Unknown",M585)</f>
        <v>First Class</v>
      </c>
      <c r="AG585" s="7" t="str">
        <f>IF(P585&lt;0,"Invalid",
IF(P585&gt;1,"Invalid","Valid"))</f>
        <v>Valid</v>
      </c>
      <c r="AH585" s="7" t="str">
        <f>TEXT(B585,"mmmm")</f>
        <v>February</v>
      </c>
      <c r="AI585" s="7">
        <f t="shared" si="57"/>
        <v>2024</v>
      </c>
      <c r="AJ585" s="7" t="str">
        <f>IF(OR(R585&lt;0,C585&lt;B585),"Invalid",
IF(OR(G585="Unknown",M585="Unknown"),"Warning","Clean"))</f>
        <v>Clean</v>
      </c>
      <c r="AK585" s="7" t="str">
        <f>IF(C585&lt;B585,"Ship Before Order","OK")</f>
        <v>OK</v>
      </c>
      <c r="AL585" s="7" t="str">
        <f>IF(ISNUMBER(B585),"Valid","Invalid")</f>
        <v>Valid</v>
      </c>
      <c r="AM585" s="7" t="str">
        <f t="shared" si="58"/>
        <v>Missmatched</v>
      </c>
      <c r="AN585" s="7" t="str">
        <f t="shared" si="59"/>
        <v>Missmatched</v>
      </c>
    </row>
    <row r="586" spans="1:40">
      <c r="A586" t="s">
        <v>1846</v>
      </c>
      <c r="B586" s="6">
        <v>45390</v>
      </c>
      <c r="C586" s="4">
        <v>46084</v>
      </c>
      <c r="D586" t="s">
        <v>1847</v>
      </c>
      <c r="E586" t="s">
        <v>71</v>
      </c>
      <c r="F586" t="s">
        <v>24</v>
      </c>
      <c r="G586" t="s">
        <v>38</v>
      </c>
      <c r="H586" t="s">
        <v>145</v>
      </c>
      <c r="I586" t="s">
        <v>146</v>
      </c>
      <c r="J586" t="s">
        <v>28</v>
      </c>
      <c r="K586" t="s">
        <v>48</v>
      </c>
      <c r="L586" t="s">
        <v>1848</v>
      </c>
      <c r="M586" t="s">
        <v>44</v>
      </c>
      <c r="N586">
        <v>1</v>
      </c>
      <c r="O586">
        <v>984.93</v>
      </c>
      <c r="P586">
        <v>0.15</v>
      </c>
      <c r="Q586" s="7">
        <f>IF(P586="", 0, P586)</f>
        <v>0.15</v>
      </c>
      <c r="R586">
        <v>837.19</v>
      </c>
      <c r="S586">
        <v>583.79</v>
      </c>
      <c r="T586" s="7">
        <f>N586*O586*(1-Q586)</f>
        <v>837.19049999999993</v>
      </c>
      <c r="U586" s="7">
        <f t="shared" si="54"/>
        <v>253.40049999999997</v>
      </c>
      <c r="V586">
        <v>253.4</v>
      </c>
      <c r="W586" s="12">
        <f t="shared" si="55"/>
        <v>0.30267961712417901</v>
      </c>
      <c r="X586" t="s">
        <v>111</v>
      </c>
      <c r="Y586" t="str">
        <f t="shared" si="56"/>
        <v>Pending</v>
      </c>
      <c r="Z586" t="s">
        <v>103</v>
      </c>
      <c r="AA586">
        <f>C586-B586</f>
        <v>694</v>
      </c>
      <c r="AB586" t="str">
        <f>IF(B586="","Missing Order Date",
IF(C586="","Missing Ship Date","OK"))</f>
        <v>OK</v>
      </c>
      <c r="AC586" s="7" t="str">
        <f>IF(C586&lt;B586, "Invalid", "Valid")</f>
        <v>Valid</v>
      </c>
      <c r="AD586" s="7" t="str">
        <f>IF(COUNTIF($A:$A, A586)&gt;1, "Duplicate", "Unique")</f>
        <v>Unique</v>
      </c>
      <c r="AE586" s="7" t="str">
        <f>IF(G586="","Unknown",G586)</f>
        <v>East</v>
      </c>
      <c r="AF586" s="7" t="str">
        <f>IF(M586="","Unknown",M586)</f>
        <v>Same Day</v>
      </c>
      <c r="AG586" s="7" t="str">
        <f>IF(P586&lt;0,"Invalid",
IF(P586&gt;1,"Invalid","Valid"))</f>
        <v>Valid</v>
      </c>
      <c r="AH586" s="7" t="str">
        <f>TEXT(B586,"mmmm")</f>
        <v>April</v>
      </c>
      <c r="AI586" s="7">
        <f t="shared" si="57"/>
        <v>2024</v>
      </c>
      <c r="AJ586" s="7" t="str">
        <f>IF(OR(R586&lt;0,C586&lt;B586),"Invalid",
IF(OR(G586="Unknown",M586="Unknown"),"Warning","Clean"))</f>
        <v>Clean</v>
      </c>
      <c r="AK586" s="7" t="str">
        <f>IF(C586&lt;B586,"Ship Before Order","OK")</f>
        <v>OK</v>
      </c>
      <c r="AL586" s="7" t="str">
        <f>IF(ISNUMBER(B586),"Valid","Invalid")</f>
        <v>Valid</v>
      </c>
      <c r="AM586" s="7" t="str">
        <f t="shared" si="58"/>
        <v>Missmatched</v>
      </c>
      <c r="AN586" s="7" t="str">
        <f t="shared" si="59"/>
        <v>Missmatched</v>
      </c>
    </row>
    <row r="587" spans="1:40">
      <c r="A587" t="s">
        <v>1849</v>
      </c>
      <c r="B587" s="6">
        <v>45830</v>
      </c>
      <c r="C587" s="4">
        <v>46085</v>
      </c>
      <c r="D587" t="s">
        <v>1850</v>
      </c>
      <c r="E587" t="s">
        <v>162</v>
      </c>
      <c r="F587" t="s">
        <v>37</v>
      </c>
      <c r="G587" t="s">
        <v>63</v>
      </c>
      <c r="H587" t="s">
        <v>64</v>
      </c>
      <c r="I587" t="s">
        <v>65</v>
      </c>
      <c r="J587" t="s">
        <v>74</v>
      </c>
      <c r="K587" t="s">
        <v>171</v>
      </c>
      <c r="L587" t="s">
        <v>1851</v>
      </c>
      <c r="M587" t="s">
        <v>50</v>
      </c>
      <c r="N587">
        <v>8</v>
      </c>
      <c r="O587">
        <v>3453.66</v>
      </c>
      <c r="P587">
        <v>0</v>
      </c>
      <c r="Q587" s="7">
        <f>IF(P587="", 0, P587)</f>
        <v>0</v>
      </c>
      <c r="R587">
        <v>27629.279999999999</v>
      </c>
      <c r="S587">
        <v>22026.48</v>
      </c>
      <c r="T587" s="7">
        <f>N587*O587*(1-Q587)</f>
        <v>27629.279999999999</v>
      </c>
      <c r="U587" s="7">
        <f t="shared" si="54"/>
        <v>5602.7999999999993</v>
      </c>
      <c r="V587">
        <v>5602.8</v>
      </c>
      <c r="W587" s="12">
        <f t="shared" si="55"/>
        <v>0.20278487170132553</v>
      </c>
      <c r="X587" t="s">
        <v>32</v>
      </c>
      <c r="Y587" t="str">
        <f t="shared" si="56"/>
        <v>Paid</v>
      </c>
      <c r="Z587" t="s">
        <v>33</v>
      </c>
      <c r="AA587">
        <f>C587-B587</f>
        <v>255</v>
      </c>
      <c r="AB587" t="str">
        <f>IF(B587="","Missing Order Date",
IF(C587="","Missing Ship Date","OK"))</f>
        <v>OK</v>
      </c>
      <c r="AC587" s="7" t="str">
        <f>IF(C587&lt;B587, "Invalid", "Valid")</f>
        <v>Valid</v>
      </c>
      <c r="AD587" s="7" t="str">
        <f>IF(COUNTIF($A:$A, A587)&gt;1, "Duplicate", "Unique")</f>
        <v>Unique</v>
      </c>
      <c r="AE587" s="7" t="str">
        <f>IF(G587="","Unknown",G587)</f>
        <v>West</v>
      </c>
      <c r="AF587" s="7" t="str">
        <f>IF(M587="","Unknown",M587)</f>
        <v>First Class</v>
      </c>
      <c r="AG587" s="7" t="str">
        <f>IF(P587&lt;0,"Invalid",
IF(P587&gt;1,"Invalid","Valid"))</f>
        <v>Valid</v>
      </c>
      <c r="AH587" s="7" t="str">
        <f>TEXT(B587,"mmmm")</f>
        <v>June</v>
      </c>
      <c r="AI587" s="7">
        <f t="shared" si="57"/>
        <v>2025</v>
      </c>
      <c r="AJ587" s="7" t="str">
        <f>IF(OR(R587&lt;0,C587&lt;B587),"Invalid",
IF(OR(G587="Unknown",M587="Unknown"),"Warning","Clean"))</f>
        <v>Clean</v>
      </c>
      <c r="AK587" s="7" t="str">
        <f>IF(C587&lt;B587,"Ship Before Order","OK")</f>
        <v>OK</v>
      </c>
      <c r="AL587" s="7" t="str">
        <f>IF(ISNUMBER(B587),"Valid","Invalid")</f>
        <v>Valid</v>
      </c>
      <c r="AM587" s="7" t="str">
        <f t="shared" si="58"/>
        <v>Ok</v>
      </c>
      <c r="AN587" s="7" t="str">
        <f t="shared" si="59"/>
        <v>Ok</v>
      </c>
    </row>
    <row r="588" spans="1:40">
      <c r="A588" t="s">
        <v>1852</v>
      </c>
      <c r="B588" s="6">
        <v>45759</v>
      </c>
      <c r="C588" s="4">
        <v>46086</v>
      </c>
      <c r="D588" t="s">
        <v>1853</v>
      </c>
      <c r="E588" t="s">
        <v>36</v>
      </c>
      <c r="F588" t="s">
        <v>95</v>
      </c>
      <c r="G588" t="s">
        <v>25</v>
      </c>
      <c r="H588" t="s">
        <v>122</v>
      </c>
      <c r="I588" t="s">
        <v>123</v>
      </c>
      <c r="J588" t="s">
        <v>28</v>
      </c>
      <c r="K588" t="s">
        <v>153</v>
      </c>
      <c r="L588" t="s">
        <v>1854</v>
      </c>
      <c r="M588" t="s">
        <v>31</v>
      </c>
      <c r="N588">
        <v>7</v>
      </c>
      <c r="O588">
        <v>1334.2</v>
      </c>
      <c r="P588">
        <v>0.2</v>
      </c>
      <c r="Q588" s="7">
        <f>IF(P588="", 0, P588)</f>
        <v>0.2</v>
      </c>
      <c r="R588">
        <v>7471.52</v>
      </c>
      <c r="S588">
        <v>6184.32</v>
      </c>
      <c r="T588" s="7">
        <f>N588*O588*(1-Q588)</f>
        <v>7471.52</v>
      </c>
      <c r="U588" s="7">
        <f t="shared" si="54"/>
        <v>1287.2000000000007</v>
      </c>
      <c r="V588">
        <v>1287.2</v>
      </c>
      <c r="W588" s="12">
        <f t="shared" si="55"/>
        <v>0.17228087457438387</v>
      </c>
      <c r="X588" t="s">
        <v>32</v>
      </c>
      <c r="Y588" t="str">
        <f t="shared" si="56"/>
        <v>Paid</v>
      </c>
      <c r="Z588" t="s">
        <v>33</v>
      </c>
      <c r="AA588">
        <f>C588-B588</f>
        <v>327</v>
      </c>
      <c r="AB588" t="str">
        <f>IF(B588="","Missing Order Date",
IF(C588="","Missing Ship Date","OK"))</f>
        <v>OK</v>
      </c>
      <c r="AC588" s="7" t="str">
        <f>IF(C588&lt;B588, "Invalid", "Valid")</f>
        <v>Valid</v>
      </c>
      <c r="AD588" s="7" t="str">
        <f>IF(COUNTIF($A:$A, A588)&gt;1, "Duplicate", "Unique")</f>
        <v>Unique</v>
      </c>
      <c r="AE588" s="7" t="str">
        <f>IF(G588="","Unknown",G588)</f>
        <v>North</v>
      </c>
      <c r="AF588" s="7" t="str">
        <f>IF(M588="","Unknown",M588)</f>
        <v>Second Class</v>
      </c>
      <c r="AG588" s="7" t="str">
        <f>IF(P588&lt;0,"Invalid",
IF(P588&gt;1,"Invalid","Valid"))</f>
        <v>Valid</v>
      </c>
      <c r="AH588" s="7" t="str">
        <f>TEXT(B588,"mmmm")</f>
        <v>April</v>
      </c>
      <c r="AI588" s="7">
        <f t="shared" si="57"/>
        <v>2025</v>
      </c>
      <c r="AJ588" s="7" t="str">
        <f>IF(OR(R588&lt;0,C588&lt;B588),"Invalid",
IF(OR(G588="Unknown",M588="Unknown"),"Warning","Clean"))</f>
        <v>Clean</v>
      </c>
      <c r="AK588" s="7" t="str">
        <f>IF(C588&lt;B588,"Ship Before Order","OK")</f>
        <v>OK</v>
      </c>
      <c r="AL588" s="7" t="str">
        <f>IF(ISNUMBER(B588),"Valid","Invalid")</f>
        <v>Valid</v>
      </c>
      <c r="AM588" s="7" t="str">
        <f t="shared" si="58"/>
        <v>Ok</v>
      </c>
      <c r="AN588" s="7" t="str">
        <f t="shared" si="59"/>
        <v>Ok</v>
      </c>
    </row>
    <row r="589" spans="1:40">
      <c r="A589" t="s">
        <v>1855</v>
      </c>
      <c r="B589" s="6">
        <v>45861</v>
      </c>
      <c r="C589" s="4">
        <v>46087</v>
      </c>
      <c r="D589" t="s">
        <v>1856</v>
      </c>
      <c r="E589" t="s">
        <v>264</v>
      </c>
      <c r="F589" t="s">
        <v>95</v>
      </c>
      <c r="G589" t="s">
        <v>63</v>
      </c>
      <c r="H589" t="s">
        <v>72</v>
      </c>
      <c r="I589" t="s">
        <v>73</v>
      </c>
      <c r="J589" t="s">
        <v>74</v>
      </c>
      <c r="K589" t="s">
        <v>75</v>
      </c>
      <c r="L589" t="s">
        <v>1857</v>
      </c>
      <c r="M589" t="s">
        <v>50</v>
      </c>
      <c r="N589">
        <v>1</v>
      </c>
      <c r="O589">
        <v>4253.84</v>
      </c>
      <c r="P589">
        <v>0.15</v>
      </c>
      <c r="Q589" s="7">
        <f>IF(P589="", 0, P589)</f>
        <v>0.15</v>
      </c>
      <c r="R589">
        <v>3615.76</v>
      </c>
      <c r="S589">
        <v>2951.52</v>
      </c>
      <c r="T589" s="7">
        <f>N589*O589*(1-Q589)</f>
        <v>3615.7640000000001</v>
      </c>
      <c r="U589" s="7">
        <f t="shared" si="54"/>
        <v>664.24400000000014</v>
      </c>
      <c r="V589">
        <v>664.24</v>
      </c>
      <c r="W589" s="12">
        <f t="shared" si="55"/>
        <v>0.18370778623826114</v>
      </c>
      <c r="X589" t="s">
        <v>102</v>
      </c>
      <c r="Y589" t="str">
        <f t="shared" si="56"/>
        <v>Refunded</v>
      </c>
      <c r="Z589" t="s">
        <v>68</v>
      </c>
      <c r="AA589">
        <f>C589-B589</f>
        <v>226</v>
      </c>
      <c r="AB589" t="str">
        <f>IF(B589="","Missing Order Date",
IF(C589="","Missing Ship Date","OK"))</f>
        <v>OK</v>
      </c>
      <c r="AC589" s="7" t="str">
        <f>IF(C589&lt;B589, "Invalid", "Valid")</f>
        <v>Valid</v>
      </c>
      <c r="AD589" s="7" t="str">
        <f>IF(COUNTIF($A:$A, A589)&gt;1, "Duplicate", "Unique")</f>
        <v>Unique</v>
      </c>
      <c r="AE589" s="7" t="str">
        <f>IF(G589="","Unknown",G589)</f>
        <v>West</v>
      </c>
      <c r="AF589" s="7" t="str">
        <f>IF(M589="","Unknown",M589)</f>
        <v>First Class</v>
      </c>
      <c r="AG589" s="7" t="str">
        <f>IF(P589&lt;0,"Invalid",
IF(P589&gt;1,"Invalid","Valid"))</f>
        <v>Valid</v>
      </c>
      <c r="AH589" s="7" t="str">
        <f>TEXT(B589,"mmmm")</f>
        <v>July</v>
      </c>
      <c r="AI589" s="7">
        <f t="shared" si="57"/>
        <v>2025</v>
      </c>
      <c r="AJ589" s="7" t="str">
        <f>IF(OR(R589&lt;0,C589&lt;B589),"Invalid",
IF(OR(G589="Unknown",M589="Unknown"),"Warning","Clean"))</f>
        <v>Clean</v>
      </c>
      <c r="AK589" s="7" t="str">
        <f>IF(C589&lt;B589,"Ship Before Order","OK")</f>
        <v>OK</v>
      </c>
      <c r="AL589" s="7" t="str">
        <f>IF(ISNUMBER(B589),"Valid","Invalid")</f>
        <v>Valid</v>
      </c>
      <c r="AM589" s="7" t="str">
        <f t="shared" si="58"/>
        <v>Missmatched</v>
      </c>
      <c r="AN589" s="7" t="str">
        <f t="shared" si="59"/>
        <v>Missmatched</v>
      </c>
    </row>
    <row r="590" spans="1:40">
      <c r="A590" t="s">
        <v>1858</v>
      </c>
      <c r="B590" s="6">
        <v>45964</v>
      </c>
      <c r="C590" s="4">
        <v>46088</v>
      </c>
      <c r="D590" t="s">
        <v>1859</v>
      </c>
      <c r="E590" t="s">
        <v>128</v>
      </c>
      <c r="F590" t="s">
        <v>95</v>
      </c>
      <c r="G590" t="s">
        <v>54</v>
      </c>
      <c r="H590" t="s">
        <v>175</v>
      </c>
      <c r="I590" t="s">
        <v>176</v>
      </c>
      <c r="J590" t="s">
        <v>74</v>
      </c>
      <c r="K590" t="s">
        <v>75</v>
      </c>
      <c r="L590" t="s">
        <v>1860</v>
      </c>
      <c r="M590" t="s">
        <v>31</v>
      </c>
      <c r="N590">
        <v>8</v>
      </c>
      <c r="O590">
        <v>4446.3599999999997</v>
      </c>
      <c r="P590">
        <v>0.1</v>
      </c>
      <c r="Q590" s="7">
        <f>IF(P590="", 0, P590)</f>
        <v>0.1</v>
      </c>
      <c r="R590">
        <v>32013.79</v>
      </c>
      <c r="S590">
        <v>20896.88</v>
      </c>
      <c r="T590" s="7">
        <f>N590*O590*(1-Q590)</f>
        <v>32013.791999999998</v>
      </c>
      <c r="U590" s="7">
        <f t="shared" si="54"/>
        <v>11116.911999999997</v>
      </c>
      <c r="V590">
        <v>11116.91</v>
      </c>
      <c r="W590" s="12">
        <f t="shared" si="55"/>
        <v>0.34725383359771933</v>
      </c>
      <c r="X590" t="s">
        <v>102</v>
      </c>
      <c r="Y590" t="str">
        <f t="shared" si="56"/>
        <v>Refunded</v>
      </c>
      <c r="Z590" t="s">
        <v>68</v>
      </c>
      <c r="AA590">
        <f>C590-B590</f>
        <v>124</v>
      </c>
      <c r="AB590" t="str">
        <f>IF(B590="","Missing Order Date",
IF(C590="","Missing Ship Date","OK"))</f>
        <v>OK</v>
      </c>
      <c r="AC590" s="7" t="str">
        <f>IF(C590&lt;B590, "Invalid", "Valid")</f>
        <v>Valid</v>
      </c>
      <c r="AD590" s="7" t="str">
        <f>IF(COUNTIF($A:$A, A590)&gt;1, "Duplicate", "Unique")</f>
        <v>Unique</v>
      </c>
      <c r="AE590" s="7" t="str">
        <f>IF(G590="","Unknown",G590)</f>
        <v>South</v>
      </c>
      <c r="AF590" s="7" t="str">
        <f>IF(M590="","Unknown",M590)</f>
        <v>Second Class</v>
      </c>
      <c r="AG590" s="7" t="str">
        <f>IF(P590&lt;0,"Invalid",
IF(P590&gt;1,"Invalid","Valid"))</f>
        <v>Valid</v>
      </c>
      <c r="AH590" s="7" t="str">
        <f>TEXT(B590,"mmmm")</f>
        <v>November</v>
      </c>
      <c r="AI590" s="7">
        <f t="shared" si="57"/>
        <v>2025</v>
      </c>
      <c r="AJ590" s="7" t="str">
        <f>IF(OR(R590&lt;0,C590&lt;B590),"Invalid",
IF(OR(G590="Unknown",M590="Unknown"),"Warning","Clean"))</f>
        <v>Clean</v>
      </c>
      <c r="AK590" s="7" t="str">
        <f>IF(C590&lt;B590,"Ship Before Order","OK")</f>
        <v>OK</v>
      </c>
      <c r="AL590" s="7" t="str">
        <f>IF(ISNUMBER(B590),"Valid","Invalid")</f>
        <v>Valid</v>
      </c>
      <c r="AM590" s="7" t="str">
        <f t="shared" si="58"/>
        <v>Missmatched</v>
      </c>
      <c r="AN590" s="7" t="str">
        <f t="shared" si="59"/>
        <v>Missmatched</v>
      </c>
    </row>
    <row r="591" spans="1:40">
      <c r="A591" t="s">
        <v>1861</v>
      </c>
      <c r="B591" s="6">
        <v>45455</v>
      </c>
      <c r="C591" s="4">
        <v>46089</v>
      </c>
      <c r="D591" t="s">
        <v>1862</v>
      </c>
      <c r="E591" t="s">
        <v>141</v>
      </c>
      <c r="F591" t="s">
        <v>90</v>
      </c>
      <c r="G591" t="s">
        <v>25</v>
      </c>
      <c r="H591" t="s">
        <v>136</v>
      </c>
      <c r="I591" t="s">
        <v>137</v>
      </c>
      <c r="J591" t="s">
        <v>74</v>
      </c>
      <c r="K591" t="s">
        <v>171</v>
      </c>
      <c r="L591" t="s">
        <v>1863</v>
      </c>
      <c r="M591" t="s">
        <v>50</v>
      </c>
      <c r="N591">
        <v>3</v>
      </c>
      <c r="O591">
        <v>524.75</v>
      </c>
      <c r="P591">
        <v>0</v>
      </c>
      <c r="Q591" s="7">
        <f>IF(P591="", 0, P591)</f>
        <v>0</v>
      </c>
      <c r="R591">
        <v>1574.25</v>
      </c>
      <c r="S591">
        <v>1326.12</v>
      </c>
      <c r="T591" s="7">
        <f>N591*O591*(1-Q591)</f>
        <v>1574.25</v>
      </c>
      <c r="U591" s="7">
        <f t="shared" si="54"/>
        <v>248.13000000000011</v>
      </c>
      <c r="V591">
        <v>248.13</v>
      </c>
      <c r="W591" s="12">
        <f t="shared" si="55"/>
        <v>0.15761791329204389</v>
      </c>
      <c r="X591" t="s">
        <v>32</v>
      </c>
      <c r="Y591" t="str">
        <f t="shared" si="56"/>
        <v>Paid</v>
      </c>
      <c r="Z591" t="s">
        <v>33</v>
      </c>
      <c r="AA591">
        <f>C591-B591</f>
        <v>634</v>
      </c>
      <c r="AB591" t="str">
        <f>IF(B591="","Missing Order Date",
IF(C591="","Missing Ship Date","OK"))</f>
        <v>OK</v>
      </c>
      <c r="AC591" s="7" t="str">
        <f>IF(C591&lt;B591, "Invalid", "Valid")</f>
        <v>Valid</v>
      </c>
      <c r="AD591" s="7" t="str">
        <f>IF(COUNTIF($A:$A, A591)&gt;1, "Duplicate", "Unique")</f>
        <v>Unique</v>
      </c>
      <c r="AE591" s="7" t="str">
        <f>IF(G591="","Unknown",G591)</f>
        <v>North</v>
      </c>
      <c r="AF591" s="7" t="str">
        <f>IF(M591="","Unknown",M591)</f>
        <v>First Class</v>
      </c>
      <c r="AG591" s="7" t="str">
        <f>IF(P591&lt;0,"Invalid",
IF(P591&gt;1,"Invalid","Valid"))</f>
        <v>Valid</v>
      </c>
      <c r="AH591" s="7" t="str">
        <f>TEXT(B591,"mmmm")</f>
        <v>June</v>
      </c>
      <c r="AI591" s="7">
        <f t="shared" si="57"/>
        <v>2024</v>
      </c>
      <c r="AJ591" s="7" t="str">
        <f>IF(OR(R591&lt;0,C591&lt;B591),"Invalid",
IF(OR(G591="Unknown",M591="Unknown"),"Warning","Clean"))</f>
        <v>Clean</v>
      </c>
      <c r="AK591" s="7" t="str">
        <f>IF(C591&lt;B591,"Ship Before Order","OK")</f>
        <v>OK</v>
      </c>
      <c r="AL591" s="7" t="str">
        <f>IF(ISNUMBER(B591),"Valid","Invalid")</f>
        <v>Valid</v>
      </c>
      <c r="AM591" s="7" t="str">
        <f t="shared" si="58"/>
        <v>Ok</v>
      </c>
      <c r="AN591" s="7" t="str">
        <f t="shared" si="59"/>
        <v>Ok</v>
      </c>
    </row>
    <row r="592" spans="1:40">
      <c r="A592" t="s">
        <v>1864</v>
      </c>
      <c r="B592" s="6">
        <v>45441</v>
      </c>
      <c r="C592" s="4">
        <v>46090</v>
      </c>
      <c r="D592" t="s">
        <v>1865</v>
      </c>
      <c r="E592" t="s">
        <v>128</v>
      </c>
      <c r="F592" t="s">
        <v>95</v>
      </c>
      <c r="G592" t="s">
        <v>25</v>
      </c>
      <c r="H592" t="s">
        <v>350</v>
      </c>
      <c r="I592" t="s">
        <v>351</v>
      </c>
      <c r="J592" t="s">
        <v>41</v>
      </c>
      <c r="K592" t="s">
        <v>66</v>
      </c>
      <c r="L592" t="s">
        <v>1866</v>
      </c>
      <c r="M592" t="s">
        <v>44</v>
      </c>
      <c r="N592">
        <v>6</v>
      </c>
      <c r="O592">
        <v>3430.35</v>
      </c>
      <c r="P592">
        <v>0</v>
      </c>
      <c r="Q592" s="7">
        <f>IF(P592="", 0, P592)</f>
        <v>0</v>
      </c>
      <c r="R592">
        <v>20582.099999999999</v>
      </c>
      <c r="S592">
        <v>15897.65</v>
      </c>
      <c r="T592" s="7">
        <f>N592*O592*(1-Q592)</f>
        <v>20582.099999999999</v>
      </c>
      <c r="U592" s="7">
        <f t="shared" si="54"/>
        <v>4684.4499999999989</v>
      </c>
      <c r="V592">
        <v>4684.45</v>
      </c>
      <c r="W592" s="12">
        <f t="shared" si="55"/>
        <v>0.22759825285077806</v>
      </c>
      <c r="X592" t="s">
        <v>111</v>
      </c>
      <c r="Y592" t="str">
        <f t="shared" si="56"/>
        <v>Pending</v>
      </c>
      <c r="Z592" t="s">
        <v>68</v>
      </c>
      <c r="AA592">
        <f>C592-B592</f>
        <v>649</v>
      </c>
      <c r="AB592" t="str">
        <f>IF(B592="","Missing Order Date",
IF(C592="","Missing Ship Date","OK"))</f>
        <v>OK</v>
      </c>
      <c r="AC592" s="7" t="str">
        <f>IF(C592&lt;B592, "Invalid", "Valid")</f>
        <v>Valid</v>
      </c>
      <c r="AD592" s="7" t="str">
        <f>IF(COUNTIF($A:$A, A592)&gt;1, "Duplicate", "Unique")</f>
        <v>Unique</v>
      </c>
      <c r="AE592" s="7" t="str">
        <f>IF(G592="","Unknown",G592)</f>
        <v>North</v>
      </c>
      <c r="AF592" s="7" t="str">
        <f>IF(M592="","Unknown",M592)</f>
        <v>Same Day</v>
      </c>
      <c r="AG592" s="7" t="str">
        <f>IF(P592&lt;0,"Invalid",
IF(P592&gt;1,"Invalid","Valid"))</f>
        <v>Valid</v>
      </c>
      <c r="AH592" s="7" t="str">
        <f>TEXT(B592,"mmmm")</f>
        <v>May</v>
      </c>
      <c r="AI592" s="7">
        <f t="shared" si="57"/>
        <v>2024</v>
      </c>
      <c r="AJ592" s="7" t="str">
        <f>IF(OR(R592&lt;0,C592&lt;B592),"Invalid",
IF(OR(G592="Unknown",M592="Unknown"),"Warning","Clean"))</f>
        <v>Clean</v>
      </c>
      <c r="AK592" s="7" t="str">
        <f>IF(C592&lt;B592,"Ship Before Order","OK")</f>
        <v>OK</v>
      </c>
      <c r="AL592" s="7" t="str">
        <f>IF(ISNUMBER(B592),"Valid","Invalid")</f>
        <v>Valid</v>
      </c>
      <c r="AM592" s="7" t="str">
        <f t="shared" si="58"/>
        <v>Ok</v>
      </c>
      <c r="AN592" s="7" t="str">
        <f t="shared" si="59"/>
        <v>Ok</v>
      </c>
    </row>
    <row r="593" spans="1:40">
      <c r="A593" t="s">
        <v>1867</v>
      </c>
      <c r="B593" s="6">
        <v>45344</v>
      </c>
      <c r="C593" s="4">
        <v>46091</v>
      </c>
      <c r="D593" t="s">
        <v>1868</v>
      </c>
      <c r="E593" t="s">
        <v>132</v>
      </c>
      <c r="F593" t="s">
        <v>24</v>
      </c>
      <c r="G593" t="s">
        <v>54</v>
      </c>
      <c r="H593" t="s">
        <v>175</v>
      </c>
      <c r="I593" t="s">
        <v>176</v>
      </c>
      <c r="J593" t="s">
        <v>74</v>
      </c>
      <c r="K593" t="s">
        <v>80</v>
      </c>
      <c r="L593" t="s">
        <v>1869</v>
      </c>
      <c r="M593" t="s">
        <v>50</v>
      </c>
      <c r="N593">
        <v>3</v>
      </c>
      <c r="O593">
        <v>3545.08</v>
      </c>
      <c r="P593">
        <v>0</v>
      </c>
      <c r="Q593" s="7">
        <f>IF(P593="", 0, P593)</f>
        <v>0</v>
      </c>
      <c r="R593">
        <v>10635.24</v>
      </c>
      <c r="S593">
        <v>6031.88</v>
      </c>
      <c r="T593" s="7">
        <f>N593*O593*(1-Q593)</f>
        <v>10635.24</v>
      </c>
      <c r="U593" s="7">
        <f t="shared" si="54"/>
        <v>4603.3599999999997</v>
      </c>
      <c r="V593">
        <v>4603.3599999999997</v>
      </c>
      <c r="W593" s="12">
        <f t="shared" si="55"/>
        <v>0.43284025560307055</v>
      </c>
      <c r="X593" t="s">
        <v>155</v>
      </c>
      <c r="Y593" t="str">
        <f t="shared" si="56"/>
        <v>Failed</v>
      </c>
      <c r="Z593" t="s">
        <v>103</v>
      </c>
      <c r="AA593">
        <f>C593-B593</f>
        <v>747</v>
      </c>
      <c r="AB593" t="str">
        <f>IF(B593="","Missing Order Date",
IF(C593="","Missing Ship Date","OK"))</f>
        <v>OK</v>
      </c>
      <c r="AC593" s="7" t="str">
        <f>IF(C593&lt;B593, "Invalid", "Valid")</f>
        <v>Valid</v>
      </c>
      <c r="AD593" s="7" t="str">
        <f>IF(COUNTIF($A:$A, A593)&gt;1, "Duplicate", "Unique")</f>
        <v>Unique</v>
      </c>
      <c r="AE593" s="7" t="str">
        <f>IF(G593="","Unknown",G593)</f>
        <v>South</v>
      </c>
      <c r="AF593" s="7" t="str">
        <f>IF(M593="","Unknown",M593)</f>
        <v>First Class</v>
      </c>
      <c r="AG593" s="7" t="str">
        <f>IF(P593&lt;0,"Invalid",
IF(P593&gt;1,"Invalid","Valid"))</f>
        <v>Valid</v>
      </c>
      <c r="AH593" s="7" t="str">
        <f>TEXT(B593,"mmmm")</f>
        <v>February</v>
      </c>
      <c r="AI593" s="7">
        <f t="shared" si="57"/>
        <v>2024</v>
      </c>
      <c r="AJ593" s="7" t="str">
        <f>IF(OR(R593&lt;0,C593&lt;B593),"Invalid",
IF(OR(G593="Unknown",M593="Unknown"),"Warning","Clean"))</f>
        <v>Clean</v>
      </c>
      <c r="AK593" s="7" t="str">
        <f>IF(C593&lt;B593,"Ship Before Order","OK")</f>
        <v>OK</v>
      </c>
      <c r="AL593" s="7" t="str">
        <f>IF(ISNUMBER(B593),"Valid","Invalid")</f>
        <v>Valid</v>
      </c>
      <c r="AM593" s="7" t="str">
        <f t="shared" si="58"/>
        <v>Ok</v>
      </c>
      <c r="AN593" s="7" t="str">
        <f t="shared" si="59"/>
        <v>Ok</v>
      </c>
    </row>
    <row r="594" spans="1:40">
      <c r="A594" t="s">
        <v>1870</v>
      </c>
      <c r="B594" s="6">
        <v>45355</v>
      </c>
      <c r="C594" s="4">
        <v>46092</v>
      </c>
      <c r="D594" t="s">
        <v>1871</v>
      </c>
      <c r="E594" t="s">
        <v>36</v>
      </c>
      <c r="F594" t="s">
        <v>24</v>
      </c>
      <c r="G594" t="s">
        <v>38</v>
      </c>
      <c r="H594" t="s">
        <v>99</v>
      </c>
      <c r="I594" t="s">
        <v>100</v>
      </c>
      <c r="J594" t="s">
        <v>74</v>
      </c>
      <c r="K594" t="s">
        <v>75</v>
      </c>
      <c r="L594" t="s">
        <v>1872</v>
      </c>
      <c r="M594" t="s">
        <v>44</v>
      </c>
      <c r="N594">
        <v>8</v>
      </c>
      <c r="O594">
        <v>4401.41</v>
      </c>
      <c r="P594">
        <v>0.15</v>
      </c>
      <c r="Q594" s="7">
        <f>IF(P594="", 0, P594)</f>
        <v>0.15</v>
      </c>
      <c r="R594">
        <v>29929.59</v>
      </c>
      <c r="S594">
        <v>22436.03</v>
      </c>
      <c r="T594" s="7">
        <f>N594*O594*(1-Q594)</f>
        <v>29929.588</v>
      </c>
      <c r="U594" s="7">
        <f t="shared" si="54"/>
        <v>7493.5580000000009</v>
      </c>
      <c r="V594">
        <v>7493.56</v>
      </c>
      <c r="W594" s="12">
        <f t="shared" si="55"/>
        <v>0.25037290857461858</v>
      </c>
      <c r="X594" t="s">
        <v>32</v>
      </c>
      <c r="Y594" t="str">
        <f t="shared" si="56"/>
        <v>Paid</v>
      </c>
      <c r="Z594" t="s">
        <v>33</v>
      </c>
      <c r="AA594">
        <f>C594-B594</f>
        <v>737</v>
      </c>
      <c r="AB594" t="str">
        <f>IF(B594="","Missing Order Date",
IF(C594="","Missing Ship Date","OK"))</f>
        <v>OK</v>
      </c>
      <c r="AC594" s="7" t="str">
        <f>IF(C594&lt;B594, "Invalid", "Valid")</f>
        <v>Valid</v>
      </c>
      <c r="AD594" s="7" t="str">
        <f>IF(COUNTIF($A:$A, A594)&gt;1, "Duplicate", "Unique")</f>
        <v>Unique</v>
      </c>
      <c r="AE594" s="7" t="str">
        <f>IF(G594="","Unknown",G594)</f>
        <v>East</v>
      </c>
      <c r="AF594" s="7" t="str">
        <f>IF(M594="","Unknown",M594)</f>
        <v>Same Day</v>
      </c>
      <c r="AG594" s="7" t="str">
        <f>IF(P594&lt;0,"Invalid",
IF(P594&gt;1,"Invalid","Valid"))</f>
        <v>Valid</v>
      </c>
      <c r="AH594" s="7" t="str">
        <f>TEXT(B594,"mmmm")</f>
        <v>March</v>
      </c>
      <c r="AI594" s="7">
        <f t="shared" si="57"/>
        <v>2024</v>
      </c>
      <c r="AJ594" s="7" t="str">
        <f>IF(OR(R594&lt;0,C594&lt;B594),"Invalid",
IF(OR(G594="Unknown",M594="Unknown"),"Warning","Clean"))</f>
        <v>Clean</v>
      </c>
      <c r="AK594" s="7" t="str">
        <f>IF(C594&lt;B594,"Ship Before Order","OK")</f>
        <v>OK</v>
      </c>
      <c r="AL594" s="7" t="str">
        <f>IF(ISNUMBER(B594),"Valid","Invalid")</f>
        <v>Valid</v>
      </c>
      <c r="AM594" s="7" t="str">
        <f t="shared" si="58"/>
        <v>Missmatched</v>
      </c>
      <c r="AN594" s="7" t="str">
        <f t="shared" si="59"/>
        <v>Missmatched</v>
      </c>
    </row>
    <row r="595" spans="1:40">
      <c r="A595" t="s">
        <v>1873</v>
      </c>
      <c r="B595" s="6">
        <v>45927</v>
      </c>
      <c r="C595" s="4">
        <v>46093</v>
      </c>
      <c r="D595" t="s">
        <v>1665</v>
      </c>
      <c r="E595" t="s">
        <v>53</v>
      </c>
      <c r="F595" t="s">
        <v>95</v>
      </c>
      <c r="G595" t="s">
        <v>25</v>
      </c>
      <c r="H595" t="s">
        <v>136</v>
      </c>
      <c r="I595" t="s">
        <v>137</v>
      </c>
      <c r="J595" t="s">
        <v>41</v>
      </c>
      <c r="K595" t="s">
        <v>42</v>
      </c>
      <c r="L595" t="s">
        <v>1874</v>
      </c>
      <c r="M595" t="s">
        <v>31</v>
      </c>
      <c r="N595">
        <v>9</v>
      </c>
      <c r="O595">
        <v>4100.1099999999997</v>
      </c>
      <c r="P595">
        <v>0.25</v>
      </c>
      <c r="Q595" s="7">
        <f>IF(P595="", 0, P595)</f>
        <v>0.25</v>
      </c>
      <c r="R595">
        <v>27675.74</v>
      </c>
      <c r="S595">
        <v>15571.08</v>
      </c>
      <c r="T595" s="7">
        <f>N595*O595*(1-Q595)</f>
        <v>27675.7425</v>
      </c>
      <c r="U595" s="7">
        <f t="shared" si="54"/>
        <v>12104.6625</v>
      </c>
      <c r="V595">
        <v>12104.66</v>
      </c>
      <c r="W595" s="12">
        <f t="shared" si="55"/>
        <v>0.4373744444254748</v>
      </c>
      <c r="X595" t="s">
        <v>32</v>
      </c>
      <c r="Y595" t="str">
        <f t="shared" si="56"/>
        <v>Paid</v>
      </c>
      <c r="Z595" t="s">
        <v>33</v>
      </c>
      <c r="AA595">
        <f>C595-B595</f>
        <v>166</v>
      </c>
      <c r="AB595" t="str">
        <f>IF(B595="","Missing Order Date",
IF(C595="","Missing Ship Date","OK"))</f>
        <v>OK</v>
      </c>
      <c r="AC595" s="7" t="str">
        <f>IF(C595&lt;B595, "Invalid", "Valid")</f>
        <v>Valid</v>
      </c>
      <c r="AD595" s="7" t="str">
        <f>IF(COUNTIF($A:$A, A595)&gt;1, "Duplicate", "Unique")</f>
        <v>Unique</v>
      </c>
      <c r="AE595" s="7" t="str">
        <f>IF(G595="","Unknown",G595)</f>
        <v>North</v>
      </c>
      <c r="AF595" s="7" t="str">
        <f>IF(M595="","Unknown",M595)</f>
        <v>Second Class</v>
      </c>
      <c r="AG595" s="7" t="str">
        <f>IF(P595&lt;0,"Invalid",
IF(P595&gt;1,"Invalid","Valid"))</f>
        <v>Valid</v>
      </c>
      <c r="AH595" s="7" t="str">
        <f>TEXT(B595,"mmmm")</f>
        <v>September</v>
      </c>
      <c r="AI595" s="7">
        <f t="shared" si="57"/>
        <v>2025</v>
      </c>
      <c r="AJ595" s="7" t="str">
        <f>IF(OR(R595&lt;0,C595&lt;B595),"Invalid",
IF(OR(G595="Unknown",M595="Unknown"),"Warning","Clean"))</f>
        <v>Clean</v>
      </c>
      <c r="AK595" s="7" t="str">
        <f>IF(C595&lt;B595,"Ship Before Order","OK")</f>
        <v>OK</v>
      </c>
      <c r="AL595" s="7" t="str">
        <f>IF(ISNUMBER(B595),"Valid","Invalid")</f>
        <v>Valid</v>
      </c>
      <c r="AM595" s="7" t="str">
        <f t="shared" si="58"/>
        <v>Missmatched</v>
      </c>
      <c r="AN595" s="7" t="str">
        <f t="shared" si="59"/>
        <v>Missmatched</v>
      </c>
    </row>
    <row r="596" spans="1:40">
      <c r="A596" t="s">
        <v>1875</v>
      </c>
      <c r="B596" s="6">
        <v>45554</v>
      </c>
      <c r="C596" s="4">
        <v>46094</v>
      </c>
      <c r="D596" t="s">
        <v>1876</v>
      </c>
      <c r="E596" t="s">
        <v>23</v>
      </c>
      <c r="F596" t="s">
        <v>37</v>
      </c>
      <c r="G596" t="s">
        <v>38</v>
      </c>
      <c r="H596" t="s">
        <v>99</v>
      </c>
      <c r="I596" t="s">
        <v>100</v>
      </c>
      <c r="J596" t="s">
        <v>41</v>
      </c>
      <c r="K596" t="s">
        <v>66</v>
      </c>
      <c r="L596" t="s">
        <v>1877</v>
      </c>
      <c r="M596" t="s">
        <v>50</v>
      </c>
      <c r="N596">
        <v>3</v>
      </c>
      <c r="O596">
        <v>3981.76</v>
      </c>
      <c r="P596">
        <v>0</v>
      </c>
      <c r="Q596" s="7">
        <f>IF(P596="", 0, P596)</f>
        <v>0</v>
      </c>
      <c r="R596">
        <v>11945.28</v>
      </c>
      <c r="S596">
        <v>9700.31</v>
      </c>
      <c r="T596" s="7">
        <f>N596*O596*(1-Q596)</f>
        <v>11945.28</v>
      </c>
      <c r="U596" s="7">
        <f t="shared" si="54"/>
        <v>2244.9700000000012</v>
      </c>
      <c r="V596">
        <v>2244.9699999999998</v>
      </c>
      <c r="W596" s="12">
        <f t="shared" si="55"/>
        <v>0.18793782983739193</v>
      </c>
      <c r="X596" t="s">
        <v>32</v>
      </c>
      <c r="Y596" t="str">
        <f t="shared" si="56"/>
        <v>Paid</v>
      </c>
      <c r="Z596" t="s">
        <v>33</v>
      </c>
      <c r="AA596">
        <f>C596-B596</f>
        <v>540</v>
      </c>
      <c r="AB596" t="str">
        <f>IF(B596="","Missing Order Date",
IF(C596="","Missing Ship Date","OK"))</f>
        <v>OK</v>
      </c>
      <c r="AC596" s="7" t="str">
        <f>IF(C596&lt;B596, "Invalid", "Valid")</f>
        <v>Valid</v>
      </c>
      <c r="AD596" s="7" t="str">
        <f>IF(COUNTIF($A:$A, A596)&gt;1, "Duplicate", "Unique")</f>
        <v>Unique</v>
      </c>
      <c r="AE596" s="7" t="str">
        <f>IF(G596="","Unknown",G596)</f>
        <v>East</v>
      </c>
      <c r="AF596" s="7" t="str">
        <f>IF(M596="","Unknown",M596)</f>
        <v>First Class</v>
      </c>
      <c r="AG596" s="7" t="str">
        <f>IF(P596&lt;0,"Invalid",
IF(P596&gt;1,"Invalid","Valid"))</f>
        <v>Valid</v>
      </c>
      <c r="AH596" s="7" t="str">
        <f>TEXT(B596,"mmmm")</f>
        <v>September</v>
      </c>
      <c r="AI596" s="7">
        <f t="shared" si="57"/>
        <v>2024</v>
      </c>
      <c r="AJ596" s="7" t="str">
        <f>IF(OR(R596&lt;0,C596&lt;B596),"Invalid",
IF(OR(G596="Unknown",M596="Unknown"),"Warning","Clean"))</f>
        <v>Clean</v>
      </c>
      <c r="AK596" s="7" t="str">
        <f>IF(C596&lt;B596,"Ship Before Order","OK")</f>
        <v>OK</v>
      </c>
      <c r="AL596" s="7" t="str">
        <f>IF(ISNUMBER(B596),"Valid","Invalid")</f>
        <v>Valid</v>
      </c>
      <c r="AM596" s="7" t="str">
        <f t="shared" si="58"/>
        <v>Ok</v>
      </c>
      <c r="AN596" s="7" t="str">
        <f t="shared" si="59"/>
        <v>Ok</v>
      </c>
    </row>
    <row r="597" spans="1:40">
      <c r="A597" t="s">
        <v>1878</v>
      </c>
      <c r="B597" s="6">
        <v>45963</v>
      </c>
      <c r="C597" s="4">
        <v>46095</v>
      </c>
      <c r="D597" t="s">
        <v>1879</v>
      </c>
      <c r="E597" t="s">
        <v>36</v>
      </c>
      <c r="F597" t="s">
        <v>90</v>
      </c>
      <c r="G597" t="s">
        <v>25</v>
      </c>
      <c r="H597" t="s">
        <v>136</v>
      </c>
      <c r="I597" t="s">
        <v>137</v>
      </c>
      <c r="J597" t="s">
        <v>74</v>
      </c>
      <c r="K597" t="s">
        <v>171</v>
      </c>
      <c r="L597" t="s">
        <v>1880</v>
      </c>
      <c r="M597" t="s">
        <v>50</v>
      </c>
      <c r="N597">
        <v>8</v>
      </c>
      <c r="O597">
        <v>1825.56</v>
      </c>
      <c r="P597">
        <v>0.1</v>
      </c>
      <c r="Q597" s="7">
        <f>IF(P597="", 0, P597)</f>
        <v>0.1</v>
      </c>
      <c r="R597">
        <v>13144.03</v>
      </c>
      <c r="S597">
        <v>9764</v>
      </c>
      <c r="T597" s="7">
        <f>N597*O597*(1-Q597)</f>
        <v>13144.031999999999</v>
      </c>
      <c r="U597" s="7">
        <f t="shared" si="54"/>
        <v>3380.0319999999992</v>
      </c>
      <c r="V597">
        <v>3380.03</v>
      </c>
      <c r="W597" s="12">
        <f t="shared" si="55"/>
        <v>0.25715336055176974</v>
      </c>
      <c r="X597" t="s">
        <v>32</v>
      </c>
      <c r="Y597" t="str">
        <f t="shared" si="56"/>
        <v>Paid</v>
      </c>
      <c r="Z597" t="s">
        <v>33</v>
      </c>
      <c r="AA597">
        <f>C597-B597</f>
        <v>132</v>
      </c>
      <c r="AB597" t="str">
        <f>IF(B597="","Missing Order Date",
IF(C597="","Missing Ship Date","OK"))</f>
        <v>OK</v>
      </c>
      <c r="AC597" s="7" t="str">
        <f>IF(C597&lt;B597, "Invalid", "Valid")</f>
        <v>Valid</v>
      </c>
      <c r="AD597" s="7" t="str">
        <f>IF(COUNTIF($A:$A, A597)&gt;1, "Duplicate", "Unique")</f>
        <v>Unique</v>
      </c>
      <c r="AE597" s="7" t="str">
        <f>IF(G597="","Unknown",G597)</f>
        <v>North</v>
      </c>
      <c r="AF597" s="7" t="str">
        <f>IF(M597="","Unknown",M597)</f>
        <v>First Class</v>
      </c>
      <c r="AG597" s="7" t="str">
        <f>IF(P597&lt;0,"Invalid",
IF(P597&gt;1,"Invalid","Valid"))</f>
        <v>Valid</v>
      </c>
      <c r="AH597" s="7" t="str">
        <f>TEXT(B597,"mmmm")</f>
        <v>November</v>
      </c>
      <c r="AI597" s="7">
        <f t="shared" si="57"/>
        <v>2025</v>
      </c>
      <c r="AJ597" s="7" t="str">
        <f>IF(OR(R597&lt;0,C597&lt;B597),"Invalid",
IF(OR(G597="Unknown",M597="Unknown"),"Warning","Clean"))</f>
        <v>Clean</v>
      </c>
      <c r="AK597" s="7" t="str">
        <f>IF(C597&lt;B597,"Ship Before Order","OK")</f>
        <v>OK</v>
      </c>
      <c r="AL597" s="7" t="str">
        <f>IF(ISNUMBER(B597),"Valid","Invalid")</f>
        <v>Valid</v>
      </c>
      <c r="AM597" s="7" t="str">
        <f t="shared" si="58"/>
        <v>Missmatched</v>
      </c>
      <c r="AN597" s="7" t="str">
        <f t="shared" si="59"/>
        <v>Missmatched</v>
      </c>
    </row>
    <row r="598" spans="1:40">
      <c r="A598" t="s">
        <v>1881</v>
      </c>
      <c r="B598" s="6">
        <v>45569</v>
      </c>
      <c r="C598" s="4">
        <v>46096</v>
      </c>
      <c r="D598" t="s">
        <v>1882</v>
      </c>
      <c r="E598" t="s">
        <v>89</v>
      </c>
      <c r="F598" t="s">
        <v>24</v>
      </c>
      <c r="G598" t="s">
        <v>54</v>
      </c>
      <c r="H598" t="s">
        <v>185</v>
      </c>
      <c r="I598" t="s">
        <v>186</v>
      </c>
      <c r="J598" t="s">
        <v>41</v>
      </c>
      <c r="K598" t="s">
        <v>66</v>
      </c>
      <c r="L598" t="s">
        <v>1883</v>
      </c>
      <c r="M598" t="s">
        <v>31</v>
      </c>
      <c r="N598">
        <v>9</v>
      </c>
      <c r="O598">
        <v>2723.26</v>
      </c>
      <c r="P598">
        <v>0.25</v>
      </c>
      <c r="Q598" s="7">
        <f>IF(P598="", 0, P598)</f>
        <v>0.25</v>
      </c>
      <c r="R598">
        <v>18382.009999999998</v>
      </c>
      <c r="S598">
        <v>13108.2</v>
      </c>
      <c r="T598" s="7">
        <f>N598*O598*(1-Q598)</f>
        <v>18382.005000000005</v>
      </c>
      <c r="U598" s="7">
        <f t="shared" si="54"/>
        <v>5273.8050000000039</v>
      </c>
      <c r="V598">
        <v>5273.81</v>
      </c>
      <c r="W598" s="12">
        <f t="shared" si="55"/>
        <v>0.28690042245119629</v>
      </c>
      <c r="X598" t="s">
        <v>32</v>
      </c>
      <c r="Y598" t="str">
        <f t="shared" si="56"/>
        <v>Paid</v>
      </c>
      <c r="Z598" t="s">
        <v>33</v>
      </c>
      <c r="AA598">
        <f>C598-B598</f>
        <v>527</v>
      </c>
      <c r="AB598" t="str">
        <f>IF(B598="","Missing Order Date",
IF(C598="","Missing Ship Date","OK"))</f>
        <v>OK</v>
      </c>
      <c r="AC598" s="7" t="str">
        <f>IF(C598&lt;B598, "Invalid", "Valid")</f>
        <v>Valid</v>
      </c>
      <c r="AD598" s="7" t="str">
        <f>IF(COUNTIF($A:$A, A598)&gt;1, "Duplicate", "Unique")</f>
        <v>Unique</v>
      </c>
      <c r="AE598" s="7" t="str">
        <f>IF(G598="","Unknown",G598)</f>
        <v>South</v>
      </c>
      <c r="AF598" s="7" t="str">
        <f>IF(M598="","Unknown",M598)</f>
        <v>Second Class</v>
      </c>
      <c r="AG598" s="7" t="str">
        <f>IF(P598&lt;0,"Invalid",
IF(P598&gt;1,"Invalid","Valid"))</f>
        <v>Valid</v>
      </c>
      <c r="AH598" s="7" t="str">
        <f>TEXT(B598,"mmmm")</f>
        <v>October</v>
      </c>
      <c r="AI598" s="7">
        <f t="shared" si="57"/>
        <v>2024</v>
      </c>
      <c r="AJ598" s="7" t="str">
        <f>IF(OR(R598&lt;0,C598&lt;B598),"Invalid",
IF(OR(G598="Unknown",M598="Unknown"),"Warning","Clean"))</f>
        <v>Clean</v>
      </c>
      <c r="AK598" s="7" t="str">
        <f>IF(C598&lt;B598,"Ship Before Order","OK")</f>
        <v>OK</v>
      </c>
      <c r="AL598" s="7" t="str">
        <f>IF(ISNUMBER(B598),"Valid","Invalid")</f>
        <v>Valid</v>
      </c>
      <c r="AM598" s="7" t="str">
        <f t="shared" si="58"/>
        <v>Missmatched</v>
      </c>
      <c r="AN598" s="7" t="str">
        <f t="shared" si="59"/>
        <v>Missmatched</v>
      </c>
    </row>
    <row r="599" spans="1:40">
      <c r="A599" t="s">
        <v>1884</v>
      </c>
      <c r="B599" s="6">
        <v>45876</v>
      </c>
      <c r="C599" s="4">
        <v>46097</v>
      </c>
      <c r="D599" t="s">
        <v>1885</v>
      </c>
      <c r="E599" t="s">
        <v>89</v>
      </c>
      <c r="F599" t="s">
        <v>24</v>
      </c>
      <c r="G599" t="s">
        <v>54</v>
      </c>
      <c r="H599" t="s">
        <v>55</v>
      </c>
      <c r="I599" t="s">
        <v>56</v>
      </c>
      <c r="J599" t="s">
        <v>74</v>
      </c>
      <c r="K599" t="s">
        <v>80</v>
      </c>
      <c r="L599" t="s">
        <v>1886</v>
      </c>
      <c r="M599" t="s">
        <v>44</v>
      </c>
      <c r="N599">
        <v>9</v>
      </c>
      <c r="O599">
        <v>274.88</v>
      </c>
      <c r="P599">
        <v>0.25</v>
      </c>
      <c r="Q599" s="7">
        <f>IF(P599="", 0, P599)</f>
        <v>0.25</v>
      </c>
      <c r="R599">
        <v>1855.44</v>
      </c>
      <c r="S599">
        <v>1262.74</v>
      </c>
      <c r="T599" s="7">
        <f>N599*O599*(1-Q599)</f>
        <v>1855.44</v>
      </c>
      <c r="U599" s="7">
        <f t="shared" si="54"/>
        <v>592.70000000000005</v>
      </c>
      <c r="V599">
        <v>592.70000000000005</v>
      </c>
      <c r="W599" s="12">
        <f t="shared" si="55"/>
        <v>0.3194390548872505</v>
      </c>
      <c r="X599" t="s">
        <v>32</v>
      </c>
      <c r="Y599" t="str">
        <f t="shared" si="56"/>
        <v>Paid</v>
      </c>
      <c r="Z599" t="s">
        <v>33</v>
      </c>
      <c r="AA599">
        <f>C599-B599</f>
        <v>221</v>
      </c>
      <c r="AB599" t="str">
        <f>IF(B599="","Missing Order Date",
IF(C599="","Missing Ship Date","OK"))</f>
        <v>OK</v>
      </c>
      <c r="AC599" s="7" t="str">
        <f>IF(C599&lt;B599, "Invalid", "Valid")</f>
        <v>Valid</v>
      </c>
      <c r="AD599" s="7" t="str">
        <f>IF(COUNTIF($A:$A, A599)&gt;1, "Duplicate", "Unique")</f>
        <v>Unique</v>
      </c>
      <c r="AE599" s="7" t="str">
        <f>IF(G599="","Unknown",G599)</f>
        <v>South</v>
      </c>
      <c r="AF599" s="7" t="str">
        <f>IF(M599="","Unknown",M599)</f>
        <v>Same Day</v>
      </c>
      <c r="AG599" s="7" t="str">
        <f>IF(P599&lt;0,"Invalid",
IF(P599&gt;1,"Invalid","Valid"))</f>
        <v>Valid</v>
      </c>
      <c r="AH599" s="7" t="str">
        <f>TEXT(B599,"mmmm")</f>
        <v>August</v>
      </c>
      <c r="AI599" s="7">
        <f t="shared" si="57"/>
        <v>2025</v>
      </c>
      <c r="AJ599" s="7" t="str">
        <f>IF(OR(R599&lt;0,C599&lt;B599),"Invalid",
IF(OR(G599="Unknown",M599="Unknown"),"Warning","Clean"))</f>
        <v>Clean</v>
      </c>
      <c r="AK599" s="7" t="str">
        <f>IF(C599&lt;B599,"Ship Before Order","OK")</f>
        <v>OK</v>
      </c>
      <c r="AL599" s="7" t="str">
        <f>IF(ISNUMBER(B599),"Valid","Invalid")</f>
        <v>Valid</v>
      </c>
      <c r="AM599" s="7" t="str">
        <f t="shared" si="58"/>
        <v>Ok</v>
      </c>
      <c r="AN599" s="7" t="str">
        <f t="shared" si="59"/>
        <v>Ok</v>
      </c>
    </row>
    <row r="600" spans="1:40">
      <c r="A600" t="s">
        <v>1887</v>
      </c>
      <c r="B600" s="6">
        <v>45521</v>
      </c>
      <c r="C600" s="4">
        <v>46098</v>
      </c>
      <c r="D600" t="s">
        <v>1888</v>
      </c>
      <c r="E600" t="s">
        <v>62</v>
      </c>
      <c r="F600" t="s">
        <v>90</v>
      </c>
      <c r="G600" t="s">
        <v>38</v>
      </c>
      <c r="H600" t="s">
        <v>99</v>
      </c>
      <c r="I600" t="s">
        <v>100</v>
      </c>
      <c r="J600" t="s">
        <v>74</v>
      </c>
      <c r="K600" t="s">
        <v>80</v>
      </c>
      <c r="L600" t="s">
        <v>1889</v>
      </c>
      <c r="M600" t="s">
        <v>44</v>
      </c>
      <c r="N600">
        <v>3</v>
      </c>
      <c r="O600">
        <v>1490.69</v>
      </c>
      <c r="P600">
        <v>0.25</v>
      </c>
      <c r="Q600" s="7">
        <f>IF(P600="", 0, P600)</f>
        <v>0.25</v>
      </c>
      <c r="R600">
        <v>3354.05</v>
      </c>
      <c r="S600">
        <v>2672.67</v>
      </c>
      <c r="T600" s="7">
        <f>N600*O600*(1-Q600)</f>
        <v>3354.0524999999998</v>
      </c>
      <c r="U600" s="7">
        <f t="shared" si="54"/>
        <v>681.38249999999971</v>
      </c>
      <c r="V600">
        <v>681.38</v>
      </c>
      <c r="W600" s="12">
        <f t="shared" si="55"/>
        <v>0.20315200790685289</v>
      </c>
      <c r="X600" t="s">
        <v>32</v>
      </c>
      <c r="Y600" t="str">
        <f t="shared" si="56"/>
        <v>Paid</v>
      </c>
      <c r="Z600" t="s">
        <v>33</v>
      </c>
      <c r="AA600">
        <f>C600-B600</f>
        <v>577</v>
      </c>
      <c r="AB600" t="str">
        <f>IF(B600="","Missing Order Date",
IF(C600="","Missing Ship Date","OK"))</f>
        <v>OK</v>
      </c>
      <c r="AC600" s="7" t="str">
        <f>IF(C600&lt;B600, "Invalid", "Valid")</f>
        <v>Valid</v>
      </c>
      <c r="AD600" s="7" t="str">
        <f>IF(COUNTIF($A:$A, A600)&gt;1, "Duplicate", "Unique")</f>
        <v>Duplicate</v>
      </c>
      <c r="AE600" s="7" t="str">
        <f>IF(G600="","Unknown",G600)</f>
        <v>East</v>
      </c>
      <c r="AF600" s="7" t="str">
        <f>IF(M600="","Unknown",M600)</f>
        <v>Same Day</v>
      </c>
      <c r="AG600" s="7" t="str">
        <f>IF(P600&lt;0,"Invalid",
IF(P600&gt;1,"Invalid","Valid"))</f>
        <v>Valid</v>
      </c>
      <c r="AH600" s="7" t="str">
        <f>TEXT(B600,"mmmm")</f>
        <v>August</v>
      </c>
      <c r="AI600" s="7">
        <f t="shared" si="57"/>
        <v>2024</v>
      </c>
      <c r="AJ600" s="7" t="str">
        <f>IF(OR(R600&lt;0,C600&lt;B600),"Invalid",
IF(OR(G600="Unknown",M600="Unknown"),"Warning","Clean"))</f>
        <v>Clean</v>
      </c>
      <c r="AK600" s="7" t="str">
        <f>IF(C600&lt;B600,"Ship Before Order","OK")</f>
        <v>OK</v>
      </c>
      <c r="AL600" s="7" t="str">
        <f>IF(ISNUMBER(B600),"Valid","Invalid")</f>
        <v>Valid</v>
      </c>
      <c r="AM600" s="7" t="str">
        <f t="shared" si="58"/>
        <v>Missmatched</v>
      </c>
      <c r="AN600" s="7" t="str">
        <f t="shared" si="59"/>
        <v>Missmatched</v>
      </c>
    </row>
    <row r="601" spans="1:40">
      <c r="A601" t="s">
        <v>1890</v>
      </c>
      <c r="B601" s="6">
        <v>45523</v>
      </c>
      <c r="C601" s="4">
        <v>46099</v>
      </c>
      <c r="D601" t="s">
        <v>1891</v>
      </c>
      <c r="E601" t="s">
        <v>53</v>
      </c>
      <c r="F601" t="s">
        <v>24</v>
      </c>
      <c r="G601" t="s">
        <v>25</v>
      </c>
      <c r="H601" t="s">
        <v>122</v>
      </c>
      <c r="I601" t="s">
        <v>123</v>
      </c>
      <c r="J601" t="s">
        <v>74</v>
      </c>
      <c r="K601" t="s">
        <v>171</v>
      </c>
      <c r="L601" t="s">
        <v>1892</v>
      </c>
      <c r="M601" t="s">
        <v>50</v>
      </c>
      <c r="N601">
        <v>3</v>
      </c>
      <c r="O601">
        <v>1103.54</v>
      </c>
      <c r="P601">
        <v>0.25</v>
      </c>
      <c r="Q601" s="7">
        <f>IF(P601="", 0, P601)</f>
        <v>0.25</v>
      </c>
      <c r="R601">
        <v>2482.9699999999998</v>
      </c>
      <c r="S601">
        <v>1621.72</v>
      </c>
      <c r="T601" s="7">
        <f>N601*O601*(1-Q601)</f>
        <v>2482.9650000000001</v>
      </c>
      <c r="U601" s="7">
        <f t="shared" si="54"/>
        <v>861.24500000000012</v>
      </c>
      <c r="V601">
        <v>861.25</v>
      </c>
      <c r="W601" s="12">
        <f t="shared" si="55"/>
        <v>0.34686151435884116</v>
      </c>
      <c r="X601" t="s">
        <v>32</v>
      </c>
      <c r="Y601" t="str">
        <f t="shared" si="56"/>
        <v>Paid</v>
      </c>
      <c r="Z601" t="s">
        <v>33</v>
      </c>
      <c r="AA601">
        <f>C601-B601</f>
        <v>576</v>
      </c>
      <c r="AB601" t="str">
        <f>IF(B601="","Missing Order Date",
IF(C601="","Missing Ship Date","OK"))</f>
        <v>OK</v>
      </c>
      <c r="AC601" s="7" t="str">
        <f>IF(C601&lt;B601, "Invalid", "Valid")</f>
        <v>Valid</v>
      </c>
      <c r="AD601" s="7" t="str">
        <f>IF(COUNTIF($A:$A, A601)&gt;1, "Duplicate", "Unique")</f>
        <v>Unique</v>
      </c>
      <c r="AE601" s="7" t="str">
        <f>IF(G601="","Unknown",G601)</f>
        <v>North</v>
      </c>
      <c r="AF601" s="7" t="str">
        <f>IF(M601="","Unknown",M601)</f>
        <v>First Class</v>
      </c>
      <c r="AG601" s="7" t="str">
        <f>IF(P601&lt;0,"Invalid",
IF(P601&gt;1,"Invalid","Valid"))</f>
        <v>Valid</v>
      </c>
      <c r="AH601" s="7" t="str">
        <f>TEXT(B601,"mmmm")</f>
        <v>August</v>
      </c>
      <c r="AI601" s="7">
        <f t="shared" si="57"/>
        <v>2024</v>
      </c>
      <c r="AJ601" s="7" t="str">
        <f>IF(OR(R601&lt;0,C601&lt;B601),"Invalid",
IF(OR(G601="Unknown",M601="Unknown"),"Warning","Clean"))</f>
        <v>Clean</v>
      </c>
      <c r="AK601" s="7" t="str">
        <f>IF(C601&lt;B601,"Ship Before Order","OK")</f>
        <v>OK</v>
      </c>
      <c r="AL601" s="7" t="str">
        <f>IF(ISNUMBER(B601),"Valid","Invalid")</f>
        <v>Valid</v>
      </c>
      <c r="AM601" s="7" t="str">
        <f t="shared" si="58"/>
        <v>Missmatched</v>
      </c>
      <c r="AN601" s="7" t="str">
        <f t="shared" si="59"/>
        <v>Missmatched</v>
      </c>
    </row>
    <row r="602" spans="1:40">
      <c r="A602" t="s">
        <v>1893</v>
      </c>
      <c r="B602" s="6">
        <v>45721</v>
      </c>
      <c r="C602" s="4">
        <v>46100</v>
      </c>
      <c r="D602" t="s">
        <v>1894</v>
      </c>
      <c r="E602" t="s">
        <v>62</v>
      </c>
      <c r="F602" t="s">
        <v>90</v>
      </c>
      <c r="G602" t="s">
        <v>63</v>
      </c>
      <c r="H602" t="s">
        <v>72</v>
      </c>
      <c r="I602" t="s">
        <v>73</v>
      </c>
      <c r="J602" t="s">
        <v>28</v>
      </c>
      <c r="K602" t="s">
        <v>124</v>
      </c>
      <c r="L602" t="s">
        <v>1895</v>
      </c>
      <c r="M602" t="s">
        <v>44</v>
      </c>
      <c r="N602">
        <v>3</v>
      </c>
      <c r="O602">
        <v>3682.75</v>
      </c>
      <c r="Q602" s="7">
        <f>IF(P602="", 0, P602)</f>
        <v>0</v>
      </c>
      <c r="R602">
        <v>11048.25</v>
      </c>
      <c r="S602">
        <v>9062.7199999999993</v>
      </c>
      <c r="T602" s="7">
        <f>N602*O602*(1-Q602)</f>
        <v>11048.25</v>
      </c>
      <c r="U602" s="7">
        <f t="shared" si="54"/>
        <v>1985.5300000000007</v>
      </c>
      <c r="V602">
        <v>1985.53</v>
      </c>
      <c r="W602" s="12">
        <f t="shared" si="55"/>
        <v>0.17971443441268986</v>
      </c>
      <c r="X602" t="s">
        <v>32</v>
      </c>
      <c r="Y602" t="str">
        <f t="shared" si="56"/>
        <v>Paid</v>
      </c>
      <c r="Z602" t="s">
        <v>33</v>
      </c>
      <c r="AA602">
        <f>C602-B602</f>
        <v>379</v>
      </c>
      <c r="AB602" t="str">
        <f>IF(B602="","Missing Order Date",
IF(C602="","Missing Ship Date","OK"))</f>
        <v>OK</v>
      </c>
      <c r="AC602" s="7" t="str">
        <f>IF(C602&lt;B602, "Invalid", "Valid")</f>
        <v>Valid</v>
      </c>
      <c r="AD602" s="7" t="str">
        <f>IF(COUNTIF($A:$A, A602)&gt;1, "Duplicate", "Unique")</f>
        <v>Unique</v>
      </c>
      <c r="AE602" s="7" t="str">
        <f>IF(G602="","Unknown",G602)</f>
        <v>West</v>
      </c>
      <c r="AF602" s="7" t="str">
        <f>IF(M602="","Unknown",M602)</f>
        <v>Same Day</v>
      </c>
      <c r="AG602" s="7" t="str">
        <f>IF(P602&lt;0,"Invalid",
IF(P602&gt;1,"Invalid","Valid"))</f>
        <v>Valid</v>
      </c>
      <c r="AH602" s="7" t="str">
        <f>TEXT(B602,"mmmm")</f>
        <v>March</v>
      </c>
      <c r="AI602" s="7">
        <f t="shared" si="57"/>
        <v>2025</v>
      </c>
      <c r="AJ602" s="7" t="str">
        <f>IF(OR(R602&lt;0,C602&lt;B602),"Invalid",
IF(OR(G602="Unknown",M602="Unknown"),"Warning","Clean"))</f>
        <v>Clean</v>
      </c>
      <c r="AK602" s="7" t="str">
        <f>IF(C602&lt;B602,"Ship Before Order","OK")</f>
        <v>OK</v>
      </c>
      <c r="AL602" s="7" t="str">
        <f>IF(ISNUMBER(B602),"Valid","Invalid")</f>
        <v>Valid</v>
      </c>
      <c r="AM602" s="7" t="str">
        <f t="shared" si="58"/>
        <v>Ok</v>
      </c>
      <c r="AN602" s="7" t="str">
        <f t="shared" si="59"/>
        <v>Ok</v>
      </c>
    </row>
    <row r="603" spans="1:40">
      <c r="A603" t="s">
        <v>1896</v>
      </c>
      <c r="B603" s="6">
        <v>45317</v>
      </c>
      <c r="C603" s="4">
        <v>46101</v>
      </c>
      <c r="D603" t="s">
        <v>1897</v>
      </c>
      <c r="E603" t="s">
        <v>62</v>
      </c>
      <c r="F603" t="s">
        <v>95</v>
      </c>
      <c r="G603" t="s">
        <v>38</v>
      </c>
      <c r="H603" t="s">
        <v>99</v>
      </c>
      <c r="I603" t="s">
        <v>100</v>
      </c>
      <c r="J603" t="s">
        <v>28</v>
      </c>
      <c r="K603" t="s">
        <v>29</v>
      </c>
      <c r="L603" t="s">
        <v>1898</v>
      </c>
      <c r="M603" t="s">
        <v>31</v>
      </c>
      <c r="N603">
        <v>5</v>
      </c>
      <c r="O603">
        <v>1615.03</v>
      </c>
      <c r="P603">
        <v>0.2</v>
      </c>
      <c r="Q603" s="7">
        <f>IF(P603="", 0, P603)</f>
        <v>0.2</v>
      </c>
      <c r="R603">
        <v>6460.12</v>
      </c>
      <c r="S603">
        <v>3604.03</v>
      </c>
      <c r="T603" s="7">
        <f>N603*O603*(1-Q603)</f>
        <v>6460.12</v>
      </c>
      <c r="U603" s="7">
        <f t="shared" si="54"/>
        <v>2856.0899999999997</v>
      </c>
      <c r="V603">
        <v>2856.09</v>
      </c>
      <c r="W603" s="12">
        <f t="shared" si="55"/>
        <v>0.44211098245853014</v>
      </c>
      <c r="X603" t="s">
        <v>32</v>
      </c>
      <c r="Y603" t="str">
        <f t="shared" si="56"/>
        <v>Paid</v>
      </c>
      <c r="Z603" t="s">
        <v>33</v>
      </c>
      <c r="AA603">
        <f>C603-B603</f>
        <v>784</v>
      </c>
      <c r="AB603" t="str">
        <f>IF(B603="","Missing Order Date",
IF(C603="","Missing Ship Date","OK"))</f>
        <v>OK</v>
      </c>
      <c r="AC603" s="7" t="str">
        <f>IF(C603&lt;B603, "Invalid", "Valid")</f>
        <v>Valid</v>
      </c>
      <c r="AD603" s="7" t="str">
        <f>IF(COUNTIF($A:$A, A603)&gt;1, "Duplicate", "Unique")</f>
        <v>Unique</v>
      </c>
      <c r="AE603" s="7" t="str">
        <f>IF(G603="","Unknown",G603)</f>
        <v>East</v>
      </c>
      <c r="AF603" s="7" t="str">
        <f>IF(M603="","Unknown",M603)</f>
        <v>Second Class</v>
      </c>
      <c r="AG603" s="7" t="str">
        <f>IF(P603&lt;0,"Invalid",
IF(P603&gt;1,"Invalid","Valid"))</f>
        <v>Valid</v>
      </c>
      <c r="AH603" s="7" t="str">
        <f>TEXT(B603,"mmmm")</f>
        <v>January</v>
      </c>
      <c r="AI603" s="7">
        <f t="shared" si="57"/>
        <v>2024</v>
      </c>
      <c r="AJ603" s="7" t="str">
        <f>IF(OR(R603&lt;0,C603&lt;B603),"Invalid",
IF(OR(G603="Unknown",M603="Unknown"),"Warning","Clean"))</f>
        <v>Clean</v>
      </c>
      <c r="AK603" s="7" t="str">
        <f>IF(C603&lt;B603,"Ship Before Order","OK")</f>
        <v>OK</v>
      </c>
      <c r="AL603" s="7" t="str">
        <f>IF(ISNUMBER(B603),"Valid","Invalid")</f>
        <v>Valid</v>
      </c>
      <c r="AM603" s="7" t="str">
        <f t="shared" si="58"/>
        <v>Ok</v>
      </c>
      <c r="AN603" s="7" t="str">
        <f t="shared" si="59"/>
        <v>Ok</v>
      </c>
    </row>
    <row r="604" spans="1:40">
      <c r="A604" t="s">
        <v>1899</v>
      </c>
      <c r="B604" s="6">
        <v>45588</v>
      </c>
      <c r="C604" s="4">
        <v>46102</v>
      </c>
      <c r="D604" t="s">
        <v>1900</v>
      </c>
      <c r="E604" t="s">
        <v>128</v>
      </c>
      <c r="F604" t="s">
        <v>24</v>
      </c>
      <c r="G604" t="s">
        <v>38</v>
      </c>
      <c r="H604" t="s">
        <v>228</v>
      </c>
      <c r="I604" t="s">
        <v>229</v>
      </c>
      <c r="J604" t="s">
        <v>74</v>
      </c>
      <c r="K604" t="s">
        <v>80</v>
      </c>
      <c r="L604" t="s">
        <v>1901</v>
      </c>
      <c r="M604" t="s">
        <v>31</v>
      </c>
      <c r="N604">
        <v>9</v>
      </c>
      <c r="O604">
        <v>3423.82</v>
      </c>
      <c r="P604">
        <v>0.15</v>
      </c>
      <c r="Q604" s="7">
        <f>IF(P604="", 0, P604)</f>
        <v>0.15</v>
      </c>
      <c r="R604">
        <v>26192.22</v>
      </c>
      <c r="S604">
        <v>20795.55</v>
      </c>
      <c r="T604" s="7">
        <f>N604*O604*(1-Q604)</f>
        <v>26192.223000000002</v>
      </c>
      <c r="U604" s="7">
        <f t="shared" si="54"/>
        <v>5396.6730000000025</v>
      </c>
      <c r="V604">
        <v>5396.67</v>
      </c>
      <c r="W604" s="12">
        <f t="shared" si="55"/>
        <v>0.20604104508426041</v>
      </c>
      <c r="X604" t="s">
        <v>32</v>
      </c>
      <c r="Y604" t="str">
        <f t="shared" si="56"/>
        <v>Paid</v>
      </c>
      <c r="Z604" t="s">
        <v>33</v>
      </c>
      <c r="AA604">
        <f>C604-B604</f>
        <v>514</v>
      </c>
      <c r="AB604" t="str">
        <f>IF(B604="","Missing Order Date",
IF(C604="","Missing Ship Date","OK"))</f>
        <v>OK</v>
      </c>
      <c r="AC604" s="7" t="str">
        <f>IF(C604&lt;B604, "Invalid", "Valid")</f>
        <v>Valid</v>
      </c>
      <c r="AD604" s="7" t="str">
        <f>IF(COUNTIF($A:$A, A604)&gt;1, "Duplicate", "Unique")</f>
        <v>Unique</v>
      </c>
      <c r="AE604" s="7" t="str">
        <f>IF(G604="","Unknown",G604)</f>
        <v>East</v>
      </c>
      <c r="AF604" s="7" t="str">
        <f>IF(M604="","Unknown",M604)</f>
        <v>Second Class</v>
      </c>
      <c r="AG604" s="7" t="str">
        <f>IF(P604&lt;0,"Invalid",
IF(P604&gt;1,"Invalid","Valid"))</f>
        <v>Valid</v>
      </c>
      <c r="AH604" s="7" t="str">
        <f>TEXT(B604,"mmmm")</f>
        <v>October</v>
      </c>
      <c r="AI604" s="7">
        <f t="shared" si="57"/>
        <v>2024</v>
      </c>
      <c r="AJ604" s="7" t="str">
        <f>IF(OR(R604&lt;0,C604&lt;B604),"Invalid",
IF(OR(G604="Unknown",M604="Unknown"),"Warning","Clean"))</f>
        <v>Clean</v>
      </c>
      <c r="AK604" s="7" t="str">
        <f>IF(C604&lt;B604,"Ship Before Order","OK")</f>
        <v>OK</v>
      </c>
      <c r="AL604" s="7" t="str">
        <f>IF(ISNUMBER(B604),"Valid","Invalid")</f>
        <v>Valid</v>
      </c>
      <c r="AM604" s="7" t="str">
        <f t="shared" si="58"/>
        <v>Missmatched</v>
      </c>
      <c r="AN604" s="7" t="str">
        <f t="shared" si="59"/>
        <v>Missmatched</v>
      </c>
    </row>
    <row r="605" spans="1:40">
      <c r="A605" t="s">
        <v>1902</v>
      </c>
      <c r="B605" s="6">
        <v>45717</v>
      </c>
      <c r="C605" s="4">
        <v>46103</v>
      </c>
      <c r="D605" t="s">
        <v>334</v>
      </c>
      <c r="E605" t="s">
        <v>71</v>
      </c>
      <c r="F605" t="s">
        <v>90</v>
      </c>
      <c r="G605" t="s">
        <v>38</v>
      </c>
      <c r="H605" t="s">
        <v>145</v>
      </c>
      <c r="I605" t="s">
        <v>146</v>
      </c>
      <c r="J605" t="s">
        <v>74</v>
      </c>
      <c r="K605" t="s">
        <v>75</v>
      </c>
      <c r="L605" t="s">
        <v>1903</v>
      </c>
      <c r="M605" t="s">
        <v>50</v>
      </c>
      <c r="N605">
        <v>8</v>
      </c>
      <c r="O605">
        <v>2574.29</v>
      </c>
      <c r="P605">
        <v>0.05</v>
      </c>
      <c r="Q605" s="7">
        <f>IF(P605="", 0, P605)</f>
        <v>0.05</v>
      </c>
      <c r="R605">
        <v>19564.599999999999</v>
      </c>
      <c r="S605">
        <v>11154.59</v>
      </c>
      <c r="T605" s="7">
        <f>N605*O605*(1-Q605)</f>
        <v>19564.603999999999</v>
      </c>
      <c r="U605" s="7">
        <f t="shared" si="54"/>
        <v>8410.0139999999992</v>
      </c>
      <c r="V605">
        <v>8410.01</v>
      </c>
      <c r="W605" s="12">
        <f t="shared" si="55"/>
        <v>0.42985863654587642</v>
      </c>
      <c r="X605" t="s">
        <v>111</v>
      </c>
      <c r="Y605" t="str">
        <f t="shared" si="56"/>
        <v>Pending</v>
      </c>
      <c r="Z605" t="s">
        <v>68</v>
      </c>
      <c r="AA605">
        <f>C605-B605</f>
        <v>386</v>
      </c>
      <c r="AB605" t="str">
        <f>IF(B605="","Missing Order Date",
IF(C605="","Missing Ship Date","OK"))</f>
        <v>OK</v>
      </c>
      <c r="AC605" s="7" t="str">
        <f>IF(C605&lt;B605, "Invalid", "Valid")</f>
        <v>Valid</v>
      </c>
      <c r="AD605" s="7" t="str">
        <f>IF(COUNTIF($A:$A, A605)&gt;1, "Duplicate", "Unique")</f>
        <v>Unique</v>
      </c>
      <c r="AE605" s="7" t="str">
        <f>IF(G605="","Unknown",G605)</f>
        <v>East</v>
      </c>
      <c r="AF605" s="7" t="str">
        <f>IF(M605="","Unknown",M605)</f>
        <v>First Class</v>
      </c>
      <c r="AG605" s="7" t="str">
        <f>IF(P605&lt;0,"Invalid",
IF(P605&gt;1,"Invalid","Valid"))</f>
        <v>Valid</v>
      </c>
      <c r="AH605" s="7" t="str">
        <f>TEXT(B605,"mmmm")</f>
        <v>March</v>
      </c>
      <c r="AI605" s="7">
        <f t="shared" si="57"/>
        <v>2025</v>
      </c>
      <c r="AJ605" s="7" t="str">
        <f>IF(OR(R605&lt;0,C605&lt;B605),"Invalid",
IF(OR(G605="Unknown",M605="Unknown"),"Warning","Clean"))</f>
        <v>Clean</v>
      </c>
      <c r="AK605" s="7" t="str">
        <f>IF(C605&lt;B605,"Ship Before Order","OK")</f>
        <v>OK</v>
      </c>
      <c r="AL605" s="7" t="str">
        <f>IF(ISNUMBER(B605),"Valid","Invalid")</f>
        <v>Valid</v>
      </c>
      <c r="AM605" s="7" t="str">
        <f t="shared" si="58"/>
        <v>Missmatched</v>
      </c>
      <c r="AN605" s="7" t="str">
        <f t="shared" si="59"/>
        <v>Missmatched</v>
      </c>
    </row>
    <row r="606" spans="1:40">
      <c r="A606" t="s">
        <v>1904</v>
      </c>
      <c r="B606" s="6">
        <v>45693</v>
      </c>
      <c r="C606" s="4">
        <v>46104</v>
      </c>
      <c r="D606" t="s">
        <v>1905</v>
      </c>
      <c r="E606" t="s">
        <v>62</v>
      </c>
      <c r="F606" t="s">
        <v>24</v>
      </c>
      <c r="G606" t="s">
        <v>63</v>
      </c>
      <c r="H606" t="s">
        <v>72</v>
      </c>
      <c r="I606" t="s">
        <v>73</v>
      </c>
      <c r="J606" t="s">
        <v>28</v>
      </c>
      <c r="K606" t="s">
        <v>153</v>
      </c>
      <c r="L606" t="s">
        <v>1906</v>
      </c>
      <c r="M606" t="s">
        <v>44</v>
      </c>
      <c r="N606">
        <v>3</v>
      </c>
      <c r="O606">
        <v>1076.3</v>
      </c>
      <c r="P606">
        <v>0</v>
      </c>
      <c r="Q606" s="7">
        <f>IF(P606="", 0, P606)</f>
        <v>0</v>
      </c>
      <c r="R606">
        <v>3228.9</v>
      </c>
      <c r="S606">
        <v>1853.23</v>
      </c>
      <c r="T606" s="7">
        <f>N606*O606*(1-Q606)</f>
        <v>3228.8999999999996</v>
      </c>
      <c r="U606" s="7">
        <f t="shared" si="54"/>
        <v>1375.6699999999996</v>
      </c>
      <c r="V606">
        <v>1375.67</v>
      </c>
      <c r="W606" s="12">
        <f t="shared" si="55"/>
        <v>0.42604911889497965</v>
      </c>
      <c r="X606" t="s">
        <v>32</v>
      </c>
      <c r="Y606" t="str">
        <f t="shared" si="56"/>
        <v>Paid</v>
      </c>
      <c r="Z606" t="s">
        <v>33</v>
      </c>
      <c r="AA606">
        <f>C606-B606</f>
        <v>411</v>
      </c>
      <c r="AB606" t="str">
        <f>IF(B606="","Missing Order Date",
IF(C606="","Missing Ship Date","OK"))</f>
        <v>OK</v>
      </c>
      <c r="AC606" s="7" t="str">
        <f>IF(C606&lt;B606, "Invalid", "Valid")</f>
        <v>Valid</v>
      </c>
      <c r="AD606" s="7" t="str">
        <f>IF(COUNTIF($A:$A, A606)&gt;1, "Duplicate", "Unique")</f>
        <v>Unique</v>
      </c>
      <c r="AE606" s="7" t="str">
        <f>IF(G606="","Unknown",G606)</f>
        <v>West</v>
      </c>
      <c r="AF606" s="7" t="str">
        <f>IF(M606="","Unknown",M606)</f>
        <v>Same Day</v>
      </c>
      <c r="AG606" s="7" t="str">
        <f>IF(P606&lt;0,"Invalid",
IF(P606&gt;1,"Invalid","Valid"))</f>
        <v>Valid</v>
      </c>
      <c r="AH606" s="7" t="str">
        <f>TEXT(B606,"mmmm")</f>
        <v>February</v>
      </c>
      <c r="AI606" s="7">
        <f t="shared" si="57"/>
        <v>2025</v>
      </c>
      <c r="AJ606" s="7" t="str">
        <f>IF(OR(R606&lt;0,C606&lt;B606),"Invalid",
IF(OR(G606="Unknown",M606="Unknown"),"Warning","Clean"))</f>
        <v>Clean</v>
      </c>
      <c r="AK606" s="7" t="str">
        <f>IF(C606&lt;B606,"Ship Before Order","OK")</f>
        <v>OK</v>
      </c>
      <c r="AL606" s="7" t="str">
        <f>IF(ISNUMBER(B606),"Valid","Invalid")</f>
        <v>Valid</v>
      </c>
      <c r="AM606" s="7" t="str">
        <f t="shared" si="58"/>
        <v>Ok</v>
      </c>
      <c r="AN606" s="7" t="str">
        <f t="shared" si="59"/>
        <v>Ok</v>
      </c>
    </row>
    <row r="607" spans="1:40">
      <c r="A607" t="s">
        <v>1907</v>
      </c>
      <c r="B607" s="6">
        <v>45907</v>
      </c>
      <c r="C607" s="4">
        <v>46105</v>
      </c>
      <c r="D607" t="s">
        <v>1908</v>
      </c>
      <c r="E607" t="s">
        <v>264</v>
      </c>
      <c r="F607" t="s">
        <v>90</v>
      </c>
      <c r="G607" t="s">
        <v>63</v>
      </c>
      <c r="H607" t="s">
        <v>190</v>
      </c>
      <c r="I607" t="s">
        <v>191</v>
      </c>
      <c r="J607" t="s">
        <v>41</v>
      </c>
      <c r="K607" t="s">
        <v>57</v>
      </c>
      <c r="L607" t="s">
        <v>1909</v>
      </c>
      <c r="M607" t="s">
        <v>31</v>
      </c>
      <c r="N607">
        <v>5</v>
      </c>
      <c r="O607">
        <v>1680.01</v>
      </c>
      <c r="P607" t="s">
        <v>767</v>
      </c>
      <c r="Q607" s="7" t="str">
        <f>IF(P607="", 0, P607)</f>
        <v>85%</v>
      </c>
      <c r="R607">
        <v>7560.04</v>
      </c>
      <c r="S607">
        <v>6448.05</v>
      </c>
      <c r="T607" s="7">
        <f>N607*O607*(1-Q607)</f>
        <v>1260.0075000000002</v>
      </c>
      <c r="U607" s="7">
        <f t="shared" si="54"/>
        <v>-5188.0424999999996</v>
      </c>
      <c r="V607">
        <v>1111.99</v>
      </c>
      <c r="W607" s="12">
        <f t="shared" si="55"/>
        <v>-4.1174695388717915</v>
      </c>
      <c r="X607" t="s">
        <v>32</v>
      </c>
      <c r="Y607" t="str">
        <f t="shared" si="56"/>
        <v>Paid</v>
      </c>
      <c r="Z607" t="s">
        <v>68</v>
      </c>
      <c r="AA607">
        <f>C607-B607</f>
        <v>198</v>
      </c>
      <c r="AB607" t="str">
        <f>IF(B607="","Missing Order Date",
IF(C607="","Missing Ship Date","OK"))</f>
        <v>OK</v>
      </c>
      <c r="AC607" s="7" t="str">
        <f>IF(C607&lt;B607, "Invalid", "Valid")</f>
        <v>Valid</v>
      </c>
      <c r="AD607" s="7" t="str">
        <f>IF(COUNTIF($A:$A, A607)&gt;1, "Duplicate", "Unique")</f>
        <v>Unique</v>
      </c>
      <c r="AE607" s="7" t="str">
        <f>IF(G607="","Unknown",G607)</f>
        <v>West</v>
      </c>
      <c r="AF607" s="7" t="str">
        <f>IF(M607="","Unknown",M607)</f>
        <v>Second Class</v>
      </c>
      <c r="AG607" s="7" t="str">
        <f>IF(P607&lt;0,"Invalid",
IF(P607&gt;1,"Invalid","Valid"))</f>
        <v>Invalid</v>
      </c>
      <c r="AH607" s="7" t="str">
        <f>TEXT(B607,"mmmm")</f>
        <v>September</v>
      </c>
      <c r="AI607" s="7">
        <f t="shared" si="57"/>
        <v>2025</v>
      </c>
      <c r="AJ607" s="7" t="str">
        <f>IF(OR(R607&lt;0,C607&lt;B607),"Invalid",
IF(OR(G607="Unknown",M607="Unknown"),"Warning","Clean"))</f>
        <v>Clean</v>
      </c>
      <c r="AK607" s="7" t="str">
        <f>IF(C607&lt;B607,"Ship Before Order","OK")</f>
        <v>OK</v>
      </c>
      <c r="AL607" s="7" t="str">
        <f>IF(ISNUMBER(B607),"Valid","Invalid")</f>
        <v>Valid</v>
      </c>
      <c r="AM607" s="7" t="str">
        <f t="shared" si="58"/>
        <v>Missmatched</v>
      </c>
      <c r="AN607" s="7" t="str">
        <f t="shared" si="59"/>
        <v>Missmatched</v>
      </c>
    </row>
    <row r="608" spans="1:40">
      <c r="A608" t="s">
        <v>1910</v>
      </c>
      <c r="B608" s="6">
        <v>45710</v>
      </c>
      <c r="C608" s="4">
        <v>46106</v>
      </c>
      <c r="D608" t="s">
        <v>1911</v>
      </c>
      <c r="E608" t="s">
        <v>118</v>
      </c>
      <c r="F608" t="s">
        <v>95</v>
      </c>
      <c r="G608" t="s">
        <v>63</v>
      </c>
      <c r="H608" t="s">
        <v>72</v>
      </c>
      <c r="I608" t="s">
        <v>73</v>
      </c>
      <c r="J608" t="s">
        <v>74</v>
      </c>
      <c r="K608" t="s">
        <v>80</v>
      </c>
      <c r="L608" t="s">
        <v>1912</v>
      </c>
      <c r="M608" t="s">
        <v>44</v>
      </c>
      <c r="N608">
        <v>3</v>
      </c>
      <c r="O608">
        <v>3890.81</v>
      </c>
      <c r="P608">
        <v>0.25</v>
      </c>
      <c r="Q608" s="7">
        <f>IF(P608="", 0, P608)</f>
        <v>0.25</v>
      </c>
      <c r="R608">
        <v>8754.32</v>
      </c>
      <c r="S608">
        <v>6238.9</v>
      </c>
      <c r="T608" s="7">
        <f>N608*O608*(1-Q608)</f>
        <v>8754.3225000000002</v>
      </c>
      <c r="U608" s="7">
        <f t="shared" si="54"/>
        <v>2515.4225000000006</v>
      </c>
      <c r="V608">
        <v>2515.42</v>
      </c>
      <c r="W608" s="12">
        <f t="shared" si="55"/>
        <v>0.28733491369549163</v>
      </c>
      <c r="X608" t="s">
        <v>32</v>
      </c>
      <c r="Y608" t="str">
        <f t="shared" si="56"/>
        <v>Paid</v>
      </c>
      <c r="Z608" t="s">
        <v>33</v>
      </c>
      <c r="AA608">
        <f>C608-B608</f>
        <v>396</v>
      </c>
      <c r="AB608" t="str">
        <f>IF(B608="","Missing Order Date",
IF(C608="","Missing Ship Date","OK"))</f>
        <v>OK</v>
      </c>
      <c r="AC608" s="7" t="str">
        <f>IF(C608&lt;B608, "Invalid", "Valid")</f>
        <v>Valid</v>
      </c>
      <c r="AD608" s="7" t="str">
        <f>IF(COUNTIF($A:$A, A608)&gt;1, "Duplicate", "Unique")</f>
        <v>Unique</v>
      </c>
      <c r="AE608" s="7" t="str">
        <f>IF(G608="","Unknown",G608)</f>
        <v>West</v>
      </c>
      <c r="AF608" s="7" t="str">
        <f>IF(M608="","Unknown",M608)</f>
        <v>Same Day</v>
      </c>
      <c r="AG608" s="7" t="str">
        <f>IF(P608&lt;0,"Invalid",
IF(P608&gt;1,"Invalid","Valid"))</f>
        <v>Valid</v>
      </c>
      <c r="AH608" s="7" t="str">
        <f>TEXT(B608,"mmmm")</f>
        <v>February</v>
      </c>
      <c r="AI608" s="7">
        <f t="shared" si="57"/>
        <v>2025</v>
      </c>
      <c r="AJ608" s="7" t="str">
        <f>IF(OR(R608&lt;0,C608&lt;B608),"Invalid",
IF(OR(G608="Unknown",M608="Unknown"),"Warning","Clean"))</f>
        <v>Clean</v>
      </c>
      <c r="AK608" s="7" t="str">
        <f>IF(C608&lt;B608,"Ship Before Order","OK")</f>
        <v>OK</v>
      </c>
      <c r="AL608" s="7" t="str">
        <f>IF(ISNUMBER(B608),"Valid","Invalid")</f>
        <v>Valid</v>
      </c>
      <c r="AM608" s="7" t="str">
        <f t="shared" si="58"/>
        <v>Missmatched</v>
      </c>
      <c r="AN608" s="7" t="str">
        <f t="shared" si="59"/>
        <v>Missmatched</v>
      </c>
    </row>
    <row r="609" spans="1:40">
      <c r="A609" t="s">
        <v>1913</v>
      </c>
      <c r="B609" s="6">
        <v>45704</v>
      </c>
      <c r="C609" s="4">
        <v>46107</v>
      </c>
      <c r="D609" t="s">
        <v>1914</v>
      </c>
      <c r="E609" t="s">
        <v>132</v>
      </c>
      <c r="F609" t="s">
        <v>95</v>
      </c>
      <c r="G609" t="s">
        <v>38</v>
      </c>
      <c r="H609" t="s">
        <v>145</v>
      </c>
      <c r="I609" t="s">
        <v>146</v>
      </c>
      <c r="J609" t="s">
        <v>28</v>
      </c>
      <c r="K609" t="s">
        <v>124</v>
      </c>
      <c r="L609" t="s">
        <v>1915</v>
      </c>
      <c r="M609" t="s">
        <v>44</v>
      </c>
      <c r="N609">
        <v>5</v>
      </c>
      <c r="O609">
        <v>954.67</v>
      </c>
      <c r="P609">
        <v>0.15</v>
      </c>
      <c r="Q609" s="7">
        <f>IF(P609="", 0, P609)</f>
        <v>0.15</v>
      </c>
      <c r="R609">
        <v>4057.35</v>
      </c>
      <c r="S609">
        <v>2862.03</v>
      </c>
      <c r="T609" s="7">
        <f>N609*O609*(1-Q609)</f>
        <v>4057.3474999999994</v>
      </c>
      <c r="U609" s="7">
        <f t="shared" si="54"/>
        <v>1195.3174999999992</v>
      </c>
      <c r="V609">
        <v>1195.32</v>
      </c>
      <c r="W609" s="12">
        <f t="shared" si="55"/>
        <v>0.29460565061286947</v>
      </c>
      <c r="X609" t="s">
        <v>32</v>
      </c>
      <c r="Y609" t="str">
        <f t="shared" si="56"/>
        <v>Paid</v>
      </c>
      <c r="Z609" t="s">
        <v>33</v>
      </c>
      <c r="AA609">
        <f>C609-B609</f>
        <v>403</v>
      </c>
      <c r="AB609" t="str">
        <f>IF(B609="","Missing Order Date",
IF(C609="","Missing Ship Date","OK"))</f>
        <v>OK</v>
      </c>
      <c r="AC609" s="7" t="str">
        <f>IF(C609&lt;B609, "Invalid", "Valid")</f>
        <v>Valid</v>
      </c>
      <c r="AD609" s="7" t="str">
        <f>IF(COUNTIF($A:$A, A609)&gt;1, "Duplicate", "Unique")</f>
        <v>Unique</v>
      </c>
      <c r="AE609" s="7" t="str">
        <f>IF(G609="","Unknown",G609)</f>
        <v>East</v>
      </c>
      <c r="AF609" s="7" t="str">
        <f>IF(M609="","Unknown",M609)</f>
        <v>Same Day</v>
      </c>
      <c r="AG609" s="7" t="str">
        <f>IF(P609&lt;0,"Invalid",
IF(P609&gt;1,"Invalid","Valid"))</f>
        <v>Valid</v>
      </c>
      <c r="AH609" s="7" t="str">
        <f>TEXT(B609,"mmmm")</f>
        <v>February</v>
      </c>
      <c r="AI609" s="7">
        <f t="shared" si="57"/>
        <v>2025</v>
      </c>
      <c r="AJ609" s="7" t="str">
        <f>IF(OR(R609&lt;0,C609&lt;B609),"Invalid",
IF(OR(G609="Unknown",M609="Unknown"),"Warning","Clean"))</f>
        <v>Clean</v>
      </c>
      <c r="AK609" s="7" t="str">
        <f>IF(C609&lt;B609,"Ship Before Order","OK")</f>
        <v>OK</v>
      </c>
      <c r="AL609" s="7" t="str">
        <f>IF(ISNUMBER(B609),"Valid","Invalid")</f>
        <v>Valid</v>
      </c>
      <c r="AM609" s="7" t="str">
        <f t="shared" si="58"/>
        <v>Missmatched</v>
      </c>
      <c r="AN609" s="7" t="str">
        <f t="shared" si="59"/>
        <v>Missmatched</v>
      </c>
    </row>
    <row r="610" spans="1:40">
      <c r="A610" t="s">
        <v>1916</v>
      </c>
      <c r="B610" s="6">
        <v>45464</v>
      </c>
      <c r="C610" s="4">
        <v>46108</v>
      </c>
      <c r="D610" t="s">
        <v>1694</v>
      </c>
      <c r="E610" t="s">
        <v>23</v>
      </c>
      <c r="F610" t="s">
        <v>95</v>
      </c>
      <c r="G610" t="s">
        <v>63</v>
      </c>
      <c r="H610" t="s">
        <v>190</v>
      </c>
      <c r="I610" t="s">
        <v>191</v>
      </c>
      <c r="J610" t="s">
        <v>41</v>
      </c>
      <c r="K610" t="s">
        <v>57</v>
      </c>
      <c r="L610" t="s">
        <v>1917</v>
      </c>
      <c r="M610" t="s">
        <v>31</v>
      </c>
      <c r="N610">
        <v>9</v>
      </c>
      <c r="O610">
        <v>2153.75</v>
      </c>
      <c r="P610">
        <v>0</v>
      </c>
      <c r="Q610" s="7">
        <f>IF(P610="", 0, P610)</f>
        <v>0</v>
      </c>
      <c r="R610">
        <v>19383.75</v>
      </c>
      <c r="S610">
        <v>11667.43</v>
      </c>
      <c r="T610" s="7">
        <f>N610*O610*(1-Q610)</f>
        <v>19383.75</v>
      </c>
      <c r="U610" s="7">
        <f t="shared" si="54"/>
        <v>7716.32</v>
      </c>
      <c r="V610">
        <v>7716.32</v>
      </c>
      <c r="W610" s="12">
        <f t="shared" si="55"/>
        <v>0.39808189849745274</v>
      </c>
      <c r="X610" t="s">
        <v>32</v>
      </c>
      <c r="Y610" t="str">
        <f t="shared" si="56"/>
        <v>Paid</v>
      </c>
      <c r="Z610" t="s">
        <v>33</v>
      </c>
      <c r="AA610">
        <f>C610-B610</f>
        <v>644</v>
      </c>
      <c r="AB610" t="str">
        <f>IF(B610="","Missing Order Date",
IF(C610="","Missing Ship Date","OK"))</f>
        <v>OK</v>
      </c>
      <c r="AC610" s="7" t="str">
        <f>IF(C610&lt;B610, "Invalid", "Valid")</f>
        <v>Valid</v>
      </c>
      <c r="AD610" s="7" t="str">
        <f>IF(COUNTIF($A:$A, A610)&gt;1, "Duplicate", "Unique")</f>
        <v>Unique</v>
      </c>
      <c r="AE610" s="7" t="str">
        <f>IF(G610="","Unknown",G610)</f>
        <v>West</v>
      </c>
      <c r="AF610" s="7" t="str">
        <f>IF(M610="","Unknown",M610)</f>
        <v>Second Class</v>
      </c>
      <c r="AG610" s="7" t="str">
        <f>IF(P610&lt;0,"Invalid",
IF(P610&gt;1,"Invalid","Valid"))</f>
        <v>Valid</v>
      </c>
      <c r="AH610" s="7" t="str">
        <f>TEXT(B610,"mmmm")</f>
        <v>June</v>
      </c>
      <c r="AI610" s="7">
        <f t="shared" si="57"/>
        <v>2024</v>
      </c>
      <c r="AJ610" s="7" t="str">
        <f>IF(OR(R610&lt;0,C610&lt;B610),"Invalid",
IF(OR(G610="Unknown",M610="Unknown"),"Warning","Clean"))</f>
        <v>Clean</v>
      </c>
      <c r="AK610" s="7" t="str">
        <f>IF(C610&lt;B610,"Ship Before Order","OK")</f>
        <v>OK</v>
      </c>
      <c r="AL610" s="7" t="str">
        <f>IF(ISNUMBER(B610),"Valid","Invalid")</f>
        <v>Valid</v>
      </c>
      <c r="AM610" s="7" t="str">
        <f t="shared" si="58"/>
        <v>Ok</v>
      </c>
      <c r="AN610" s="7" t="str">
        <f t="shared" si="59"/>
        <v>Ok</v>
      </c>
    </row>
    <row r="611" spans="1:40">
      <c r="A611" t="s">
        <v>1918</v>
      </c>
      <c r="B611" s="6">
        <v>45870</v>
      </c>
      <c r="C611" s="4">
        <v>46109</v>
      </c>
      <c r="D611" t="s">
        <v>1919</v>
      </c>
      <c r="E611" t="s">
        <v>132</v>
      </c>
      <c r="F611" t="s">
        <v>95</v>
      </c>
      <c r="G611" t="s">
        <v>54</v>
      </c>
      <c r="H611" t="s">
        <v>175</v>
      </c>
      <c r="I611" t="s">
        <v>176</v>
      </c>
      <c r="J611" t="s">
        <v>41</v>
      </c>
      <c r="K611" t="s">
        <v>66</v>
      </c>
      <c r="L611" t="s">
        <v>1920</v>
      </c>
      <c r="M611" t="s">
        <v>59</v>
      </c>
      <c r="N611">
        <v>7</v>
      </c>
      <c r="O611">
        <v>4337.4799999999996</v>
      </c>
      <c r="P611">
        <v>0</v>
      </c>
      <c r="Q611" s="7">
        <f>IF(P611="", 0, P611)</f>
        <v>0</v>
      </c>
      <c r="R611">
        <v>30362.36</v>
      </c>
      <c r="S611">
        <v>25065.4</v>
      </c>
      <c r="T611" s="7">
        <f>N611*O611*(1-Q611)</f>
        <v>30362.359999999997</v>
      </c>
      <c r="U611" s="7">
        <f t="shared" si="54"/>
        <v>5296.9599999999955</v>
      </c>
      <c r="V611">
        <v>5296.96</v>
      </c>
      <c r="W611" s="12">
        <f t="shared" si="55"/>
        <v>0.17445811195177174</v>
      </c>
      <c r="X611" t="s">
        <v>32</v>
      </c>
      <c r="Y611" t="str">
        <f t="shared" si="56"/>
        <v>Paid</v>
      </c>
      <c r="Z611" t="s">
        <v>33</v>
      </c>
      <c r="AA611">
        <f>C611-B611</f>
        <v>239</v>
      </c>
      <c r="AB611" t="str">
        <f>IF(B611="","Missing Order Date",
IF(C611="","Missing Ship Date","OK"))</f>
        <v>OK</v>
      </c>
      <c r="AC611" s="7" t="str">
        <f>IF(C611&lt;B611, "Invalid", "Valid")</f>
        <v>Valid</v>
      </c>
      <c r="AD611" s="7" t="str">
        <f>IF(COUNTIF($A:$A, A611)&gt;1, "Duplicate", "Unique")</f>
        <v>Unique</v>
      </c>
      <c r="AE611" s="7" t="str">
        <f>IF(G611="","Unknown",G611)</f>
        <v>South</v>
      </c>
      <c r="AF611" s="7" t="str">
        <f>IF(M611="","Unknown",M611)</f>
        <v>Standard Class</v>
      </c>
      <c r="AG611" s="7" t="str">
        <f>IF(P611&lt;0,"Invalid",
IF(P611&gt;1,"Invalid","Valid"))</f>
        <v>Valid</v>
      </c>
      <c r="AH611" s="7" t="str">
        <f>TEXT(B611,"mmmm")</f>
        <v>August</v>
      </c>
      <c r="AI611" s="7">
        <f t="shared" si="57"/>
        <v>2025</v>
      </c>
      <c r="AJ611" s="7" t="str">
        <f>IF(OR(R611&lt;0,C611&lt;B611),"Invalid",
IF(OR(G611="Unknown",M611="Unknown"),"Warning","Clean"))</f>
        <v>Clean</v>
      </c>
      <c r="AK611" s="7" t="str">
        <f>IF(C611&lt;B611,"Ship Before Order","OK")</f>
        <v>OK</v>
      </c>
      <c r="AL611" s="7" t="str">
        <f>IF(ISNUMBER(B611),"Valid","Invalid")</f>
        <v>Valid</v>
      </c>
      <c r="AM611" s="7" t="str">
        <f t="shared" si="58"/>
        <v>Ok</v>
      </c>
      <c r="AN611" s="7" t="str">
        <f t="shared" si="59"/>
        <v>Ok</v>
      </c>
    </row>
    <row r="612" spans="1:40">
      <c r="A612" t="s">
        <v>1921</v>
      </c>
      <c r="B612" s="6">
        <v>45432</v>
      </c>
      <c r="C612" s="4">
        <v>46110</v>
      </c>
      <c r="D612" t="s">
        <v>1366</v>
      </c>
      <c r="E612" t="s">
        <v>23</v>
      </c>
      <c r="F612" t="s">
        <v>95</v>
      </c>
      <c r="G612" t="s">
        <v>63</v>
      </c>
      <c r="H612" t="s">
        <v>72</v>
      </c>
      <c r="I612" t="s">
        <v>73</v>
      </c>
      <c r="J612" t="s">
        <v>41</v>
      </c>
      <c r="K612" t="s">
        <v>66</v>
      </c>
      <c r="L612" t="s">
        <v>1922</v>
      </c>
      <c r="M612" t="s">
        <v>59</v>
      </c>
      <c r="N612">
        <v>1</v>
      </c>
      <c r="O612">
        <v>3032.95</v>
      </c>
      <c r="P612">
        <v>0.1</v>
      </c>
      <c r="Q612" s="7">
        <f>IF(P612="", 0, P612)</f>
        <v>0.1</v>
      </c>
      <c r="R612">
        <v>2729.65</v>
      </c>
      <c r="S612">
        <v>1715.36</v>
      </c>
      <c r="T612" s="7">
        <f>N612*O612*(1-Q612)</f>
        <v>2729.6549999999997</v>
      </c>
      <c r="U612" s="7">
        <f t="shared" si="54"/>
        <v>1014.2949999999998</v>
      </c>
      <c r="V612">
        <v>1014.29</v>
      </c>
      <c r="W612" s="12">
        <f t="shared" si="55"/>
        <v>0.37158358840219735</v>
      </c>
      <c r="X612" t="s">
        <v>32</v>
      </c>
      <c r="Y612" t="str">
        <f t="shared" si="56"/>
        <v>Paid</v>
      </c>
      <c r="Z612" t="s">
        <v>33</v>
      </c>
      <c r="AA612">
        <f>C612-B612</f>
        <v>678</v>
      </c>
      <c r="AB612" t="str">
        <f>IF(B612="","Missing Order Date",
IF(C612="","Missing Ship Date","OK"))</f>
        <v>OK</v>
      </c>
      <c r="AC612" s="7" t="str">
        <f>IF(C612&lt;B612, "Invalid", "Valid")</f>
        <v>Valid</v>
      </c>
      <c r="AD612" s="7" t="str">
        <f>IF(COUNTIF($A:$A, A612)&gt;1, "Duplicate", "Unique")</f>
        <v>Unique</v>
      </c>
      <c r="AE612" s="7" t="str">
        <f>IF(G612="","Unknown",G612)</f>
        <v>West</v>
      </c>
      <c r="AF612" s="7" t="str">
        <f>IF(M612="","Unknown",M612)</f>
        <v>Standard Class</v>
      </c>
      <c r="AG612" s="7" t="str">
        <f>IF(P612&lt;0,"Invalid",
IF(P612&gt;1,"Invalid","Valid"))</f>
        <v>Valid</v>
      </c>
      <c r="AH612" s="7" t="str">
        <f>TEXT(B612,"mmmm")</f>
        <v>May</v>
      </c>
      <c r="AI612" s="7">
        <f t="shared" si="57"/>
        <v>2024</v>
      </c>
      <c r="AJ612" s="7" t="str">
        <f>IF(OR(R612&lt;0,C612&lt;B612),"Invalid",
IF(OR(G612="Unknown",M612="Unknown"),"Warning","Clean"))</f>
        <v>Clean</v>
      </c>
      <c r="AK612" s="7" t="str">
        <f>IF(C612&lt;B612,"Ship Before Order","OK")</f>
        <v>OK</v>
      </c>
      <c r="AL612" s="7" t="str">
        <f>IF(ISNUMBER(B612),"Valid","Invalid")</f>
        <v>Valid</v>
      </c>
      <c r="AM612" s="7" t="str">
        <f t="shared" si="58"/>
        <v>Missmatched</v>
      </c>
      <c r="AN612" s="7" t="str">
        <f t="shared" si="59"/>
        <v>Missmatched</v>
      </c>
    </row>
    <row r="613" spans="1:40">
      <c r="A613" t="s">
        <v>1923</v>
      </c>
      <c r="B613" s="6">
        <v>45846</v>
      </c>
      <c r="C613" s="4">
        <v>46111</v>
      </c>
      <c r="D613" t="s">
        <v>1924</v>
      </c>
      <c r="E613" t="s">
        <v>62</v>
      </c>
      <c r="F613" t="s">
        <v>37</v>
      </c>
      <c r="G613" t="s">
        <v>25</v>
      </c>
      <c r="H613" t="s">
        <v>26</v>
      </c>
      <c r="I613" t="s">
        <v>27</v>
      </c>
      <c r="J613" t="s">
        <v>28</v>
      </c>
      <c r="K613" t="s">
        <v>153</v>
      </c>
      <c r="L613" t="s">
        <v>1925</v>
      </c>
      <c r="M613" t="s">
        <v>44</v>
      </c>
      <c r="N613">
        <v>8</v>
      </c>
      <c r="O613">
        <v>655.28</v>
      </c>
      <c r="P613">
        <v>0.1</v>
      </c>
      <c r="Q613" s="7">
        <f>IF(P613="", 0, P613)</f>
        <v>0.1</v>
      </c>
      <c r="R613">
        <v>4718.0200000000004</v>
      </c>
      <c r="S613">
        <v>3908.23</v>
      </c>
      <c r="T613" s="7">
        <f>N613*O613*(1-Q613)</f>
        <v>4718.0159999999996</v>
      </c>
      <c r="U613" s="7">
        <f t="shared" si="54"/>
        <v>809.7859999999996</v>
      </c>
      <c r="V613">
        <v>809.79</v>
      </c>
      <c r="W613" s="12">
        <f t="shared" si="55"/>
        <v>0.17163697622051297</v>
      </c>
      <c r="X613" t="s">
        <v>32</v>
      </c>
      <c r="Y613" t="str">
        <f t="shared" si="56"/>
        <v>Paid</v>
      </c>
      <c r="Z613" t="s">
        <v>33</v>
      </c>
      <c r="AA613">
        <f>C613-B613</f>
        <v>265</v>
      </c>
      <c r="AB613" t="str">
        <f>IF(B613="","Missing Order Date",
IF(C613="","Missing Ship Date","OK"))</f>
        <v>OK</v>
      </c>
      <c r="AC613" s="7" t="str">
        <f>IF(C613&lt;B613, "Invalid", "Valid")</f>
        <v>Valid</v>
      </c>
      <c r="AD613" s="7" t="str">
        <f>IF(COUNTIF($A:$A, A613)&gt;1, "Duplicate", "Unique")</f>
        <v>Unique</v>
      </c>
      <c r="AE613" s="7" t="str">
        <f>IF(G613="","Unknown",G613)</f>
        <v>North</v>
      </c>
      <c r="AF613" s="7" t="str">
        <f>IF(M613="","Unknown",M613)</f>
        <v>Same Day</v>
      </c>
      <c r="AG613" s="7" t="str">
        <f>IF(P613&lt;0,"Invalid",
IF(P613&gt;1,"Invalid","Valid"))</f>
        <v>Valid</v>
      </c>
      <c r="AH613" s="7" t="str">
        <f>TEXT(B613,"mmmm")</f>
        <v>July</v>
      </c>
      <c r="AI613" s="7">
        <f t="shared" si="57"/>
        <v>2025</v>
      </c>
      <c r="AJ613" s="7" t="str">
        <f>IF(OR(R613&lt;0,C613&lt;B613),"Invalid",
IF(OR(G613="Unknown",M613="Unknown"),"Warning","Clean"))</f>
        <v>Clean</v>
      </c>
      <c r="AK613" s="7" t="str">
        <f>IF(C613&lt;B613,"Ship Before Order","OK")</f>
        <v>OK</v>
      </c>
      <c r="AL613" s="7" t="str">
        <f>IF(ISNUMBER(B613),"Valid","Invalid")</f>
        <v>Valid</v>
      </c>
      <c r="AM613" s="7" t="str">
        <f t="shared" si="58"/>
        <v>Missmatched</v>
      </c>
      <c r="AN613" s="7" t="str">
        <f t="shared" si="59"/>
        <v>Missmatched</v>
      </c>
    </row>
    <row r="614" spans="1:40">
      <c r="A614" t="s">
        <v>1926</v>
      </c>
      <c r="B614" s="6">
        <v>45812</v>
      </c>
      <c r="C614" s="4">
        <v>46112</v>
      </c>
      <c r="D614" t="s">
        <v>1927</v>
      </c>
      <c r="E614" t="s">
        <v>89</v>
      </c>
      <c r="F614" t="s">
        <v>24</v>
      </c>
      <c r="G614" t="s">
        <v>2785</v>
      </c>
      <c r="H614" t="s">
        <v>39</v>
      </c>
      <c r="I614" t="s">
        <v>40</v>
      </c>
      <c r="J614" t="s">
        <v>74</v>
      </c>
      <c r="K614" t="s">
        <v>171</v>
      </c>
      <c r="L614" t="s">
        <v>1928</v>
      </c>
      <c r="M614" t="s">
        <v>59</v>
      </c>
      <c r="N614">
        <v>1</v>
      </c>
      <c r="O614">
        <v>3844.01</v>
      </c>
      <c r="P614">
        <v>0</v>
      </c>
      <c r="Q614" s="7">
        <f>IF(P614="", 0, P614)</f>
        <v>0</v>
      </c>
      <c r="R614">
        <v>3844.01</v>
      </c>
      <c r="S614">
        <v>2195.79</v>
      </c>
      <c r="T614" s="7">
        <f>N614*O614*(1-Q614)</f>
        <v>3844.01</v>
      </c>
      <c r="U614" s="7">
        <f t="shared" si="54"/>
        <v>1648.2200000000003</v>
      </c>
      <c r="V614">
        <v>1648.22</v>
      </c>
      <c r="W614" s="12">
        <f t="shared" si="55"/>
        <v>0.42877619985379856</v>
      </c>
      <c r="X614" t="s">
        <v>32</v>
      </c>
      <c r="Y614" t="str">
        <f t="shared" si="56"/>
        <v>Paid</v>
      </c>
      <c r="Z614" t="s">
        <v>33</v>
      </c>
      <c r="AA614">
        <f>C614-B614</f>
        <v>300</v>
      </c>
      <c r="AB614" t="str">
        <f>IF(B614="","Missing Order Date",
IF(C614="","Missing Ship Date","OK"))</f>
        <v>OK</v>
      </c>
      <c r="AC614" s="7" t="str">
        <f>IF(C614&lt;B614, "Invalid", "Valid")</f>
        <v>Valid</v>
      </c>
      <c r="AD614" s="7" t="str">
        <f>IF(COUNTIF($A:$A, A614)&gt;1, "Duplicate", "Unique")</f>
        <v>Unique</v>
      </c>
      <c r="AE614" s="7" t="str">
        <f>IF(G614="","Unknown",G614)</f>
        <v>Unknown</v>
      </c>
      <c r="AF614" s="7" t="str">
        <f>IF(M614="","Unknown",M614)</f>
        <v>Standard Class</v>
      </c>
      <c r="AG614" s="7" t="str">
        <f>IF(P614&lt;0,"Invalid",
IF(P614&gt;1,"Invalid","Valid"))</f>
        <v>Valid</v>
      </c>
      <c r="AH614" s="7" t="str">
        <f>TEXT(B614,"mmmm")</f>
        <v>June</v>
      </c>
      <c r="AI614" s="7">
        <f t="shared" si="57"/>
        <v>2025</v>
      </c>
      <c r="AJ614" s="7" t="str">
        <f>IF(OR(R614&lt;0,C614&lt;B614),"Invalid",
IF(OR(G614="Unknown",M614="Unknown"),"Warning","Clean"))</f>
        <v>Clean</v>
      </c>
      <c r="AK614" s="7" t="str">
        <f>IF(C614&lt;B614,"Ship Before Order","OK")</f>
        <v>OK</v>
      </c>
      <c r="AL614" s="7" t="str">
        <f>IF(ISNUMBER(B614),"Valid","Invalid")</f>
        <v>Valid</v>
      </c>
      <c r="AM614" s="7" t="str">
        <f t="shared" si="58"/>
        <v>Ok</v>
      </c>
      <c r="AN614" s="7" t="str">
        <f t="shared" si="59"/>
        <v>Ok</v>
      </c>
    </row>
    <row r="615" spans="1:40">
      <c r="A615" t="s">
        <v>1929</v>
      </c>
      <c r="B615" s="6">
        <v>45422</v>
      </c>
      <c r="C615" s="4">
        <v>46113</v>
      </c>
      <c r="D615" t="s">
        <v>1930</v>
      </c>
      <c r="E615" t="s">
        <v>162</v>
      </c>
      <c r="F615" t="s">
        <v>95</v>
      </c>
      <c r="G615" t="s">
        <v>63</v>
      </c>
      <c r="H615" t="s">
        <v>180</v>
      </c>
      <c r="I615" t="s">
        <v>181</v>
      </c>
      <c r="J615" t="s">
        <v>74</v>
      </c>
      <c r="K615" t="s">
        <v>274</v>
      </c>
      <c r="L615" t="s">
        <v>1931</v>
      </c>
      <c r="M615" t="s">
        <v>44</v>
      </c>
      <c r="N615">
        <v>9</v>
      </c>
      <c r="O615">
        <v>3361.3</v>
      </c>
      <c r="P615">
        <v>0.25</v>
      </c>
      <c r="Q615" s="7">
        <f>IF(P615="", 0, P615)</f>
        <v>0.25</v>
      </c>
      <c r="R615">
        <v>22688.78</v>
      </c>
      <c r="S615">
        <v>14672.41</v>
      </c>
      <c r="T615" s="7">
        <f>N615*O615*(1-Q615)</f>
        <v>22688.775000000001</v>
      </c>
      <c r="U615" s="7">
        <f t="shared" si="54"/>
        <v>8016.3650000000016</v>
      </c>
      <c r="V615">
        <v>8016.37</v>
      </c>
      <c r="W615" s="12">
        <f t="shared" si="55"/>
        <v>0.35331854628555315</v>
      </c>
      <c r="X615" t="s">
        <v>32</v>
      </c>
      <c r="Y615" t="str">
        <f t="shared" si="56"/>
        <v>Paid</v>
      </c>
      <c r="Z615" t="s">
        <v>33</v>
      </c>
      <c r="AA615">
        <f>C615-B615</f>
        <v>691</v>
      </c>
      <c r="AB615" t="str">
        <f>IF(B615="","Missing Order Date",
IF(C615="","Missing Ship Date","OK"))</f>
        <v>OK</v>
      </c>
      <c r="AC615" s="7" t="str">
        <f>IF(C615&lt;B615, "Invalid", "Valid")</f>
        <v>Valid</v>
      </c>
      <c r="AD615" s="7" t="str">
        <f>IF(COUNTIF($A:$A, A615)&gt;1, "Duplicate", "Unique")</f>
        <v>Unique</v>
      </c>
      <c r="AE615" s="7" t="str">
        <f>IF(G615="","Unknown",G615)</f>
        <v>West</v>
      </c>
      <c r="AF615" s="7" t="str">
        <f>IF(M615="","Unknown",M615)</f>
        <v>Same Day</v>
      </c>
      <c r="AG615" s="7" t="str">
        <f>IF(P615&lt;0,"Invalid",
IF(P615&gt;1,"Invalid","Valid"))</f>
        <v>Valid</v>
      </c>
      <c r="AH615" s="7" t="str">
        <f>TEXT(B615,"mmmm")</f>
        <v>May</v>
      </c>
      <c r="AI615" s="7">
        <f t="shared" si="57"/>
        <v>2024</v>
      </c>
      <c r="AJ615" s="7" t="str">
        <f>IF(OR(R615&lt;0,C615&lt;B615),"Invalid",
IF(OR(G615="Unknown",M615="Unknown"),"Warning","Clean"))</f>
        <v>Clean</v>
      </c>
      <c r="AK615" s="7" t="str">
        <f>IF(C615&lt;B615,"Ship Before Order","OK")</f>
        <v>OK</v>
      </c>
      <c r="AL615" s="7" t="str">
        <f>IF(ISNUMBER(B615),"Valid","Invalid")</f>
        <v>Valid</v>
      </c>
      <c r="AM615" s="7" t="str">
        <f t="shared" si="58"/>
        <v>Missmatched</v>
      </c>
      <c r="AN615" s="7" t="str">
        <f t="shared" si="59"/>
        <v>Missmatched</v>
      </c>
    </row>
    <row r="616" spans="1:40">
      <c r="A616" t="s">
        <v>1932</v>
      </c>
      <c r="B616" s="6">
        <v>45333</v>
      </c>
      <c r="C616" s="4">
        <v>46114</v>
      </c>
      <c r="D616" t="s">
        <v>1933</v>
      </c>
      <c r="E616" t="s">
        <v>62</v>
      </c>
      <c r="F616" t="s">
        <v>95</v>
      </c>
      <c r="G616" t="s">
        <v>54</v>
      </c>
      <c r="H616" t="s">
        <v>55</v>
      </c>
      <c r="I616" t="s">
        <v>56</v>
      </c>
      <c r="J616" t="s">
        <v>41</v>
      </c>
      <c r="K616" t="s">
        <v>66</v>
      </c>
      <c r="L616" t="s">
        <v>1934</v>
      </c>
      <c r="M616" t="s">
        <v>59</v>
      </c>
      <c r="N616">
        <v>8</v>
      </c>
      <c r="O616">
        <v>3398.32</v>
      </c>
      <c r="P616">
        <v>0.25</v>
      </c>
      <c r="Q616" s="7">
        <f>IF(P616="", 0, P616)</f>
        <v>0.25</v>
      </c>
      <c r="R616">
        <v>20389.919999999998</v>
      </c>
      <c r="S616">
        <v>16661.080000000002</v>
      </c>
      <c r="T616" s="7">
        <f>N616*O616*(1-Q616)</f>
        <v>20389.920000000002</v>
      </c>
      <c r="U616" s="7">
        <f t="shared" si="54"/>
        <v>3728.84</v>
      </c>
      <c r="V616">
        <v>3728.84</v>
      </c>
      <c r="W616" s="12">
        <f t="shared" si="55"/>
        <v>0.18287663708342161</v>
      </c>
      <c r="X616" t="s">
        <v>102</v>
      </c>
      <c r="Y616" t="str">
        <f t="shared" si="56"/>
        <v>Refunded</v>
      </c>
      <c r="Z616" t="s">
        <v>68</v>
      </c>
      <c r="AA616">
        <f>C616-B616</f>
        <v>781</v>
      </c>
      <c r="AB616" t="str">
        <f>IF(B616="","Missing Order Date",
IF(C616="","Missing Ship Date","OK"))</f>
        <v>OK</v>
      </c>
      <c r="AC616" s="7" t="str">
        <f>IF(C616&lt;B616, "Invalid", "Valid")</f>
        <v>Valid</v>
      </c>
      <c r="AD616" s="7" t="str">
        <f>IF(COUNTIF($A:$A, A616)&gt;1, "Duplicate", "Unique")</f>
        <v>Unique</v>
      </c>
      <c r="AE616" s="7" t="str">
        <f>IF(G616="","Unknown",G616)</f>
        <v>South</v>
      </c>
      <c r="AF616" s="7" t="str">
        <f>IF(M616="","Unknown",M616)</f>
        <v>Standard Class</v>
      </c>
      <c r="AG616" s="7" t="str">
        <f>IF(P616&lt;0,"Invalid",
IF(P616&gt;1,"Invalid","Valid"))</f>
        <v>Valid</v>
      </c>
      <c r="AH616" s="7" t="str">
        <f>TEXT(B616,"mmmm")</f>
        <v>February</v>
      </c>
      <c r="AI616" s="7">
        <f t="shared" si="57"/>
        <v>2024</v>
      </c>
      <c r="AJ616" s="7" t="str">
        <f>IF(OR(R616&lt;0,C616&lt;B616),"Invalid",
IF(OR(G616="Unknown",M616="Unknown"),"Warning","Clean"))</f>
        <v>Clean</v>
      </c>
      <c r="AK616" s="7" t="str">
        <f>IF(C616&lt;B616,"Ship Before Order","OK")</f>
        <v>OK</v>
      </c>
      <c r="AL616" s="7" t="str">
        <f>IF(ISNUMBER(B616),"Valid","Invalid")</f>
        <v>Valid</v>
      </c>
      <c r="AM616" s="7" t="str">
        <f t="shared" si="58"/>
        <v>Ok</v>
      </c>
      <c r="AN616" s="7" t="str">
        <f t="shared" si="59"/>
        <v>Ok</v>
      </c>
    </row>
    <row r="617" spans="1:40">
      <c r="A617" t="s">
        <v>1935</v>
      </c>
      <c r="B617" s="6">
        <v>45392</v>
      </c>
      <c r="C617" s="4">
        <v>46115</v>
      </c>
      <c r="D617" t="s">
        <v>1936</v>
      </c>
      <c r="E617" t="s">
        <v>118</v>
      </c>
      <c r="F617" t="s">
        <v>90</v>
      </c>
      <c r="G617" t="s">
        <v>54</v>
      </c>
      <c r="H617" t="s">
        <v>185</v>
      </c>
      <c r="I617" t="s">
        <v>186</v>
      </c>
      <c r="J617" t="s">
        <v>28</v>
      </c>
      <c r="K617" t="s">
        <v>48</v>
      </c>
      <c r="L617" t="s">
        <v>1937</v>
      </c>
      <c r="M617" t="s">
        <v>31</v>
      </c>
      <c r="N617">
        <v>2</v>
      </c>
      <c r="O617">
        <v>3144.38</v>
      </c>
      <c r="P617">
        <v>0.1</v>
      </c>
      <c r="Q617" s="7">
        <f>IF(P617="", 0, P617)</f>
        <v>0.1</v>
      </c>
      <c r="R617">
        <v>5904.57</v>
      </c>
      <c r="S617">
        <v>4337.79</v>
      </c>
      <c r="T617" s="7">
        <f>N617*O617*(1-Q617)</f>
        <v>5659.884</v>
      </c>
      <c r="U617" s="7">
        <f t="shared" si="54"/>
        <v>1322.0940000000001</v>
      </c>
      <c r="V617">
        <v>1322.09</v>
      </c>
      <c r="W617" s="12">
        <f t="shared" si="55"/>
        <v>0.23359029973052453</v>
      </c>
      <c r="X617" t="s">
        <v>32</v>
      </c>
      <c r="Y617" t="str">
        <f t="shared" si="56"/>
        <v>Paid</v>
      </c>
      <c r="Z617" t="s">
        <v>33</v>
      </c>
      <c r="AA617">
        <f>C617-B617</f>
        <v>723</v>
      </c>
      <c r="AB617" t="str">
        <f>IF(B617="","Missing Order Date",
IF(C617="","Missing Ship Date","OK"))</f>
        <v>OK</v>
      </c>
      <c r="AC617" s="7" t="str">
        <f>IF(C617&lt;B617, "Invalid", "Valid")</f>
        <v>Valid</v>
      </c>
      <c r="AD617" s="7" t="str">
        <f>IF(COUNTIF($A:$A, A617)&gt;1, "Duplicate", "Unique")</f>
        <v>Unique</v>
      </c>
      <c r="AE617" s="7" t="str">
        <f>IF(G617="","Unknown",G617)</f>
        <v>South</v>
      </c>
      <c r="AF617" s="7" t="str">
        <f>IF(M617="","Unknown",M617)</f>
        <v>Second Class</v>
      </c>
      <c r="AG617" s="7" t="str">
        <f>IF(P617&lt;0,"Invalid",
IF(P617&gt;1,"Invalid","Valid"))</f>
        <v>Valid</v>
      </c>
      <c r="AH617" s="7" t="str">
        <f>TEXT(B617,"mmmm")</f>
        <v>April</v>
      </c>
      <c r="AI617" s="7">
        <f t="shared" si="57"/>
        <v>2024</v>
      </c>
      <c r="AJ617" s="7" t="str">
        <f>IF(OR(R617&lt;0,C617&lt;B617),"Invalid",
IF(OR(G617="Unknown",M617="Unknown"),"Warning","Clean"))</f>
        <v>Clean</v>
      </c>
      <c r="AK617" s="7" t="str">
        <f>IF(C617&lt;B617,"Ship Before Order","OK")</f>
        <v>OK</v>
      </c>
      <c r="AL617" s="7" t="str">
        <f>IF(ISNUMBER(B617),"Valid","Invalid")</f>
        <v>Valid</v>
      </c>
      <c r="AM617" s="7" t="str">
        <f t="shared" si="58"/>
        <v>Missmatched</v>
      </c>
      <c r="AN617" s="7" t="str">
        <f t="shared" si="59"/>
        <v>Missmatched</v>
      </c>
    </row>
    <row r="618" spans="1:40">
      <c r="A618" t="s">
        <v>1938</v>
      </c>
      <c r="B618" s="6">
        <v>45520</v>
      </c>
      <c r="C618" s="4">
        <v>46116</v>
      </c>
      <c r="D618" t="s">
        <v>1939</v>
      </c>
      <c r="E618" t="s">
        <v>264</v>
      </c>
      <c r="F618" t="s">
        <v>24</v>
      </c>
      <c r="G618" t="s">
        <v>54</v>
      </c>
      <c r="H618" t="s">
        <v>55</v>
      </c>
      <c r="I618" t="s">
        <v>56</v>
      </c>
      <c r="J618" t="s">
        <v>28</v>
      </c>
      <c r="K618" t="s">
        <v>29</v>
      </c>
      <c r="L618" t="s">
        <v>1940</v>
      </c>
      <c r="M618" t="s">
        <v>59</v>
      </c>
      <c r="N618">
        <v>6</v>
      </c>
      <c r="O618">
        <v>3925.55</v>
      </c>
      <c r="P618">
        <v>0.2</v>
      </c>
      <c r="Q618" s="7">
        <f>IF(P618="", 0, P618)</f>
        <v>0.2</v>
      </c>
      <c r="R618">
        <v>18842.64</v>
      </c>
      <c r="S618">
        <v>11840.58</v>
      </c>
      <c r="T618" s="7">
        <f>N618*O618*(1-Q618)</f>
        <v>18842.640000000003</v>
      </c>
      <c r="U618" s="7">
        <f t="shared" si="54"/>
        <v>7002.0600000000031</v>
      </c>
      <c r="V618">
        <v>7002.06</v>
      </c>
      <c r="W618" s="12">
        <f t="shared" si="55"/>
        <v>0.37160716332743193</v>
      </c>
      <c r="X618" t="s">
        <v>32</v>
      </c>
      <c r="Y618" t="str">
        <f t="shared" si="56"/>
        <v>Paid</v>
      </c>
      <c r="Z618" t="s">
        <v>33</v>
      </c>
      <c r="AA618">
        <f>C618-B618</f>
        <v>596</v>
      </c>
      <c r="AB618" t="str">
        <f>IF(B618="","Missing Order Date",
IF(C618="","Missing Ship Date","OK"))</f>
        <v>OK</v>
      </c>
      <c r="AC618" s="7" t="str">
        <f>IF(C618&lt;B618, "Invalid", "Valid")</f>
        <v>Valid</v>
      </c>
      <c r="AD618" s="7" t="str">
        <f>IF(COUNTIF($A:$A, A618)&gt;1, "Duplicate", "Unique")</f>
        <v>Unique</v>
      </c>
      <c r="AE618" s="7" t="str">
        <f>IF(G618="","Unknown",G618)</f>
        <v>South</v>
      </c>
      <c r="AF618" s="7" t="str">
        <f>IF(M618="","Unknown",M618)</f>
        <v>Standard Class</v>
      </c>
      <c r="AG618" s="7" t="str">
        <f>IF(P618&lt;0,"Invalid",
IF(P618&gt;1,"Invalid","Valid"))</f>
        <v>Valid</v>
      </c>
      <c r="AH618" s="7" t="str">
        <f>TEXT(B618,"mmmm")</f>
        <v>August</v>
      </c>
      <c r="AI618" s="7">
        <f t="shared" si="57"/>
        <v>2024</v>
      </c>
      <c r="AJ618" s="7" t="str">
        <f>IF(OR(R618&lt;0,C618&lt;B618),"Invalid",
IF(OR(G618="Unknown",M618="Unknown"),"Warning","Clean"))</f>
        <v>Clean</v>
      </c>
      <c r="AK618" s="7" t="str">
        <f>IF(C618&lt;B618,"Ship Before Order","OK")</f>
        <v>OK</v>
      </c>
      <c r="AL618" s="7" t="str">
        <f>IF(ISNUMBER(B618),"Valid","Invalid")</f>
        <v>Valid</v>
      </c>
      <c r="AM618" s="7" t="str">
        <f t="shared" si="58"/>
        <v>Ok</v>
      </c>
      <c r="AN618" s="7" t="str">
        <f t="shared" si="59"/>
        <v>Ok</v>
      </c>
    </row>
    <row r="619" spans="1:40">
      <c r="A619" t="s">
        <v>1941</v>
      </c>
      <c r="B619" s="6">
        <v>45564</v>
      </c>
      <c r="C619" s="4">
        <v>46117</v>
      </c>
      <c r="D619" t="s">
        <v>1942</v>
      </c>
      <c r="E619" t="s">
        <v>36</v>
      </c>
      <c r="F619" t="s">
        <v>95</v>
      </c>
      <c r="G619" t="s">
        <v>54</v>
      </c>
      <c r="H619" t="s">
        <v>55</v>
      </c>
      <c r="I619" t="s">
        <v>56</v>
      </c>
      <c r="J619" t="s">
        <v>74</v>
      </c>
      <c r="K619" t="s">
        <v>171</v>
      </c>
      <c r="L619" t="s">
        <v>1943</v>
      </c>
      <c r="M619" t="s">
        <v>59</v>
      </c>
      <c r="N619">
        <v>9</v>
      </c>
      <c r="O619">
        <v>2741.91</v>
      </c>
      <c r="P619">
        <v>0</v>
      </c>
      <c r="Q619" s="7">
        <f>IF(P619="", 0, P619)</f>
        <v>0</v>
      </c>
      <c r="R619">
        <v>24677.19</v>
      </c>
      <c r="S619">
        <v>20350.849999999999</v>
      </c>
      <c r="T619" s="7">
        <f>N619*O619*(1-Q619)</f>
        <v>24677.19</v>
      </c>
      <c r="U619" s="7">
        <f t="shared" si="54"/>
        <v>4326.34</v>
      </c>
      <c r="V619">
        <v>4326.34</v>
      </c>
      <c r="W619" s="12">
        <f t="shared" si="55"/>
        <v>0.17531736798233513</v>
      </c>
      <c r="X619" t="s">
        <v>32</v>
      </c>
      <c r="Y619" t="str">
        <f t="shared" si="56"/>
        <v>Paid</v>
      </c>
      <c r="Z619" t="s">
        <v>33</v>
      </c>
      <c r="AA619">
        <f>C619-B619</f>
        <v>553</v>
      </c>
      <c r="AB619" t="str">
        <f>IF(B619="","Missing Order Date",
IF(C619="","Missing Ship Date","OK"))</f>
        <v>OK</v>
      </c>
      <c r="AC619" s="7" t="str">
        <f>IF(C619&lt;B619, "Invalid", "Valid")</f>
        <v>Valid</v>
      </c>
      <c r="AD619" s="7" t="str">
        <f>IF(COUNTIF($A:$A, A619)&gt;1, "Duplicate", "Unique")</f>
        <v>Unique</v>
      </c>
      <c r="AE619" s="7" t="str">
        <f>IF(G619="","Unknown",G619)</f>
        <v>South</v>
      </c>
      <c r="AF619" s="7" t="str">
        <f>IF(M619="","Unknown",M619)</f>
        <v>Standard Class</v>
      </c>
      <c r="AG619" s="7" t="str">
        <f>IF(P619&lt;0,"Invalid",
IF(P619&gt;1,"Invalid","Valid"))</f>
        <v>Valid</v>
      </c>
      <c r="AH619" s="7" t="str">
        <f>TEXT(B619,"mmmm")</f>
        <v>September</v>
      </c>
      <c r="AI619" s="7">
        <f t="shared" si="57"/>
        <v>2024</v>
      </c>
      <c r="AJ619" s="7" t="str">
        <f>IF(OR(R619&lt;0,C619&lt;B619),"Invalid",
IF(OR(G619="Unknown",M619="Unknown"),"Warning","Clean"))</f>
        <v>Clean</v>
      </c>
      <c r="AK619" s="7" t="str">
        <f>IF(C619&lt;B619,"Ship Before Order","OK")</f>
        <v>OK</v>
      </c>
      <c r="AL619" s="7" t="str">
        <f>IF(ISNUMBER(B619),"Valid","Invalid")</f>
        <v>Valid</v>
      </c>
      <c r="AM619" s="7" t="str">
        <f t="shared" si="58"/>
        <v>Ok</v>
      </c>
      <c r="AN619" s="7" t="str">
        <f t="shared" si="59"/>
        <v>Ok</v>
      </c>
    </row>
    <row r="620" spans="1:40">
      <c r="A620" t="s">
        <v>1944</v>
      </c>
      <c r="B620" s="6">
        <v>45496</v>
      </c>
      <c r="C620" s="4">
        <v>46118</v>
      </c>
      <c r="D620" t="s">
        <v>1945</v>
      </c>
      <c r="E620" t="s">
        <v>264</v>
      </c>
      <c r="F620" t="s">
        <v>90</v>
      </c>
      <c r="G620" t="s">
        <v>25</v>
      </c>
      <c r="H620" t="s">
        <v>26</v>
      </c>
      <c r="I620" t="s">
        <v>27</v>
      </c>
      <c r="J620" t="s">
        <v>41</v>
      </c>
      <c r="K620" t="s">
        <v>42</v>
      </c>
      <c r="L620" t="s">
        <v>1946</v>
      </c>
      <c r="M620" t="s">
        <v>44</v>
      </c>
      <c r="N620">
        <v>9</v>
      </c>
      <c r="O620">
        <v>1870.11</v>
      </c>
      <c r="P620">
        <v>0.25</v>
      </c>
      <c r="Q620" s="7">
        <f>IF(P620="", 0, P620)</f>
        <v>0.25</v>
      </c>
      <c r="R620">
        <v>12623.24</v>
      </c>
      <c r="S620">
        <v>10540.8</v>
      </c>
      <c r="T620" s="7">
        <f>N620*O620*(1-Q620)</f>
        <v>12623.242499999998</v>
      </c>
      <c r="U620" s="7">
        <f t="shared" si="54"/>
        <v>2082.4424999999992</v>
      </c>
      <c r="V620">
        <v>2082.44</v>
      </c>
      <c r="W620" s="12">
        <f t="shared" si="55"/>
        <v>0.16496890557239943</v>
      </c>
      <c r="X620" t="s">
        <v>155</v>
      </c>
      <c r="Y620" t="str">
        <f t="shared" si="56"/>
        <v>Failed</v>
      </c>
      <c r="Z620" t="s">
        <v>68</v>
      </c>
      <c r="AA620">
        <f>C620-B620</f>
        <v>622</v>
      </c>
      <c r="AB620" t="str">
        <f>IF(B620="","Missing Order Date",
IF(C620="","Missing Ship Date","OK"))</f>
        <v>OK</v>
      </c>
      <c r="AC620" s="7" t="str">
        <f>IF(C620&lt;B620, "Invalid", "Valid")</f>
        <v>Valid</v>
      </c>
      <c r="AD620" s="7" t="str">
        <f>IF(COUNTIF($A:$A, A620)&gt;1, "Duplicate", "Unique")</f>
        <v>Unique</v>
      </c>
      <c r="AE620" s="7" t="str">
        <f>IF(G620="","Unknown",G620)</f>
        <v>North</v>
      </c>
      <c r="AF620" s="7" t="str">
        <f>IF(M620="","Unknown",M620)</f>
        <v>Same Day</v>
      </c>
      <c r="AG620" s="7" t="str">
        <f>IF(P620&lt;0,"Invalid",
IF(P620&gt;1,"Invalid","Valid"))</f>
        <v>Valid</v>
      </c>
      <c r="AH620" s="7" t="str">
        <f>TEXT(B620,"mmmm")</f>
        <v>July</v>
      </c>
      <c r="AI620" s="7">
        <f t="shared" si="57"/>
        <v>2024</v>
      </c>
      <c r="AJ620" s="7" t="str">
        <f>IF(OR(R620&lt;0,C620&lt;B620),"Invalid",
IF(OR(G620="Unknown",M620="Unknown"),"Warning","Clean"))</f>
        <v>Clean</v>
      </c>
      <c r="AK620" s="7" t="str">
        <f>IF(C620&lt;B620,"Ship Before Order","OK")</f>
        <v>OK</v>
      </c>
      <c r="AL620" s="7" t="str">
        <f>IF(ISNUMBER(B620),"Valid","Invalid")</f>
        <v>Valid</v>
      </c>
      <c r="AM620" s="7" t="str">
        <f t="shared" si="58"/>
        <v>Missmatched</v>
      </c>
      <c r="AN620" s="7" t="str">
        <f t="shared" si="59"/>
        <v>Missmatched</v>
      </c>
    </row>
    <row r="621" spans="1:40">
      <c r="A621" t="s">
        <v>1947</v>
      </c>
      <c r="B621" s="6">
        <v>45618</v>
      </c>
      <c r="C621" s="4">
        <v>46119</v>
      </c>
      <c r="D621" t="s">
        <v>1948</v>
      </c>
      <c r="E621" t="s">
        <v>114</v>
      </c>
      <c r="F621" t="s">
        <v>90</v>
      </c>
      <c r="G621" t="s">
        <v>54</v>
      </c>
      <c r="H621" t="s">
        <v>247</v>
      </c>
      <c r="I621" t="s">
        <v>248</v>
      </c>
      <c r="J621" t="s">
        <v>28</v>
      </c>
      <c r="K621" t="s">
        <v>153</v>
      </c>
      <c r="L621" t="s">
        <v>1949</v>
      </c>
      <c r="M621" t="s">
        <v>50</v>
      </c>
      <c r="N621">
        <v>1</v>
      </c>
      <c r="O621">
        <v>4251.26</v>
      </c>
      <c r="P621">
        <v>0.2</v>
      </c>
      <c r="Q621" s="7">
        <f>IF(P621="", 0, P621)</f>
        <v>0.2</v>
      </c>
      <c r="R621">
        <v>3401.01</v>
      </c>
      <c r="S621">
        <v>2917.54</v>
      </c>
      <c r="T621" s="7">
        <f>N621*O621*(1-Q621)</f>
        <v>3401.0080000000003</v>
      </c>
      <c r="U621" s="7">
        <f t="shared" si="54"/>
        <v>483.4680000000003</v>
      </c>
      <c r="V621">
        <v>483.47</v>
      </c>
      <c r="W621" s="12">
        <f t="shared" si="55"/>
        <v>0.14215432601158254</v>
      </c>
      <c r="X621" t="s">
        <v>102</v>
      </c>
      <c r="Y621" t="str">
        <f t="shared" si="56"/>
        <v>Refunded</v>
      </c>
      <c r="Z621" t="s">
        <v>103</v>
      </c>
      <c r="AA621">
        <f>C621-B621</f>
        <v>501</v>
      </c>
      <c r="AB621" t="str">
        <f>IF(B621="","Missing Order Date",
IF(C621="","Missing Ship Date","OK"))</f>
        <v>OK</v>
      </c>
      <c r="AC621" s="7" t="str">
        <f>IF(C621&lt;B621, "Invalid", "Valid")</f>
        <v>Valid</v>
      </c>
      <c r="AD621" s="7" t="str">
        <f>IF(COUNTIF($A:$A, A621)&gt;1, "Duplicate", "Unique")</f>
        <v>Unique</v>
      </c>
      <c r="AE621" s="7" t="str">
        <f>IF(G621="","Unknown",G621)</f>
        <v>South</v>
      </c>
      <c r="AF621" s="7" t="str">
        <f>IF(M621="","Unknown",M621)</f>
        <v>First Class</v>
      </c>
      <c r="AG621" s="7" t="str">
        <f>IF(P621&lt;0,"Invalid",
IF(P621&gt;1,"Invalid","Valid"))</f>
        <v>Valid</v>
      </c>
      <c r="AH621" s="7" t="str">
        <f>TEXT(B621,"mmmm")</f>
        <v>November</v>
      </c>
      <c r="AI621" s="7">
        <f t="shared" si="57"/>
        <v>2024</v>
      </c>
      <c r="AJ621" s="7" t="str">
        <f>IF(OR(R621&lt;0,C621&lt;B621),"Invalid",
IF(OR(G621="Unknown",M621="Unknown"),"Warning","Clean"))</f>
        <v>Clean</v>
      </c>
      <c r="AK621" s="7" t="str">
        <f>IF(C621&lt;B621,"Ship Before Order","OK")</f>
        <v>OK</v>
      </c>
      <c r="AL621" s="7" t="str">
        <f>IF(ISNUMBER(B621),"Valid","Invalid")</f>
        <v>Valid</v>
      </c>
      <c r="AM621" s="7" t="str">
        <f t="shared" si="58"/>
        <v>Missmatched</v>
      </c>
      <c r="AN621" s="7" t="str">
        <f t="shared" si="59"/>
        <v>Missmatched</v>
      </c>
    </row>
    <row r="622" spans="1:40">
      <c r="A622" t="s">
        <v>1950</v>
      </c>
      <c r="B622" s="6">
        <v>45522</v>
      </c>
      <c r="C622" s="4">
        <v>46120</v>
      </c>
      <c r="D622" t="s">
        <v>1951</v>
      </c>
      <c r="E622" t="s">
        <v>71</v>
      </c>
      <c r="F622" t="s">
        <v>24</v>
      </c>
      <c r="G622" t="s">
        <v>25</v>
      </c>
      <c r="H622" t="s">
        <v>136</v>
      </c>
      <c r="I622" t="s">
        <v>137</v>
      </c>
      <c r="J622" t="s">
        <v>74</v>
      </c>
      <c r="K622" t="s">
        <v>274</v>
      </c>
      <c r="L622" t="s">
        <v>1952</v>
      </c>
      <c r="M622" t="s">
        <v>59</v>
      </c>
      <c r="N622">
        <v>9</v>
      </c>
      <c r="O622">
        <v>734.34</v>
      </c>
      <c r="P622">
        <v>0</v>
      </c>
      <c r="Q622" s="7">
        <f>IF(P622="", 0, P622)</f>
        <v>0</v>
      </c>
      <c r="R622">
        <v>6609.06</v>
      </c>
      <c r="S622">
        <v>4946.78</v>
      </c>
      <c r="T622" s="7">
        <f>N622*O622*(1-Q622)</f>
        <v>6609.06</v>
      </c>
      <c r="U622" s="7">
        <f t="shared" si="54"/>
        <v>1662.2800000000007</v>
      </c>
      <c r="V622">
        <v>1662.28</v>
      </c>
      <c r="W622" s="12">
        <f t="shared" si="55"/>
        <v>0.25151534408826681</v>
      </c>
      <c r="X622" t="s">
        <v>32</v>
      </c>
      <c r="Y622" t="str">
        <f t="shared" si="56"/>
        <v>Paid</v>
      </c>
      <c r="Z622" t="s">
        <v>33</v>
      </c>
      <c r="AA622">
        <f>C622-B622</f>
        <v>598</v>
      </c>
      <c r="AB622" t="str">
        <f>IF(B622="","Missing Order Date",
IF(C622="","Missing Ship Date","OK"))</f>
        <v>OK</v>
      </c>
      <c r="AC622" s="7" t="str">
        <f>IF(C622&lt;B622, "Invalid", "Valid")</f>
        <v>Valid</v>
      </c>
      <c r="AD622" s="7" t="str">
        <f>IF(COUNTIF($A:$A, A622)&gt;1, "Duplicate", "Unique")</f>
        <v>Unique</v>
      </c>
      <c r="AE622" s="7" t="str">
        <f>IF(G622="","Unknown",G622)</f>
        <v>North</v>
      </c>
      <c r="AF622" s="7" t="str">
        <f>IF(M622="","Unknown",M622)</f>
        <v>Standard Class</v>
      </c>
      <c r="AG622" s="7" t="str">
        <f>IF(P622&lt;0,"Invalid",
IF(P622&gt;1,"Invalid","Valid"))</f>
        <v>Valid</v>
      </c>
      <c r="AH622" s="7" t="str">
        <f>TEXT(B622,"mmmm")</f>
        <v>August</v>
      </c>
      <c r="AI622" s="7">
        <f t="shared" si="57"/>
        <v>2024</v>
      </c>
      <c r="AJ622" s="7" t="str">
        <f>IF(OR(R622&lt;0,C622&lt;B622),"Invalid",
IF(OR(G622="Unknown",M622="Unknown"),"Warning","Clean"))</f>
        <v>Clean</v>
      </c>
      <c r="AK622" s="7" t="str">
        <f>IF(C622&lt;B622,"Ship Before Order","OK")</f>
        <v>OK</v>
      </c>
      <c r="AL622" s="7" t="str">
        <f>IF(ISNUMBER(B622),"Valid","Invalid")</f>
        <v>Valid</v>
      </c>
      <c r="AM622" s="7" t="str">
        <f t="shared" si="58"/>
        <v>Ok</v>
      </c>
      <c r="AN622" s="7" t="str">
        <f t="shared" si="59"/>
        <v>Ok</v>
      </c>
    </row>
    <row r="623" spans="1:40">
      <c r="A623" t="s">
        <v>1953</v>
      </c>
      <c r="B623" s="6">
        <v>45624</v>
      </c>
      <c r="C623" s="4">
        <v>46121</v>
      </c>
      <c r="D623" t="s">
        <v>1954</v>
      </c>
      <c r="E623" t="s">
        <v>89</v>
      </c>
      <c r="F623" t="s">
        <v>24</v>
      </c>
      <c r="G623" t="s">
        <v>63</v>
      </c>
      <c r="H623" t="s">
        <v>64</v>
      </c>
      <c r="I623" t="s">
        <v>65</v>
      </c>
      <c r="J623" t="s">
        <v>41</v>
      </c>
      <c r="K623" t="s">
        <v>66</v>
      </c>
      <c r="L623" t="s">
        <v>1955</v>
      </c>
      <c r="M623" t="s">
        <v>44</v>
      </c>
      <c r="N623">
        <v>5</v>
      </c>
      <c r="O623">
        <v>1092.8399999999999</v>
      </c>
      <c r="Q623" s="7">
        <f>IF(P623="", 0, P623)</f>
        <v>0</v>
      </c>
      <c r="R623">
        <v>5464.2</v>
      </c>
      <c r="S623">
        <v>3318.09</v>
      </c>
      <c r="T623" s="7">
        <f>N623*O623*(1-Q623)</f>
        <v>5464.2</v>
      </c>
      <c r="U623" s="7">
        <f t="shared" si="54"/>
        <v>2146.1099999999997</v>
      </c>
      <c r="V623">
        <v>2146.11</v>
      </c>
      <c r="W623" s="12">
        <f t="shared" si="55"/>
        <v>0.39275831777753373</v>
      </c>
      <c r="X623" t="s">
        <v>32</v>
      </c>
      <c r="Y623" t="str">
        <f t="shared" si="56"/>
        <v>Paid</v>
      </c>
      <c r="Z623" t="s">
        <v>33</v>
      </c>
      <c r="AA623">
        <f>C623-B623</f>
        <v>497</v>
      </c>
      <c r="AB623" t="str">
        <f>IF(B623="","Missing Order Date",
IF(C623="","Missing Ship Date","OK"))</f>
        <v>OK</v>
      </c>
      <c r="AC623" s="7" t="str">
        <f>IF(C623&lt;B623, "Invalid", "Valid")</f>
        <v>Valid</v>
      </c>
      <c r="AD623" s="7" t="str">
        <f>IF(COUNTIF($A:$A, A623)&gt;1, "Duplicate", "Unique")</f>
        <v>Unique</v>
      </c>
      <c r="AE623" s="7" t="str">
        <f>IF(G623="","Unknown",G623)</f>
        <v>West</v>
      </c>
      <c r="AF623" s="7" t="str">
        <f>IF(M623="","Unknown",M623)</f>
        <v>Same Day</v>
      </c>
      <c r="AG623" s="7" t="str">
        <f>IF(P623&lt;0,"Invalid",
IF(P623&gt;1,"Invalid","Valid"))</f>
        <v>Valid</v>
      </c>
      <c r="AH623" s="7" t="str">
        <f>TEXT(B623,"mmmm")</f>
        <v>November</v>
      </c>
      <c r="AI623" s="7">
        <f t="shared" si="57"/>
        <v>2024</v>
      </c>
      <c r="AJ623" s="7" t="str">
        <f>IF(OR(R623&lt;0,C623&lt;B623),"Invalid",
IF(OR(G623="Unknown",M623="Unknown"),"Warning","Clean"))</f>
        <v>Clean</v>
      </c>
      <c r="AK623" s="7" t="str">
        <f>IF(C623&lt;B623,"Ship Before Order","OK")</f>
        <v>OK</v>
      </c>
      <c r="AL623" s="7" t="str">
        <f>IF(ISNUMBER(B623),"Valid","Invalid")</f>
        <v>Valid</v>
      </c>
      <c r="AM623" s="7" t="str">
        <f t="shared" si="58"/>
        <v>Ok</v>
      </c>
      <c r="AN623" s="7" t="str">
        <f t="shared" si="59"/>
        <v>Ok</v>
      </c>
    </row>
    <row r="624" spans="1:40">
      <c r="A624" t="s">
        <v>1956</v>
      </c>
      <c r="B624" s="6">
        <v>45686</v>
      </c>
      <c r="C624" s="4">
        <v>46122</v>
      </c>
      <c r="D624" t="s">
        <v>1957</v>
      </c>
      <c r="E624" t="s">
        <v>71</v>
      </c>
      <c r="F624" t="s">
        <v>24</v>
      </c>
      <c r="G624" t="s">
        <v>38</v>
      </c>
      <c r="H624" t="s">
        <v>145</v>
      </c>
      <c r="I624" t="s">
        <v>146</v>
      </c>
      <c r="J624" t="s">
        <v>28</v>
      </c>
      <c r="K624" t="s">
        <v>124</v>
      </c>
      <c r="L624" t="s">
        <v>1958</v>
      </c>
      <c r="M624" t="s">
        <v>59</v>
      </c>
      <c r="N624">
        <v>4</v>
      </c>
      <c r="O624">
        <v>2759.01</v>
      </c>
      <c r="P624">
        <v>0.05</v>
      </c>
      <c r="Q624" s="7">
        <f>IF(P624="", 0, P624)</f>
        <v>0.05</v>
      </c>
      <c r="R624">
        <v>10484.24</v>
      </c>
      <c r="S624">
        <v>6680.15</v>
      </c>
      <c r="T624" s="7">
        <f>N624*O624*(1-Q624)</f>
        <v>10484.238000000001</v>
      </c>
      <c r="U624" s="7">
        <f t="shared" si="54"/>
        <v>3804.0880000000016</v>
      </c>
      <c r="V624">
        <v>3804.09</v>
      </c>
      <c r="W624" s="12">
        <f t="shared" si="55"/>
        <v>0.36283876806306775</v>
      </c>
      <c r="X624" t="s">
        <v>32</v>
      </c>
      <c r="Y624" t="str">
        <f t="shared" si="56"/>
        <v>Paid</v>
      </c>
      <c r="Z624" t="s">
        <v>33</v>
      </c>
      <c r="AA624">
        <f>C624-B624</f>
        <v>436</v>
      </c>
      <c r="AB624" t="str">
        <f>IF(B624="","Missing Order Date",
IF(C624="","Missing Ship Date","OK"))</f>
        <v>OK</v>
      </c>
      <c r="AC624" s="7" t="str">
        <f>IF(C624&lt;B624, "Invalid", "Valid")</f>
        <v>Valid</v>
      </c>
      <c r="AD624" s="7" t="str">
        <f>IF(COUNTIF($A:$A, A624)&gt;1, "Duplicate", "Unique")</f>
        <v>Unique</v>
      </c>
      <c r="AE624" s="7" t="str">
        <f>IF(G624="","Unknown",G624)</f>
        <v>East</v>
      </c>
      <c r="AF624" s="7" t="str">
        <f>IF(M624="","Unknown",M624)</f>
        <v>Standard Class</v>
      </c>
      <c r="AG624" s="7" t="str">
        <f>IF(P624&lt;0,"Invalid",
IF(P624&gt;1,"Invalid","Valid"))</f>
        <v>Valid</v>
      </c>
      <c r="AH624" s="7" t="str">
        <f>TEXT(B624,"mmmm")</f>
        <v>January</v>
      </c>
      <c r="AI624" s="7">
        <f t="shared" si="57"/>
        <v>2025</v>
      </c>
      <c r="AJ624" s="7" t="str">
        <f>IF(OR(R624&lt;0,C624&lt;B624),"Invalid",
IF(OR(G624="Unknown",M624="Unknown"),"Warning","Clean"))</f>
        <v>Clean</v>
      </c>
      <c r="AK624" s="7" t="str">
        <f>IF(C624&lt;B624,"Ship Before Order","OK")</f>
        <v>OK</v>
      </c>
      <c r="AL624" s="7" t="str">
        <f>IF(ISNUMBER(B624),"Valid","Invalid")</f>
        <v>Valid</v>
      </c>
      <c r="AM624" s="7" t="str">
        <f t="shared" si="58"/>
        <v>Missmatched</v>
      </c>
      <c r="AN624" s="7" t="str">
        <f t="shared" si="59"/>
        <v>Missmatched</v>
      </c>
    </row>
    <row r="625" spans="1:40">
      <c r="A625" t="s">
        <v>1959</v>
      </c>
      <c r="B625" s="6">
        <v>45512</v>
      </c>
      <c r="C625" s="4">
        <v>46123</v>
      </c>
      <c r="D625" t="s">
        <v>1960</v>
      </c>
      <c r="E625" t="s">
        <v>71</v>
      </c>
      <c r="F625" t="s">
        <v>95</v>
      </c>
      <c r="G625" t="s">
        <v>25</v>
      </c>
      <c r="H625" t="s">
        <v>122</v>
      </c>
      <c r="I625" t="s">
        <v>123</v>
      </c>
      <c r="J625" t="s">
        <v>28</v>
      </c>
      <c r="K625" t="s">
        <v>124</v>
      </c>
      <c r="L625" t="s">
        <v>1961</v>
      </c>
      <c r="M625" t="s">
        <v>31</v>
      </c>
      <c r="N625">
        <v>8</v>
      </c>
      <c r="O625">
        <v>1359.19</v>
      </c>
      <c r="P625">
        <v>0.05</v>
      </c>
      <c r="Q625" s="7">
        <f>IF(P625="", 0, P625)</f>
        <v>0.05</v>
      </c>
      <c r="R625">
        <v>10329.84</v>
      </c>
      <c r="S625">
        <v>7512.22</v>
      </c>
      <c r="T625" s="7">
        <f>N625*O625*(1-Q625)</f>
        <v>10329.843999999999</v>
      </c>
      <c r="U625" s="7">
        <f t="shared" si="54"/>
        <v>2817.6239999999989</v>
      </c>
      <c r="V625">
        <v>2817.62</v>
      </c>
      <c r="W625" s="12">
        <f t="shared" si="55"/>
        <v>0.27276539703794161</v>
      </c>
      <c r="X625" t="s">
        <v>32</v>
      </c>
      <c r="Y625" t="str">
        <f t="shared" si="56"/>
        <v>Paid</v>
      </c>
      <c r="Z625" t="s">
        <v>33</v>
      </c>
      <c r="AA625">
        <f>C625-B625</f>
        <v>611</v>
      </c>
      <c r="AB625" t="str">
        <f>IF(B625="","Missing Order Date",
IF(C625="","Missing Ship Date","OK"))</f>
        <v>OK</v>
      </c>
      <c r="AC625" s="7" t="str">
        <f>IF(C625&lt;B625, "Invalid", "Valid")</f>
        <v>Valid</v>
      </c>
      <c r="AD625" s="7" t="str">
        <f>IF(COUNTIF($A:$A, A625)&gt;1, "Duplicate", "Unique")</f>
        <v>Unique</v>
      </c>
      <c r="AE625" s="7" t="str">
        <f>IF(G625="","Unknown",G625)</f>
        <v>North</v>
      </c>
      <c r="AF625" s="7" t="str">
        <f>IF(M625="","Unknown",M625)</f>
        <v>Second Class</v>
      </c>
      <c r="AG625" s="7" t="str">
        <f>IF(P625&lt;0,"Invalid",
IF(P625&gt;1,"Invalid","Valid"))</f>
        <v>Valid</v>
      </c>
      <c r="AH625" s="7" t="str">
        <f>TEXT(B625,"mmmm")</f>
        <v>August</v>
      </c>
      <c r="AI625" s="7">
        <f t="shared" si="57"/>
        <v>2024</v>
      </c>
      <c r="AJ625" s="7" t="str">
        <f>IF(OR(R625&lt;0,C625&lt;B625),"Invalid",
IF(OR(G625="Unknown",M625="Unknown"),"Warning","Clean"))</f>
        <v>Clean</v>
      </c>
      <c r="AK625" s="7" t="str">
        <f>IF(C625&lt;B625,"Ship Before Order","OK")</f>
        <v>OK</v>
      </c>
      <c r="AL625" s="7" t="str">
        <f>IF(ISNUMBER(B625),"Valid","Invalid")</f>
        <v>Valid</v>
      </c>
      <c r="AM625" s="7" t="str">
        <f t="shared" si="58"/>
        <v>Missmatched</v>
      </c>
      <c r="AN625" s="7" t="str">
        <f t="shared" si="59"/>
        <v>Missmatched</v>
      </c>
    </row>
    <row r="626" spans="1:40">
      <c r="A626" t="s">
        <v>1962</v>
      </c>
      <c r="B626" s="6">
        <v>45321</v>
      </c>
      <c r="C626" s="4">
        <v>46124</v>
      </c>
      <c r="D626" t="s">
        <v>1963</v>
      </c>
      <c r="E626" t="s">
        <v>79</v>
      </c>
      <c r="F626" t="s">
        <v>95</v>
      </c>
      <c r="G626" t="s">
        <v>38</v>
      </c>
      <c r="H626" t="s">
        <v>166</v>
      </c>
      <c r="I626" t="s">
        <v>167</v>
      </c>
      <c r="J626" t="s">
        <v>41</v>
      </c>
      <c r="K626" t="s">
        <v>66</v>
      </c>
      <c r="L626" t="s">
        <v>1964</v>
      </c>
      <c r="M626" t="s">
        <v>50</v>
      </c>
      <c r="N626">
        <v>2</v>
      </c>
      <c r="O626">
        <v>4451.03</v>
      </c>
      <c r="P626">
        <v>0.05</v>
      </c>
      <c r="Q626" s="7">
        <f>IF(P626="", 0, P626)</f>
        <v>0.05</v>
      </c>
      <c r="R626">
        <v>8456.9599999999991</v>
      </c>
      <c r="S626">
        <v>5462.85</v>
      </c>
      <c r="T626" s="7">
        <f>N626*O626*(1-Q626)</f>
        <v>8456.9569999999985</v>
      </c>
      <c r="U626" s="7">
        <f t="shared" si="54"/>
        <v>2994.1069999999982</v>
      </c>
      <c r="V626">
        <v>2994.11</v>
      </c>
      <c r="W626" s="12">
        <f t="shared" si="55"/>
        <v>0.35404070282017502</v>
      </c>
      <c r="X626" t="s">
        <v>32</v>
      </c>
      <c r="Y626" t="str">
        <f t="shared" si="56"/>
        <v>Paid</v>
      </c>
      <c r="Z626" t="s">
        <v>33</v>
      </c>
      <c r="AA626">
        <f>C626-B626</f>
        <v>803</v>
      </c>
      <c r="AB626" t="str">
        <f>IF(B626="","Missing Order Date",
IF(C626="","Missing Ship Date","OK"))</f>
        <v>OK</v>
      </c>
      <c r="AC626" s="7" t="str">
        <f>IF(C626&lt;B626, "Invalid", "Valid")</f>
        <v>Valid</v>
      </c>
      <c r="AD626" s="7" t="str">
        <f>IF(COUNTIF($A:$A, A626)&gt;1, "Duplicate", "Unique")</f>
        <v>Unique</v>
      </c>
      <c r="AE626" s="7" t="str">
        <f>IF(G626="","Unknown",G626)</f>
        <v>East</v>
      </c>
      <c r="AF626" s="7" t="str">
        <f>IF(M626="","Unknown",M626)</f>
        <v>First Class</v>
      </c>
      <c r="AG626" s="7" t="str">
        <f>IF(P626&lt;0,"Invalid",
IF(P626&gt;1,"Invalid","Valid"))</f>
        <v>Valid</v>
      </c>
      <c r="AH626" s="7" t="str">
        <f>TEXT(B626,"mmmm")</f>
        <v>January</v>
      </c>
      <c r="AI626" s="7">
        <f t="shared" si="57"/>
        <v>2024</v>
      </c>
      <c r="AJ626" s="7" t="str">
        <f>IF(OR(R626&lt;0,C626&lt;B626),"Invalid",
IF(OR(G626="Unknown",M626="Unknown"),"Warning","Clean"))</f>
        <v>Clean</v>
      </c>
      <c r="AK626" s="7" t="str">
        <f>IF(C626&lt;B626,"Ship Before Order","OK")</f>
        <v>OK</v>
      </c>
      <c r="AL626" s="7" t="str">
        <f>IF(ISNUMBER(B626),"Valid","Invalid")</f>
        <v>Valid</v>
      </c>
      <c r="AM626" s="7" t="str">
        <f t="shared" si="58"/>
        <v>Missmatched</v>
      </c>
      <c r="AN626" s="7" t="str">
        <f t="shared" si="59"/>
        <v>Missmatched</v>
      </c>
    </row>
    <row r="627" spans="1:40">
      <c r="A627" t="s">
        <v>1965</v>
      </c>
      <c r="B627" s="6">
        <v>45641</v>
      </c>
      <c r="C627" s="4">
        <v>46125</v>
      </c>
      <c r="D627" t="s">
        <v>1966</v>
      </c>
      <c r="E627" t="s">
        <v>162</v>
      </c>
      <c r="F627" t="s">
        <v>90</v>
      </c>
      <c r="G627" t="s">
        <v>63</v>
      </c>
      <c r="H627" t="s">
        <v>26</v>
      </c>
      <c r="I627" t="s">
        <v>109</v>
      </c>
      <c r="J627" t="s">
        <v>41</v>
      </c>
      <c r="K627" t="s">
        <v>66</v>
      </c>
      <c r="L627" t="s">
        <v>1967</v>
      </c>
      <c r="M627" t="s">
        <v>44</v>
      </c>
      <c r="N627">
        <v>3</v>
      </c>
      <c r="O627">
        <v>527.66999999999996</v>
      </c>
      <c r="P627">
        <v>0.2</v>
      </c>
      <c r="Q627" s="7">
        <f>IF(P627="", 0, P627)</f>
        <v>0.2</v>
      </c>
      <c r="R627">
        <v>1266.4100000000001</v>
      </c>
      <c r="S627">
        <v>983.92</v>
      </c>
      <c r="T627" s="7">
        <f>N627*O627*(1-Q627)</f>
        <v>1266.4079999999999</v>
      </c>
      <c r="U627" s="7">
        <f t="shared" si="54"/>
        <v>282.48799999999994</v>
      </c>
      <c r="V627">
        <v>282.49</v>
      </c>
      <c r="W627" s="12">
        <f t="shared" si="55"/>
        <v>0.22306239379410109</v>
      </c>
      <c r="X627" t="s">
        <v>32</v>
      </c>
      <c r="Y627" t="str">
        <f t="shared" si="56"/>
        <v>Paid</v>
      </c>
      <c r="Z627" t="s">
        <v>33</v>
      </c>
      <c r="AA627">
        <f>C627-B627</f>
        <v>484</v>
      </c>
      <c r="AB627" t="str">
        <f>IF(B627="","Missing Order Date",
IF(C627="","Missing Ship Date","OK"))</f>
        <v>OK</v>
      </c>
      <c r="AC627" s="7" t="str">
        <f>IF(C627&lt;B627, "Invalid", "Valid")</f>
        <v>Valid</v>
      </c>
      <c r="AD627" s="7" t="str">
        <f>IF(COUNTIF($A:$A, A627)&gt;1, "Duplicate", "Unique")</f>
        <v>Unique</v>
      </c>
      <c r="AE627" s="7" t="str">
        <f>IF(G627="","Unknown",G627)</f>
        <v>West</v>
      </c>
      <c r="AF627" s="7" t="str">
        <f>IF(M627="","Unknown",M627)</f>
        <v>Same Day</v>
      </c>
      <c r="AG627" s="7" t="str">
        <f>IF(P627&lt;0,"Invalid",
IF(P627&gt;1,"Invalid","Valid"))</f>
        <v>Valid</v>
      </c>
      <c r="AH627" s="7" t="str">
        <f>TEXT(B627,"mmmm")</f>
        <v>December</v>
      </c>
      <c r="AI627" s="7">
        <f t="shared" si="57"/>
        <v>2024</v>
      </c>
      <c r="AJ627" s="7" t="str">
        <f>IF(OR(R627&lt;0,C627&lt;B627),"Invalid",
IF(OR(G627="Unknown",M627="Unknown"),"Warning","Clean"))</f>
        <v>Clean</v>
      </c>
      <c r="AK627" s="7" t="str">
        <f>IF(C627&lt;B627,"Ship Before Order","OK")</f>
        <v>OK</v>
      </c>
      <c r="AL627" s="7" t="str">
        <f>IF(ISNUMBER(B627),"Valid","Invalid")</f>
        <v>Valid</v>
      </c>
      <c r="AM627" s="7" t="str">
        <f t="shared" si="58"/>
        <v>Missmatched</v>
      </c>
      <c r="AN627" s="7" t="str">
        <f t="shared" si="59"/>
        <v>Missmatched</v>
      </c>
    </row>
    <row r="628" spans="1:40">
      <c r="A628" t="s">
        <v>1968</v>
      </c>
      <c r="B628" s="6">
        <v>45812</v>
      </c>
      <c r="C628" s="4">
        <v>46126</v>
      </c>
      <c r="D628" t="s">
        <v>1969</v>
      </c>
      <c r="E628" t="s">
        <v>132</v>
      </c>
      <c r="F628" t="s">
        <v>95</v>
      </c>
      <c r="G628" t="s">
        <v>38</v>
      </c>
      <c r="H628" t="s">
        <v>166</v>
      </c>
      <c r="I628" t="s">
        <v>167</v>
      </c>
      <c r="J628" t="s">
        <v>74</v>
      </c>
      <c r="K628" t="s">
        <v>274</v>
      </c>
      <c r="L628" t="s">
        <v>1970</v>
      </c>
      <c r="M628" t="s">
        <v>59</v>
      </c>
      <c r="N628">
        <v>8</v>
      </c>
      <c r="O628">
        <v>1434.13</v>
      </c>
      <c r="P628">
        <v>0</v>
      </c>
      <c r="Q628" s="7">
        <f>IF(P628="", 0, P628)</f>
        <v>0</v>
      </c>
      <c r="R628">
        <v>11473.04</v>
      </c>
      <c r="S628">
        <v>8931.33</v>
      </c>
      <c r="T628" s="7">
        <f>N628*O628*(1-Q628)</f>
        <v>11473.04</v>
      </c>
      <c r="U628" s="7">
        <f t="shared" si="54"/>
        <v>2541.7100000000009</v>
      </c>
      <c r="V628">
        <v>2541.71</v>
      </c>
      <c r="W628" s="12">
        <f t="shared" si="55"/>
        <v>0.22153762211236086</v>
      </c>
      <c r="X628" t="s">
        <v>111</v>
      </c>
      <c r="Y628" t="str">
        <f t="shared" si="56"/>
        <v>Pending</v>
      </c>
      <c r="Z628" t="s">
        <v>103</v>
      </c>
      <c r="AA628">
        <f>C628-B628</f>
        <v>314</v>
      </c>
      <c r="AB628" t="str">
        <f>IF(B628="","Missing Order Date",
IF(C628="","Missing Ship Date","OK"))</f>
        <v>OK</v>
      </c>
      <c r="AC628" s="7" t="str">
        <f>IF(C628&lt;B628, "Invalid", "Valid")</f>
        <v>Valid</v>
      </c>
      <c r="AD628" s="7" t="str">
        <f>IF(COUNTIF($A:$A, A628)&gt;1, "Duplicate", "Unique")</f>
        <v>Unique</v>
      </c>
      <c r="AE628" s="7" t="str">
        <f>IF(G628="","Unknown",G628)</f>
        <v>East</v>
      </c>
      <c r="AF628" s="7" t="str">
        <f>IF(M628="","Unknown",M628)</f>
        <v>Standard Class</v>
      </c>
      <c r="AG628" s="7" t="str">
        <f>IF(P628&lt;0,"Invalid",
IF(P628&gt;1,"Invalid","Valid"))</f>
        <v>Valid</v>
      </c>
      <c r="AH628" s="7" t="str">
        <f>TEXT(B628,"mmmm")</f>
        <v>June</v>
      </c>
      <c r="AI628" s="7">
        <f t="shared" si="57"/>
        <v>2025</v>
      </c>
      <c r="AJ628" s="7" t="str">
        <f>IF(OR(R628&lt;0,C628&lt;B628),"Invalid",
IF(OR(G628="Unknown",M628="Unknown"),"Warning","Clean"))</f>
        <v>Clean</v>
      </c>
      <c r="AK628" s="7" t="str">
        <f>IF(C628&lt;B628,"Ship Before Order","OK")</f>
        <v>OK</v>
      </c>
      <c r="AL628" s="7" t="str">
        <f>IF(ISNUMBER(B628),"Valid","Invalid")</f>
        <v>Valid</v>
      </c>
      <c r="AM628" s="7" t="str">
        <f t="shared" si="58"/>
        <v>Ok</v>
      </c>
      <c r="AN628" s="7" t="str">
        <f t="shared" si="59"/>
        <v>Ok</v>
      </c>
    </row>
    <row r="629" spans="1:40">
      <c r="A629" t="s">
        <v>1971</v>
      </c>
      <c r="B629" s="6">
        <v>45701</v>
      </c>
      <c r="C629" s="4">
        <v>46127</v>
      </c>
      <c r="D629" t="s">
        <v>1972</v>
      </c>
      <c r="E629" t="s">
        <v>23</v>
      </c>
      <c r="F629" t="s">
        <v>37</v>
      </c>
      <c r="G629" t="s">
        <v>54</v>
      </c>
      <c r="H629" t="s">
        <v>185</v>
      </c>
      <c r="I629" t="s">
        <v>186</v>
      </c>
      <c r="J629" t="s">
        <v>74</v>
      </c>
      <c r="K629" t="s">
        <v>171</v>
      </c>
      <c r="L629" t="s">
        <v>1973</v>
      </c>
      <c r="M629" t="s">
        <v>31</v>
      </c>
      <c r="N629">
        <v>2</v>
      </c>
      <c r="O629">
        <v>2360.02</v>
      </c>
      <c r="P629">
        <v>0.15</v>
      </c>
      <c r="Q629" s="7">
        <f>IF(P629="", 0, P629)</f>
        <v>0.15</v>
      </c>
      <c r="R629">
        <v>4012.03</v>
      </c>
      <c r="S629">
        <v>3142.92</v>
      </c>
      <c r="T629" s="7">
        <f>N629*O629*(1-Q629)</f>
        <v>4012.0339999999997</v>
      </c>
      <c r="U629" s="7">
        <f t="shared" si="54"/>
        <v>869.11399999999958</v>
      </c>
      <c r="V629">
        <v>869.11</v>
      </c>
      <c r="W629" s="12">
        <f t="shared" si="55"/>
        <v>0.21662677833737193</v>
      </c>
      <c r="X629" t="s">
        <v>111</v>
      </c>
      <c r="Y629" t="str">
        <f t="shared" si="56"/>
        <v>Pending</v>
      </c>
      <c r="Z629" t="s">
        <v>68</v>
      </c>
      <c r="AA629">
        <f>C629-B629</f>
        <v>426</v>
      </c>
      <c r="AB629" t="str">
        <f>IF(B629="","Missing Order Date",
IF(C629="","Missing Ship Date","OK"))</f>
        <v>OK</v>
      </c>
      <c r="AC629" s="7" t="str">
        <f>IF(C629&lt;B629, "Invalid", "Valid")</f>
        <v>Valid</v>
      </c>
      <c r="AD629" s="7" t="str">
        <f>IF(COUNTIF($A:$A, A629)&gt;1, "Duplicate", "Unique")</f>
        <v>Unique</v>
      </c>
      <c r="AE629" s="7" t="str">
        <f>IF(G629="","Unknown",G629)</f>
        <v>South</v>
      </c>
      <c r="AF629" s="7" t="str">
        <f>IF(M629="","Unknown",M629)</f>
        <v>Second Class</v>
      </c>
      <c r="AG629" s="7" t="str">
        <f>IF(P629&lt;0,"Invalid",
IF(P629&gt;1,"Invalid","Valid"))</f>
        <v>Valid</v>
      </c>
      <c r="AH629" s="7" t="str">
        <f>TEXT(B629,"mmmm")</f>
        <v>February</v>
      </c>
      <c r="AI629" s="7">
        <f t="shared" si="57"/>
        <v>2025</v>
      </c>
      <c r="AJ629" s="7" t="str">
        <f>IF(OR(R629&lt;0,C629&lt;B629),"Invalid",
IF(OR(G629="Unknown",M629="Unknown"),"Warning","Clean"))</f>
        <v>Clean</v>
      </c>
      <c r="AK629" s="7" t="str">
        <f>IF(C629&lt;B629,"Ship Before Order","OK")</f>
        <v>OK</v>
      </c>
      <c r="AL629" s="7" t="str">
        <f>IF(ISNUMBER(B629),"Valid","Invalid")</f>
        <v>Valid</v>
      </c>
      <c r="AM629" s="7" t="str">
        <f t="shared" si="58"/>
        <v>Missmatched</v>
      </c>
      <c r="AN629" s="7" t="str">
        <f t="shared" si="59"/>
        <v>Missmatched</v>
      </c>
    </row>
    <row r="630" spans="1:40">
      <c r="A630" t="s">
        <v>1974</v>
      </c>
      <c r="B630" s="6">
        <v>45787</v>
      </c>
      <c r="C630" s="4">
        <v>46128</v>
      </c>
      <c r="D630" t="s">
        <v>1975</v>
      </c>
      <c r="E630" t="s">
        <v>62</v>
      </c>
      <c r="F630" t="s">
        <v>95</v>
      </c>
      <c r="G630" t="s">
        <v>38</v>
      </c>
      <c r="H630" t="s">
        <v>228</v>
      </c>
      <c r="I630" t="s">
        <v>229</v>
      </c>
      <c r="J630" t="s">
        <v>74</v>
      </c>
      <c r="K630" t="s">
        <v>75</v>
      </c>
      <c r="L630" t="s">
        <v>1976</v>
      </c>
      <c r="M630" t="s">
        <v>44</v>
      </c>
      <c r="N630">
        <v>7</v>
      </c>
      <c r="O630">
        <v>806.67</v>
      </c>
      <c r="P630">
        <v>0.05</v>
      </c>
      <c r="Q630" s="7">
        <f>IF(P630="", 0, P630)</f>
        <v>0.05</v>
      </c>
      <c r="R630">
        <v>5364.36</v>
      </c>
      <c r="S630">
        <v>4391.29</v>
      </c>
      <c r="T630" s="7">
        <f>N630*O630*(1-Q630)</f>
        <v>5364.3554999999997</v>
      </c>
      <c r="U630" s="7">
        <f t="shared" si="54"/>
        <v>973.0654999999997</v>
      </c>
      <c r="V630">
        <v>973.07</v>
      </c>
      <c r="W630" s="12">
        <f t="shared" si="55"/>
        <v>0.18139467080434915</v>
      </c>
      <c r="X630" t="s">
        <v>32</v>
      </c>
      <c r="Y630" t="str">
        <f t="shared" si="56"/>
        <v>Paid</v>
      </c>
      <c r="Z630" t="s">
        <v>33</v>
      </c>
      <c r="AA630">
        <f>C630-B630</f>
        <v>341</v>
      </c>
      <c r="AB630" t="str">
        <f>IF(B630="","Missing Order Date",
IF(C630="","Missing Ship Date","OK"))</f>
        <v>OK</v>
      </c>
      <c r="AC630" s="7" t="str">
        <f>IF(C630&lt;B630, "Invalid", "Valid")</f>
        <v>Valid</v>
      </c>
      <c r="AD630" s="7" t="str">
        <f>IF(COUNTIF($A:$A, A630)&gt;1, "Duplicate", "Unique")</f>
        <v>Unique</v>
      </c>
      <c r="AE630" s="7" t="str">
        <f>IF(G630="","Unknown",G630)</f>
        <v>East</v>
      </c>
      <c r="AF630" s="7" t="str">
        <f>IF(M630="","Unknown",M630)</f>
        <v>Same Day</v>
      </c>
      <c r="AG630" s="7" t="str">
        <f>IF(P630&lt;0,"Invalid",
IF(P630&gt;1,"Invalid","Valid"))</f>
        <v>Valid</v>
      </c>
      <c r="AH630" s="7" t="str">
        <f>TEXT(B630,"mmmm")</f>
        <v>May</v>
      </c>
      <c r="AI630" s="7">
        <f t="shared" si="57"/>
        <v>2025</v>
      </c>
      <c r="AJ630" s="7" t="str">
        <f>IF(OR(R630&lt;0,C630&lt;B630),"Invalid",
IF(OR(G630="Unknown",M630="Unknown"),"Warning","Clean"))</f>
        <v>Clean</v>
      </c>
      <c r="AK630" s="7" t="str">
        <f>IF(C630&lt;B630,"Ship Before Order","OK")</f>
        <v>OK</v>
      </c>
      <c r="AL630" s="7" t="str">
        <f>IF(ISNUMBER(B630),"Valid","Invalid")</f>
        <v>Valid</v>
      </c>
      <c r="AM630" s="7" t="str">
        <f t="shared" si="58"/>
        <v>Missmatched</v>
      </c>
      <c r="AN630" s="7" t="str">
        <f t="shared" si="59"/>
        <v>Missmatched</v>
      </c>
    </row>
    <row r="631" spans="1:40">
      <c r="A631" t="s">
        <v>1977</v>
      </c>
      <c r="B631" s="6">
        <v>45939</v>
      </c>
      <c r="C631" s="4">
        <v>46129</v>
      </c>
      <c r="D631" t="s">
        <v>1978</v>
      </c>
      <c r="E631" t="s">
        <v>53</v>
      </c>
      <c r="F631" t="s">
        <v>95</v>
      </c>
      <c r="G631" t="s">
        <v>63</v>
      </c>
      <c r="H631" t="s">
        <v>180</v>
      </c>
      <c r="I631" t="s">
        <v>181</v>
      </c>
      <c r="J631" t="s">
        <v>41</v>
      </c>
      <c r="K631" t="s">
        <v>42</v>
      </c>
      <c r="L631" t="s">
        <v>1979</v>
      </c>
      <c r="M631" t="s">
        <v>44</v>
      </c>
      <c r="N631">
        <v>3</v>
      </c>
      <c r="O631">
        <v>4198.46</v>
      </c>
      <c r="P631">
        <v>0.15</v>
      </c>
      <c r="Q631" s="7">
        <f>IF(P631="", 0, P631)</f>
        <v>0.15</v>
      </c>
      <c r="R631">
        <v>10706.07</v>
      </c>
      <c r="S631">
        <v>5927.1</v>
      </c>
      <c r="T631" s="7">
        <f>N631*O631*(1-Q631)</f>
        <v>10706.073</v>
      </c>
      <c r="U631" s="7">
        <f t="shared" si="54"/>
        <v>4778.973</v>
      </c>
      <c r="V631">
        <v>4778.97</v>
      </c>
      <c r="W631" s="12">
        <f t="shared" si="55"/>
        <v>0.44637963892082555</v>
      </c>
      <c r="X631" t="s">
        <v>32</v>
      </c>
      <c r="Y631" t="str">
        <f t="shared" si="56"/>
        <v>Paid</v>
      </c>
      <c r="Z631" t="s">
        <v>33</v>
      </c>
      <c r="AA631">
        <f>C631-B631</f>
        <v>190</v>
      </c>
      <c r="AB631" t="str">
        <f>IF(B631="","Missing Order Date",
IF(C631="","Missing Ship Date","OK"))</f>
        <v>OK</v>
      </c>
      <c r="AC631" s="7" t="str">
        <f>IF(C631&lt;B631, "Invalid", "Valid")</f>
        <v>Valid</v>
      </c>
      <c r="AD631" s="7" t="str">
        <f>IF(COUNTIF($A:$A, A631)&gt;1, "Duplicate", "Unique")</f>
        <v>Unique</v>
      </c>
      <c r="AE631" s="7" t="str">
        <f>IF(G631="","Unknown",G631)</f>
        <v>West</v>
      </c>
      <c r="AF631" s="7" t="str">
        <f>IF(M631="","Unknown",M631)</f>
        <v>Same Day</v>
      </c>
      <c r="AG631" s="7" t="str">
        <f>IF(P631&lt;0,"Invalid",
IF(P631&gt;1,"Invalid","Valid"))</f>
        <v>Valid</v>
      </c>
      <c r="AH631" s="7" t="str">
        <f>TEXT(B631,"mmmm")</f>
        <v>October</v>
      </c>
      <c r="AI631" s="7">
        <f t="shared" si="57"/>
        <v>2025</v>
      </c>
      <c r="AJ631" s="7" t="str">
        <f>IF(OR(R631&lt;0,C631&lt;B631),"Invalid",
IF(OR(G631="Unknown",M631="Unknown"),"Warning","Clean"))</f>
        <v>Clean</v>
      </c>
      <c r="AK631" s="7" t="str">
        <f>IF(C631&lt;B631,"Ship Before Order","OK")</f>
        <v>OK</v>
      </c>
      <c r="AL631" s="7" t="str">
        <f>IF(ISNUMBER(B631),"Valid","Invalid")</f>
        <v>Valid</v>
      </c>
      <c r="AM631" s="7" t="str">
        <f t="shared" si="58"/>
        <v>Missmatched</v>
      </c>
      <c r="AN631" s="7" t="str">
        <f t="shared" si="59"/>
        <v>Missmatched</v>
      </c>
    </row>
    <row r="632" spans="1:40">
      <c r="A632" t="s">
        <v>1980</v>
      </c>
      <c r="B632" s="6">
        <v>45539</v>
      </c>
      <c r="C632" s="4">
        <v>46130</v>
      </c>
      <c r="D632" t="s">
        <v>1981</v>
      </c>
      <c r="E632" t="s">
        <v>114</v>
      </c>
      <c r="F632" t="s">
        <v>90</v>
      </c>
      <c r="G632" t="s">
        <v>38</v>
      </c>
      <c r="H632" t="s">
        <v>166</v>
      </c>
      <c r="I632" t="s">
        <v>167</v>
      </c>
      <c r="J632" t="s">
        <v>28</v>
      </c>
      <c r="K632" t="s">
        <v>29</v>
      </c>
      <c r="L632" t="s">
        <v>1982</v>
      </c>
      <c r="M632" t="s">
        <v>59</v>
      </c>
      <c r="N632">
        <v>4</v>
      </c>
      <c r="O632">
        <v>3047.05</v>
      </c>
      <c r="P632">
        <v>0.1</v>
      </c>
      <c r="Q632" s="7">
        <f>IF(P632="", 0, P632)</f>
        <v>0.1</v>
      </c>
      <c r="R632">
        <v>10969.38</v>
      </c>
      <c r="S632">
        <v>9254.4599999999991</v>
      </c>
      <c r="T632" s="7">
        <f>N632*O632*(1-Q632)</f>
        <v>10969.380000000001</v>
      </c>
      <c r="U632" s="7">
        <f t="shared" si="54"/>
        <v>1714.9200000000019</v>
      </c>
      <c r="V632">
        <v>1714.92</v>
      </c>
      <c r="W632" s="12">
        <f t="shared" si="55"/>
        <v>0.15633700354988173</v>
      </c>
      <c r="X632" t="s">
        <v>32</v>
      </c>
      <c r="Y632" t="str">
        <f t="shared" si="56"/>
        <v>Paid</v>
      </c>
      <c r="Z632" t="s">
        <v>33</v>
      </c>
      <c r="AA632">
        <f>C632-B632</f>
        <v>591</v>
      </c>
      <c r="AB632" t="str">
        <f>IF(B632="","Missing Order Date",
IF(C632="","Missing Ship Date","OK"))</f>
        <v>OK</v>
      </c>
      <c r="AC632" s="7" t="str">
        <f>IF(C632&lt;B632, "Invalid", "Valid")</f>
        <v>Valid</v>
      </c>
      <c r="AD632" s="7" t="str">
        <f>IF(COUNTIF($A:$A, A632)&gt;1, "Duplicate", "Unique")</f>
        <v>Unique</v>
      </c>
      <c r="AE632" s="7" t="str">
        <f>IF(G632="","Unknown",G632)</f>
        <v>East</v>
      </c>
      <c r="AF632" s="7" t="str">
        <f>IF(M632="","Unknown",M632)</f>
        <v>Standard Class</v>
      </c>
      <c r="AG632" s="7" t="str">
        <f>IF(P632&lt;0,"Invalid",
IF(P632&gt;1,"Invalid","Valid"))</f>
        <v>Valid</v>
      </c>
      <c r="AH632" s="7" t="str">
        <f>TEXT(B632,"mmmm")</f>
        <v>September</v>
      </c>
      <c r="AI632" s="7">
        <f t="shared" si="57"/>
        <v>2024</v>
      </c>
      <c r="AJ632" s="7" t="str">
        <f>IF(OR(R632&lt;0,C632&lt;B632),"Invalid",
IF(OR(G632="Unknown",M632="Unknown"),"Warning","Clean"))</f>
        <v>Clean</v>
      </c>
      <c r="AK632" s="7" t="str">
        <f>IF(C632&lt;B632,"Ship Before Order","OK")</f>
        <v>OK</v>
      </c>
      <c r="AL632" s="7" t="str">
        <f>IF(ISNUMBER(B632),"Valid","Invalid")</f>
        <v>Valid</v>
      </c>
      <c r="AM632" s="7" t="str">
        <f t="shared" si="58"/>
        <v>Ok</v>
      </c>
      <c r="AN632" s="7" t="str">
        <f t="shared" si="59"/>
        <v>Ok</v>
      </c>
    </row>
    <row r="633" spans="1:40">
      <c r="A633" t="s">
        <v>1983</v>
      </c>
      <c r="B633" s="6">
        <v>45569</v>
      </c>
      <c r="C633" s="4">
        <v>46131</v>
      </c>
      <c r="D633" t="s">
        <v>1984</v>
      </c>
      <c r="E633" t="s">
        <v>128</v>
      </c>
      <c r="F633" t="s">
        <v>95</v>
      </c>
      <c r="G633" t="s">
        <v>63</v>
      </c>
      <c r="H633" t="s">
        <v>26</v>
      </c>
      <c r="I633" t="s">
        <v>109</v>
      </c>
      <c r="J633" t="s">
        <v>41</v>
      </c>
      <c r="K633" t="s">
        <v>66</v>
      </c>
      <c r="L633" t="s">
        <v>1985</v>
      </c>
      <c r="M633" t="s">
        <v>59</v>
      </c>
      <c r="N633">
        <v>8</v>
      </c>
      <c r="O633">
        <v>4362.4799999999996</v>
      </c>
      <c r="P633">
        <v>0.1</v>
      </c>
      <c r="Q633" s="7">
        <f>IF(P633="", 0, P633)</f>
        <v>0.1</v>
      </c>
      <c r="R633">
        <v>31409.86</v>
      </c>
      <c r="S633">
        <v>22523.54</v>
      </c>
      <c r="T633" s="7">
        <f>N633*O633*(1-Q633)</f>
        <v>31409.855999999996</v>
      </c>
      <c r="U633" s="7">
        <f t="shared" si="54"/>
        <v>8886.3159999999953</v>
      </c>
      <c r="V633">
        <v>8886.32</v>
      </c>
      <c r="W633" s="12">
        <f t="shared" si="55"/>
        <v>0.2829148914277097</v>
      </c>
      <c r="X633" t="s">
        <v>32</v>
      </c>
      <c r="Y633" t="str">
        <f t="shared" si="56"/>
        <v>Paid</v>
      </c>
      <c r="Z633" t="s">
        <v>33</v>
      </c>
      <c r="AA633">
        <f>C633-B633</f>
        <v>562</v>
      </c>
      <c r="AB633" t="str">
        <f>IF(B633="","Missing Order Date",
IF(C633="","Missing Ship Date","OK"))</f>
        <v>OK</v>
      </c>
      <c r="AC633" s="7" t="str">
        <f>IF(C633&lt;B633, "Invalid", "Valid")</f>
        <v>Valid</v>
      </c>
      <c r="AD633" s="7" t="str">
        <f>IF(COUNTIF($A:$A, A633)&gt;1, "Duplicate", "Unique")</f>
        <v>Unique</v>
      </c>
      <c r="AE633" s="7" t="str">
        <f>IF(G633="","Unknown",G633)</f>
        <v>West</v>
      </c>
      <c r="AF633" s="7" t="str">
        <f>IF(M633="","Unknown",M633)</f>
        <v>Standard Class</v>
      </c>
      <c r="AG633" s="7" t="str">
        <f>IF(P633&lt;0,"Invalid",
IF(P633&gt;1,"Invalid","Valid"))</f>
        <v>Valid</v>
      </c>
      <c r="AH633" s="7" t="str">
        <f>TEXT(B633,"mmmm")</f>
        <v>October</v>
      </c>
      <c r="AI633" s="7">
        <f t="shared" si="57"/>
        <v>2024</v>
      </c>
      <c r="AJ633" s="7" t="str">
        <f>IF(OR(R633&lt;0,C633&lt;B633),"Invalid",
IF(OR(G633="Unknown",M633="Unknown"),"Warning","Clean"))</f>
        <v>Clean</v>
      </c>
      <c r="AK633" s="7" t="str">
        <f>IF(C633&lt;B633,"Ship Before Order","OK")</f>
        <v>OK</v>
      </c>
      <c r="AL633" s="7" t="str">
        <f>IF(ISNUMBER(B633),"Valid","Invalid")</f>
        <v>Valid</v>
      </c>
      <c r="AM633" s="7" t="str">
        <f t="shared" si="58"/>
        <v>Missmatched</v>
      </c>
      <c r="AN633" s="7" t="str">
        <f t="shared" si="59"/>
        <v>Missmatched</v>
      </c>
    </row>
    <row r="634" spans="1:40">
      <c r="A634" t="s">
        <v>1986</v>
      </c>
      <c r="B634" s="6">
        <v>45762</v>
      </c>
      <c r="C634" s="4">
        <v>46132</v>
      </c>
      <c r="D634" t="s">
        <v>1987</v>
      </c>
      <c r="E634" t="s">
        <v>132</v>
      </c>
      <c r="F634" t="s">
        <v>37</v>
      </c>
      <c r="G634" t="s">
        <v>54</v>
      </c>
      <c r="H634" t="s">
        <v>175</v>
      </c>
      <c r="I634" t="s">
        <v>176</v>
      </c>
      <c r="J634" t="s">
        <v>41</v>
      </c>
      <c r="K634" t="s">
        <v>57</v>
      </c>
      <c r="L634" t="s">
        <v>1988</v>
      </c>
      <c r="M634" t="s">
        <v>50</v>
      </c>
      <c r="N634">
        <v>5</v>
      </c>
      <c r="O634">
        <v>2850.53</v>
      </c>
      <c r="P634">
        <v>0</v>
      </c>
      <c r="Q634" s="7">
        <f>IF(P634="", 0, P634)</f>
        <v>0</v>
      </c>
      <c r="R634">
        <v>14252.65</v>
      </c>
      <c r="S634">
        <v>11558.31</v>
      </c>
      <c r="T634" s="7">
        <f>N634*O634*(1-Q634)</f>
        <v>14252.650000000001</v>
      </c>
      <c r="U634" s="7">
        <f t="shared" si="54"/>
        <v>2694.340000000002</v>
      </c>
      <c r="V634">
        <v>2694.34</v>
      </c>
      <c r="W634" s="12">
        <f t="shared" si="55"/>
        <v>0.18904133617257154</v>
      </c>
      <c r="X634" t="s">
        <v>32</v>
      </c>
      <c r="Y634" t="str">
        <f t="shared" si="56"/>
        <v>Paid</v>
      </c>
      <c r="Z634" t="s">
        <v>33</v>
      </c>
      <c r="AA634">
        <f>C634-B634</f>
        <v>370</v>
      </c>
      <c r="AB634" t="str">
        <f>IF(B634="","Missing Order Date",
IF(C634="","Missing Ship Date","OK"))</f>
        <v>OK</v>
      </c>
      <c r="AC634" s="7" t="str">
        <f>IF(C634&lt;B634, "Invalid", "Valid")</f>
        <v>Valid</v>
      </c>
      <c r="AD634" s="7" t="str">
        <f>IF(COUNTIF($A:$A, A634)&gt;1, "Duplicate", "Unique")</f>
        <v>Duplicate</v>
      </c>
      <c r="AE634" s="7" t="str">
        <f>IF(G634="","Unknown",G634)</f>
        <v>South</v>
      </c>
      <c r="AF634" s="7" t="str">
        <f>IF(M634="","Unknown",M634)</f>
        <v>First Class</v>
      </c>
      <c r="AG634" s="7" t="str">
        <f>IF(P634&lt;0,"Invalid",
IF(P634&gt;1,"Invalid","Valid"))</f>
        <v>Valid</v>
      </c>
      <c r="AH634" s="7" t="str">
        <f>TEXT(B634,"mmmm")</f>
        <v>April</v>
      </c>
      <c r="AI634" s="7">
        <f t="shared" si="57"/>
        <v>2025</v>
      </c>
      <c r="AJ634" s="7" t="str">
        <f>IF(OR(R634&lt;0,C634&lt;B634),"Invalid",
IF(OR(G634="Unknown",M634="Unknown"),"Warning","Clean"))</f>
        <v>Clean</v>
      </c>
      <c r="AK634" s="7" t="str">
        <f>IF(C634&lt;B634,"Ship Before Order","OK")</f>
        <v>OK</v>
      </c>
      <c r="AL634" s="7" t="str">
        <f>IF(ISNUMBER(B634),"Valid","Invalid")</f>
        <v>Valid</v>
      </c>
      <c r="AM634" s="7" t="str">
        <f t="shared" si="58"/>
        <v>Ok</v>
      </c>
      <c r="AN634" s="7" t="str">
        <f t="shared" si="59"/>
        <v>Ok</v>
      </c>
    </row>
    <row r="635" spans="1:40">
      <c r="A635" t="s">
        <v>1989</v>
      </c>
      <c r="B635" s="6">
        <v>45765</v>
      </c>
      <c r="C635" s="4">
        <v>46133</v>
      </c>
      <c r="D635" t="s">
        <v>1990</v>
      </c>
      <c r="E635" t="s">
        <v>128</v>
      </c>
      <c r="F635" t="s">
        <v>37</v>
      </c>
      <c r="G635" t="s">
        <v>54</v>
      </c>
      <c r="H635" t="s">
        <v>247</v>
      </c>
      <c r="I635" t="s">
        <v>248</v>
      </c>
      <c r="J635" t="s">
        <v>74</v>
      </c>
      <c r="K635" t="s">
        <v>75</v>
      </c>
      <c r="L635" t="s">
        <v>1991</v>
      </c>
      <c r="M635" t="s">
        <v>31</v>
      </c>
      <c r="N635">
        <v>1</v>
      </c>
      <c r="O635">
        <v>1626.08</v>
      </c>
      <c r="P635">
        <v>0.15</v>
      </c>
      <c r="Q635" s="7">
        <f>IF(P635="", 0, P635)</f>
        <v>0.15</v>
      </c>
      <c r="R635">
        <v>1382.17</v>
      </c>
      <c r="S635">
        <v>810.03</v>
      </c>
      <c r="T635" s="7">
        <f>N635*O635*(1-Q635)</f>
        <v>1382.1679999999999</v>
      </c>
      <c r="U635" s="7">
        <f t="shared" si="54"/>
        <v>572.13799999999992</v>
      </c>
      <c r="V635">
        <v>572.14</v>
      </c>
      <c r="W635" s="12">
        <f t="shared" si="55"/>
        <v>0.4139424440444287</v>
      </c>
      <c r="X635" t="s">
        <v>32</v>
      </c>
      <c r="Y635" t="str">
        <f t="shared" si="56"/>
        <v>Paid</v>
      </c>
      <c r="Z635" t="s">
        <v>33</v>
      </c>
      <c r="AA635">
        <f>C635-B635</f>
        <v>368</v>
      </c>
      <c r="AB635" t="str">
        <f>IF(B635="","Missing Order Date",
IF(C635="","Missing Ship Date","OK"))</f>
        <v>OK</v>
      </c>
      <c r="AC635" s="7" t="str">
        <f>IF(C635&lt;B635, "Invalid", "Valid")</f>
        <v>Valid</v>
      </c>
      <c r="AD635" s="7" t="str">
        <f>IF(COUNTIF($A:$A, A635)&gt;1, "Duplicate", "Unique")</f>
        <v>Unique</v>
      </c>
      <c r="AE635" s="7" t="str">
        <f>IF(G635="","Unknown",G635)</f>
        <v>South</v>
      </c>
      <c r="AF635" s="7" t="str">
        <f>IF(M635="","Unknown",M635)</f>
        <v>Second Class</v>
      </c>
      <c r="AG635" s="7" t="str">
        <f>IF(P635&lt;0,"Invalid",
IF(P635&gt;1,"Invalid","Valid"))</f>
        <v>Valid</v>
      </c>
      <c r="AH635" s="7" t="str">
        <f>TEXT(B635,"mmmm")</f>
        <v>April</v>
      </c>
      <c r="AI635" s="7">
        <f t="shared" si="57"/>
        <v>2025</v>
      </c>
      <c r="AJ635" s="7" t="str">
        <f>IF(OR(R635&lt;0,C635&lt;B635),"Invalid",
IF(OR(G635="Unknown",M635="Unknown"),"Warning","Clean"))</f>
        <v>Clean</v>
      </c>
      <c r="AK635" s="7" t="str">
        <f>IF(C635&lt;B635,"Ship Before Order","OK")</f>
        <v>OK</v>
      </c>
      <c r="AL635" s="7" t="str">
        <f>IF(ISNUMBER(B635),"Valid","Invalid")</f>
        <v>Valid</v>
      </c>
      <c r="AM635" s="7" t="str">
        <f t="shared" si="58"/>
        <v>Missmatched</v>
      </c>
      <c r="AN635" s="7" t="str">
        <f t="shared" si="59"/>
        <v>Missmatched</v>
      </c>
    </row>
    <row r="636" spans="1:40">
      <c r="A636" t="s">
        <v>1992</v>
      </c>
      <c r="B636" s="6">
        <v>45962</v>
      </c>
      <c r="C636" s="4">
        <v>46134</v>
      </c>
      <c r="D636" t="s">
        <v>1993</v>
      </c>
      <c r="E636" t="s">
        <v>89</v>
      </c>
      <c r="F636" t="s">
        <v>24</v>
      </c>
      <c r="G636" t="s">
        <v>54</v>
      </c>
      <c r="H636" t="s">
        <v>55</v>
      </c>
      <c r="I636" t="s">
        <v>56</v>
      </c>
      <c r="J636" t="s">
        <v>41</v>
      </c>
      <c r="K636" t="s">
        <v>66</v>
      </c>
      <c r="L636" t="s">
        <v>1994</v>
      </c>
      <c r="M636" t="s">
        <v>31</v>
      </c>
      <c r="N636">
        <v>4</v>
      </c>
      <c r="O636">
        <v>2427.15</v>
      </c>
      <c r="P636">
        <v>0.05</v>
      </c>
      <c r="Q636" s="7">
        <f>IF(P636="", 0, P636)</f>
        <v>0.05</v>
      </c>
      <c r="R636">
        <v>9223.17</v>
      </c>
      <c r="S636">
        <v>5103.7</v>
      </c>
      <c r="T636" s="7">
        <f>N636*O636*(1-Q636)</f>
        <v>9223.17</v>
      </c>
      <c r="U636" s="7">
        <f t="shared" si="54"/>
        <v>4119.47</v>
      </c>
      <c r="V636">
        <v>4119.47</v>
      </c>
      <c r="W636" s="12">
        <f t="shared" si="55"/>
        <v>0.44664361602355807</v>
      </c>
      <c r="X636" t="s">
        <v>32</v>
      </c>
      <c r="Y636" t="str">
        <f t="shared" si="56"/>
        <v>Paid</v>
      </c>
      <c r="Z636" t="s">
        <v>33</v>
      </c>
      <c r="AA636">
        <f>C636-B636</f>
        <v>172</v>
      </c>
      <c r="AB636" t="str">
        <f>IF(B636="","Missing Order Date",
IF(C636="","Missing Ship Date","OK"))</f>
        <v>OK</v>
      </c>
      <c r="AC636" s="7" t="str">
        <f>IF(C636&lt;B636, "Invalid", "Valid")</f>
        <v>Valid</v>
      </c>
      <c r="AD636" s="7" t="str">
        <f>IF(COUNTIF($A:$A, A636)&gt;1, "Duplicate", "Unique")</f>
        <v>Unique</v>
      </c>
      <c r="AE636" s="7" t="str">
        <f>IF(G636="","Unknown",G636)</f>
        <v>South</v>
      </c>
      <c r="AF636" s="7" t="str">
        <f>IF(M636="","Unknown",M636)</f>
        <v>Second Class</v>
      </c>
      <c r="AG636" s="7" t="str">
        <f>IF(P636&lt;0,"Invalid",
IF(P636&gt;1,"Invalid","Valid"))</f>
        <v>Valid</v>
      </c>
      <c r="AH636" s="7" t="str">
        <f>TEXT(B636,"mmmm")</f>
        <v>November</v>
      </c>
      <c r="AI636" s="7">
        <f t="shared" si="57"/>
        <v>2025</v>
      </c>
      <c r="AJ636" s="7" t="str">
        <f>IF(OR(R636&lt;0,C636&lt;B636),"Invalid",
IF(OR(G636="Unknown",M636="Unknown"),"Warning","Clean"))</f>
        <v>Clean</v>
      </c>
      <c r="AK636" s="7" t="str">
        <f>IF(C636&lt;B636,"Ship Before Order","OK")</f>
        <v>OK</v>
      </c>
      <c r="AL636" s="7" t="str">
        <f>IF(ISNUMBER(B636),"Valid","Invalid")</f>
        <v>Valid</v>
      </c>
      <c r="AM636" s="7" t="str">
        <f t="shared" si="58"/>
        <v>Ok</v>
      </c>
      <c r="AN636" s="7" t="str">
        <f t="shared" si="59"/>
        <v>Ok</v>
      </c>
    </row>
    <row r="637" spans="1:40">
      <c r="A637" t="s">
        <v>1995</v>
      </c>
      <c r="B637" s="6">
        <v>45432</v>
      </c>
      <c r="C637" s="4">
        <v>46135</v>
      </c>
      <c r="D637" t="s">
        <v>1996</v>
      </c>
      <c r="E637" t="s">
        <v>36</v>
      </c>
      <c r="F637" t="s">
        <v>90</v>
      </c>
      <c r="G637" t="s">
        <v>54</v>
      </c>
      <c r="H637" t="s">
        <v>84</v>
      </c>
      <c r="I637" t="s">
        <v>85</v>
      </c>
      <c r="J637" t="s">
        <v>41</v>
      </c>
      <c r="K637" t="s">
        <v>66</v>
      </c>
      <c r="L637" t="s">
        <v>1997</v>
      </c>
      <c r="M637" t="s">
        <v>44</v>
      </c>
      <c r="N637">
        <v>7</v>
      </c>
      <c r="O637">
        <v>3122.85</v>
      </c>
      <c r="P637">
        <v>0.25</v>
      </c>
      <c r="Q637" s="7">
        <f>IF(P637="", 0, P637)</f>
        <v>0.25</v>
      </c>
      <c r="R637">
        <v>16394.96</v>
      </c>
      <c r="S637">
        <v>10404.17</v>
      </c>
      <c r="T637" s="7">
        <f>N637*O637*(1-Q637)</f>
        <v>16394.962500000001</v>
      </c>
      <c r="U637" s="7">
        <f t="shared" si="54"/>
        <v>5990.7925000000014</v>
      </c>
      <c r="V637">
        <v>5990.79</v>
      </c>
      <c r="W637" s="12">
        <f t="shared" si="55"/>
        <v>0.36540446493854445</v>
      </c>
      <c r="X637" t="s">
        <v>32</v>
      </c>
      <c r="Y637" t="str">
        <f t="shared" si="56"/>
        <v>Paid</v>
      </c>
      <c r="Z637" t="s">
        <v>33</v>
      </c>
      <c r="AA637">
        <f>C637-B637</f>
        <v>703</v>
      </c>
      <c r="AB637" t="str">
        <f>IF(B637="","Missing Order Date",
IF(C637="","Missing Ship Date","OK"))</f>
        <v>OK</v>
      </c>
      <c r="AC637" s="7" t="str">
        <f>IF(C637&lt;B637, "Invalid", "Valid")</f>
        <v>Valid</v>
      </c>
      <c r="AD637" s="7" t="str">
        <f>IF(COUNTIF($A:$A, A637)&gt;1, "Duplicate", "Unique")</f>
        <v>Unique</v>
      </c>
      <c r="AE637" s="7" t="str">
        <f>IF(G637="","Unknown",G637)</f>
        <v>South</v>
      </c>
      <c r="AF637" s="7" t="str">
        <f>IF(M637="","Unknown",M637)</f>
        <v>Same Day</v>
      </c>
      <c r="AG637" s="7" t="str">
        <f>IF(P637&lt;0,"Invalid",
IF(P637&gt;1,"Invalid","Valid"))</f>
        <v>Valid</v>
      </c>
      <c r="AH637" s="7" t="str">
        <f>TEXT(B637,"mmmm")</f>
        <v>May</v>
      </c>
      <c r="AI637" s="7">
        <f t="shared" si="57"/>
        <v>2024</v>
      </c>
      <c r="AJ637" s="7" t="str">
        <f>IF(OR(R637&lt;0,C637&lt;B637),"Invalid",
IF(OR(G637="Unknown",M637="Unknown"),"Warning","Clean"))</f>
        <v>Clean</v>
      </c>
      <c r="AK637" s="7" t="str">
        <f>IF(C637&lt;B637,"Ship Before Order","OK")</f>
        <v>OK</v>
      </c>
      <c r="AL637" s="7" t="str">
        <f>IF(ISNUMBER(B637),"Valid","Invalid")</f>
        <v>Valid</v>
      </c>
      <c r="AM637" s="7" t="str">
        <f t="shared" si="58"/>
        <v>Missmatched</v>
      </c>
      <c r="AN637" s="7" t="str">
        <f t="shared" si="59"/>
        <v>Missmatched</v>
      </c>
    </row>
    <row r="638" spans="1:40">
      <c r="A638" t="s">
        <v>1998</v>
      </c>
      <c r="B638" s="6">
        <v>45332</v>
      </c>
      <c r="C638" s="4">
        <v>46136</v>
      </c>
      <c r="D638" t="s">
        <v>1999</v>
      </c>
      <c r="E638" t="s">
        <v>62</v>
      </c>
      <c r="F638" t="s">
        <v>24</v>
      </c>
      <c r="G638" t="s">
        <v>54</v>
      </c>
      <c r="H638" t="s">
        <v>247</v>
      </c>
      <c r="I638" t="s">
        <v>248</v>
      </c>
      <c r="J638" t="s">
        <v>28</v>
      </c>
      <c r="K638" t="s">
        <v>29</v>
      </c>
      <c r="L638" t="s">
        <v>2000</v>
      </c>
      <c r="M638" t="s">
        <v>59</v>
      </c>
      <c r="N638">
        <v>8</v>
      </c>
      <c r="O638">
        <v>1910.31</v>
      </c>
      <c r="P638">
        <v>0.15</v>
      </c>
      <c r="Q638" s="7">
        <f>IF(P638="", 0, P638)</f>
        <v>0.15</v>
      </c>
      <c r="R638">
        <v>12990.11</v>
      </c>
      <c r="S638">
        <v>10200.799999999999</v>
      </c>
      <c r="T638" s="7">
        <f>N638*O638*(1-Q638)</f>
        <v>12990.108</v>
      </c>
      <c r="U638" s="7">
        <f t="shared" si="54"/>
        <v>2789.3080000000009</v>
      </c>
      <c r="V638">
        <v>2789.31</v>
      </c>
      <c r="W638" s="12">
        <f t="shared" si="55"/>
        <v>0.2147255434673831</v>
      </c>
      <c r="X638" t="s">
        <v>32</v>
      </c>
      <c r="Y638" t="str">
        <f t="shared" si="56"/>
        <v>Paid</v>
      </c>
      <c r="Z638" t="s">
        <v>33</v>
      </c>
      <c r="AA638">
        <f>C638-B638</f>
        <v>804</v>
      </c>
      <c r="AB638" t="str">
        <f>IF(B638="","Missing Order Date",
IF(C638="","Missing Ship Date","OK"))</f>
        <v>OK</v>
      </c>
      <c r="AC638" s="7" t="str">
        <f>IF(C638&lt;B638, "Invalid", "Valid")</f>
        <v>Valid</v>
      </c>
      <c r="AD638" s="7" t="str">
        <f>IF(COUNTIF($A:$A, A638)&gt;1, "Duplicate", "Unique")</f>
        <v>Unique</v>
      </c>
      <c r="AE638" s="7" t="str">
        <f>IF(G638="","Unknown",G638)</f>
        <v>South</v>
      </c>
      <c r="AF638" s="7" t="str">
        <f>IF(M638="","Unknown",M638)</f>
        <v>Standard Class</v>
      </c>
      <c r="AG638" s="7" t="str">
        <f>IF(P638&lt;0,"Invalid",
IF(P638&gt;1,"Invalid","Valid"))</f>
        <v>Valid</v>
      </c>
      <c r="AH638" s="7" t="str">
        <f>TEXT(B638,"mmmm")</f>
        <v>February</v>
      </c>
      <c r="AI638" s="7">
        <f t="shared" si="57"/>
        <v>2024</v>
      </c>
      <c r="AJ638" s="7" t="str">
        <f>IF(OR(R638&lt;0,C638&lt;B638),"Invalid",
IF(OR(G638="Unknown",M638="Unknown"),"Warning","Clean"))</f>
        <v>Clean</v>
      </c>
      <c r="AK638" s="7" t="str">
        <f>IF(C638&lt;B638,"Ship Before Order","OK")</f>
        <v>OK</v>
      </c>
      <c r="AL638" s="7" t="str">
        <f>IF(ISNUMBER(B638),"Valid","Invalid")</f>
        <v>Valid</v>
      </c>
      <c r="AM638" s="7" t="str">
        <f t="shared" si="58"/>
        <v>Missmatched</v>
      </c>
      <c r="AN638" s="7" t="str">
        <f t="shared" si="59"/>
        <v>Missmatched</v>
      </c>
    </row>
    <row r="639" spans="1:40">
      <c r="A639" t="s">
        <v>2001</v>
      </c>
      <c r="B639" s="6">
        <v>45438</v>
      </c>
      <c r="C639" s="4">
        <v>46137</v>
      </c>
      <c r="D639" t="s">
        <v>2002</v>
      </c>
      <c r="E639" t="s">
        <v>118</v>
      </c>
      <c r="F639" t="s">
        <v>37</v>
      </c>
      <c r="G639" t="s">
        <v>63</v>
      </c>
      <c r="H639" t="s">
        <v>190</v>
      </c>
      <c r="I639" t="s">
        <v>191</v>
      </c>
      <c r="J639" t="s">
        <v>74</v>
      </c>
      <c r="K639" t="s">
        <v>80</v>
      </c>
      <c r="L639" t="s">
        <v>2003</v>
      </c>
      <c r="M639" t="s">
        <v>50</v>
      </c>
      <c r="N639">
        <v>2</v>
      </c>
      <c r="O639">
        <v>3192.47</v>
      </c>
      <c r="P639">
        <v>0.2</v>
      </c>
      <c r="Q639" s="7">
        <f>IF(P639="", 0, P639)</f>
        <v>0.2</v>
      </c>
      <c r="R639">
        <v>5107.95</v>
      </c>
      <c r="S639">
        <v>3133.08</v>
      </c>
      <c r="T639" s="7">
        <f>N639*O639*(1-Q639)</f>
        <v>5107.9520000000002</v>
      </c>
      <c r="U639" s="7">
        <f t="shared" si="54"/>
        <v>1974.8720000000003</v>
      </c>
      <c r="V639">
        <v>1974.87</v>
      </c>
      <c r="W639" s="12">
        <f t="shared" si="55"/>
        <v>0.38662696908663202</v>
      </c>
      <c r="X639" t="s">
        <v>32</v>
      </c>
      <c r="Y639" t="str">
        <f t="shared" si="56"/>
        <v>Paid</v>
      </c>
      <c r="Z639" t="s">
        <v>33</v>
      </c>
      <c r="AA639">
        <f>C639-B639</f>
        <v>699</v>
      </c>
      <c r="AB639" t="str">
        <f>IF(B639="","Missing Order Date",
IF(C639="","Missing Ship Date","OK"))</f>
        <v>OK</v>
      </c>
      <c r="AC639" s="7" t="str">
        <f>IF(C639&lt;B639, "Invalid", "Valid")</f>
        <v>Valid</v>
      </c>
      <c r="AD639" s="7" t="str">
        <f>IF(COUNTIF($A:$A, A639)&gt;1, "Duplicate", "Unique")</f>
        <v>Unique</v>
      </c>
      <c r="AE639" s="7" t="str">
        <f>IF(G639="","Unknown",G639)</f>
        <v>West</v>
      </c>
      <c r="AF639" s="7" t="str">
        <f>IF(M639="","Unknown",M639)</f>
        <v>First Class</v>
      </c>
      <c r="AG639" s="7" t="str">
        <f>IF(P639&lt;0,"Invalid",
IF(P639&gt;1,"Invalid","Valid"))</f>
        <v>Valid</v>
      </c>
      <c r="AH639" s="7" t="str">
        <f>TEXT(B639,"mmmm")</f>
        <v>May</v>
      </c>
      <c r="AI639" s="7">
        <f t="shared" si="57"/>
        <v>2024</v>
      </c>
      <c r="AJ639" s="7" t="str">
        <f>IF(OR(R639&lt;0,C639&lt;B639),"Invalid",
IF(OR(G639="Unknown",M639="Unknown"),"Warning","Clean"))</f>
        <v>Clean</v>
      </c>
      <c r="AK639" s="7" t="str">
        <f>IF(C639&lt;B639,"Ship Before Order","OK")</f>
        <v>OK</v>
      </c>
      <c r="AL639" s="7" t="str">
        <f>IF(ISNUMBER(B639),"Valid","Invalid")</f>
        <v>Valid</v>
      </c>
      <c r="AM639" s="7" t="str">
        <f t="shared" si="58"/>
        <v>Missmatched</v>
      </c>
      <c r="AN639" s="7" t="str">
        <f t="shared" si="59"/>
        <v>Missmatched</v>
      </c>
    </row>
    <row r="640" spans="1:40">
      <c r="A640" t="s">
        <v>2004</v>
      </c>
      <c r="B640" s="6">
        <v>45317</v>
      </c>
      <c r="C640" s="4">
        <v>46138</v>
      </c>
      <c r="D640" t="s">
        <v>2005</v>
      </c>
      <c r="E640" t="s">
        <v>23</v>
      </c>
      <c r="F640" t="s">
        <v>90</v>
      </c>
      <c r="G640" t="s">
        <v>54</v>
      </c>
      <c r="H640" t="s">
        <v>185</v>
      </c>
      <c r="I640" t="s">
        <v>186</v>
      </c>
      <c r="J640" t="s">
        <v>28</v>
      </c>
      <c r="K640" t="s">
        <v>124</v>
      </c>
      <c r="L640" t="s">
        <v>2006</v>
      </c>
      <c r="M640" t="s">
        <v>31</v>
      </c>
      <c r="N640">
        <v>3</v>
      </c>
      <c r="O640">
        <v>3224.32</v>
      </c>
      <c r="P640">
        <v>0.2</v>
      </c>
      <c r="Q640" s="7">
        <f>IF(P640="", 0, P640)</f>
        <v>0.2</v>
      </c>
      <c r="R640">
        <v>7738.37</v>
      </c>
      <c r="S640">
        <v>4626.8500000000004</v>
      </c>
      <c r="T640" s="7">
        <f>N640*O640*(1-Q640)</f>
        <v>7738.3680000000013</v>
      </c>
      <c r="U640" s="7">
        <f t="shared" si="54"/>
        <v>3111.5180000000009</v>
      </c>
      <c r="V640">
        <v>3111.52</v>
      </c>
      <c r="W640" s="12">
        <f t="shared" si="55"/>
        <v>0.40208969126306743</v>
      </c>
      <c r="X640" t="s">
        <v>155</v>
      </c>
      <c r="Y640" t="str">
        <f t="shared" si="56"/>
        <v>Failed</v>
      </c>
      <c r="Z640" t="s">
        <v>103</v>
      </c>
      <c r="AA640">
        <f>C640-B640</f>
        <v>821</v>
      </c>
      <c r="AB640" t="str">
        <f>IF(B640="","Missing Order Date",
IF(C640="","Missing Ship Date","OK"))</f>
        <v>OK</v>
      </c>
      <c r="AC640" s="7" t="str">
        <f>IF(C640&lt;B640, "Invalid", "Valid")</f>
        <v>Valid</v>
      </c>
      <c r="AD640" s="7" t="str">
        <f>IF(COUNTIF($A:$A, A640)&gt;1, "Duplicate", "Unique")</f>
        <v>Unique</v>
      </c>
      <c r="AE640" s="7" t="str">
        <f>IF(G640="","Unknown",G640)</f>
        <v>South</v>
      </c>
      <c r="AF640" s="7" t="str">
        <f>IF(M640="","Unknown",M640)</f>
        <v>Second Class</v>
      </c>
      <c r="AG640" s="7" t="str">
        <f>IF(P640&lt;0,"Invalid",
IF(P640&gt;1,"Invalid","Valid"))</f>
        <v>Valid</v>
      </c>
      <c r="AH640" s="7" t="str">
        <f>TEXT(B640,"mmmm")</f>
        <v>January</v>
      </c>
      <c r="AI640" s="7">
        <f t="shared" si="57"/>
        <v>2024</v>
      </c>
      <c r="AJ640" s="7" t="str">
        <f>IF(OR(R640&lt;0,C640&lt;B640),"Invalid",
IF(OR(G640="Unknown",M640="Unknown"),"Warning","Clean"))</f>
        <v>Clean</v>
      </c>
      <c r="AK640" s="7" t="str">
        <f>IF(C640&lt;B640,"Ship Before Order","OK")</f>
        <v>OK</v>
      </c>
      <c r="AL640" s="7" t="str">
        <f>IF(ISNUMBER(B640),"Valid","Invalid")</f>
        <v>Valid</v>
      </c>
      <c r="AM640" s="7" t="str">
        <f t="shared" si="58"/>
        <v>Missmatched</v>
      </c>
      <c r="AN640" s="7" t="str">
        <f t="shared" si="59"/>
        <v>Missmatched</v>
      </c>
    </row>
    <row r="641" spans="1:40">
      <c r="A641" t="s">
        <v>2007</v>
      </c>
      <c r="B641" s="6">
        <v>45653</v>
      </c>
      <c r="C641" s="4">
        <v>46139</v>
      </c>
      <c r="D641" t="s">
        <v>2008</v>
      </c>
      <c r="E641" t="s">
        <v>47</v>
      </c>
      <c r="F641" t="s">
        <v>37</v>
      </c>
      <c r="G641" t="s">
        <v>38</v>
      </c>
      <c r="H641" t="s">
        <v>39</v>
      </c>
      <c r="I641" t="s">
        <v>40</v>
      </c>
      <c r="J641" t="s">
        <v>41</v>
      </c>
      <c r="K641" t="s">
        <v>66</v>
      </c>
      <c r="L641" t="s">
        <v>2009</v>
      </c>
      <c r="M641" t="s">
        <v>31</v>
      </c>
      <c r="N641">
        <v>1</v>
      </c>
      <c r="O641">
        <v>1594.7</v>
      </c>
      <c r="P641">
        <v>0.05</v>
      </c>
      <c r="Q641" s="7">
        <f>IF(P641="", 0, P641)</f>
        <v>0.05</v>
      </c>
      <c r="R641">
        <v>1514.96</v>
      </c>
      <c r="S641">
        <v>1046.17</v>
      </c>
      <c r="T641" s="7">
        <f>N641*O641*(1-Q641)</f>
        <v>1514.9649999999999</v>
      </c>
      <c r="U641" s="7">
        <f t="shared" si="54"/>
        <v>468.79499999999985</v>
      </c>
      <c r="V641">
        <v>468.79</v>
      </c>
      <c r="W641" s="12">
        <f t="shared" si="55"/>
        <v>0.3094427924077453</v>
      </c>
      <c r="X641" t="s">
        <v>32</v>
      </c>
      <c r="Y641" t="str">
        <f t="shared" si="56"/>
        <v>Paid</v>
      </c>
      <c r="Z641" t="s">
        <v>33</v>
      </c>
      <c r="AA641">
        <f>C641-B641</f>
        <v>486</v>
      </c>
      <c r="AB641" t="str">
        <f>IF(B641="","Missing Order Date",
IF(C641="","Missing Ship Date","OK"))</f>
        <v>OK</v>
      </c>
      <c r="AC641" s="7" t="str">
        <f>IF(C641&lt;B641, "Invalid", "Valid")</f>
        <v>Valid</v>
      </c>
      <c r="AD641" s="7" t="str">
        <f>IF(COUNTIF($A:$A, A641)&gt;1, "Duplicate", "Unique")</f>
        <v>Unique</v>
      </c>
      <c r="AE641" s="7" t="str">
        <f>IF(G641="","Unknown",G641)</f>
        <v>East</v>
      </c>
      <c r="AF641" s="7" t="str">
        <f>IF(M641="","Unknown",M641)</f>
        <v>Second Class</v>
      </c>
      <c r="AG641" s="7" t="str">
        <f>IF(P641&lt;0,"Invalid",
IF(P641&gt;1,"Invalid","Valid"))</f>
        <v>Valid</v>
      </c>
      <c r="AH641" s="7" t="str">
        <f>TEXT(B641,"mmmm")</f>
        <v>December</v>
      </c>
      <c r="AI641" s="7">
        <f t="shared" si="57"/>
        <v>2024</v>
      </c>
      <c r="AJ641" s="7" t="str">
        <f>IF(OR(R641&lt;0,C641&lt;B641),"Invalid",
IF(OR(G641="Unknown",M641="Unknown"),"Warning","Clean"))</f>
        <v>Clean</v>
      </c>
      <c r="AK641" s="7" t="str">
        <f>IF(C641&lt;B641,"Ship Before Order","OK")</f>
        <v>OK</v>
      </c>
      <c r="AL641" s="7" t="str">
        <f>IF(ISNUMBER(B641),"Valid","Invalid")</f>
        <v>Valid</v>
      </c>
      <c r="AM641" s="7" t="str">
        <f t="shared" si="58"/>
        <v>Missmatched</v>
      </c>
      <c r="AN641" s="7" t="str">
        <f t="shared" si="59"/>
        <v>Missmatched</v>
      </c>
    </row>
    <row r="642" spans="1:40">
      <c r="A642" t="s">
        <v>2010</v>
      </c>
      <c r="B642" s="6">
        <v>45671</v>
      </c>
      <c r="C642" s="4">
        <v>46140</v>
      </c>
      <c r="D642" t="s">
        <v>2011</v>
      </c>
      <c r="E642" t="s">
        <v>71</v>
      </c>
      <c r="F642" t="s">
        <v>24</v>
      </c>
      <c r="G642" t="s">
        <v>63</v>
      </c>
      <c r="H642" t="s">
        <v>190</v>
      </c>
      <c r="I642" t="s">
        <v>191</v>
      </c>
      <c r="J642" t="s">
        <v>28</v>
      </c>
      <c r="K642" t="s">
        <v>124</v>
      </c>
      <c r="L642" t="s">
        <v>2012</v>
      </c>
      <c r="M642" t="s">
        <v>50</v>
      </c>
      <c r="N642">
        <v>1</v>
      </c>
      <c r="O642">
        <v>1584.12</v>
      </c>
      <c r="P642">
        <v>0.2</v>
      </c>
      <c r="Q642" s="7">
        <f>IF(P642="", 0, P642)</f>
        <v>0.2</v>
      </c>
      <c r="R642">
        <v>1267.3</v>
      </c>
      <c r="S642">
        <v>923.53</v>
      </c>
      <c r="T642" s="7">
        <f>N642*O642*(1-Q642)</f>
        <v>1267.296</v>
      </c>
      <c r="U642" s="7">
        <f t="shared" ref="U642:U705" si="60">T642-S642</f>
        <v>343.76600000000008</v>
      </c>
      <c r="V642">
        <v>343.77</v>
      </c>
      <c r="W642" s="12">
        <f t="shared" ref="W642:W705" si="61">IF(T642=0,0,U642/T642)</f>
        <v>0.27125943741635739</v>
      </c>
      <c r="X642" t="s">
        <v>32</v>
      </c>
      <c r="Y642" t="str">
        <f t="shared" ref="Y642:Y705" si="62">PROPER(TRIM(X642))</f>
        <v>Paid</v>
      </c>
      <c r="Z642" t="s">
        <v>33</v>
      </c>
      <c r="AA642">
        <f>C642-B642</f>
        <v>469</v>
      </c>
      <c r="AB642" t="str">
        <f>IF(B642="","Missing Order Date",
IF(C642="","Missing Ship Date","OK"))</f>
        <v>OK</v>
      </c>
      <c r="AC642" s="7" t="str">
        <f>IF(C642&lt;B642, "Invalid", "Valid")</f>
        <v>Valid</v>
      </c>
      <c r="AD642" s="7" t="str">
        <f>IF(COUNTIF($A:$A, A642)&gt;1, "Duplicate", "Unique")</f>
        <v>Unique</v>
      </c>
      <c r="AE642" s="7" t="str">
        <f>IF(G642="","Unknown",G642)</f>
        <v>West</v>
      </c>
      <c r="AF642" s="7" t="str">
        <f>IF(M642="","Unknown",M642)</f>
        <v>First Class</v>
      </c>
      <c r="AG642" s="7" t="str">
        <f>IF(P642&lt;0,"Invalid",
IF(P642&gt;1,"Invalid","Valid"))</f>
        <v>Valid</v>
      </c>
      <c r="AH642" s="7" t="str">
        <f>TEXT(B642,"mmmm")</f>
        <v>January</v>
      </c>
      <c r="AI642" s="7">
        <f t="shared" ref="AI642:AI705" si="63">YEAR(B642)</f>
        <v>2025</v>
      </c>
      <c r="AJ642" s="7" t="str">
        <f>IF(OR(R642&lt;0,C642&lt;B642),"Invalid",
IF(OR(G642="Unknown",M642="Unknown"),"Warning","Clean"))</f>
        <v>Clean</v>
      </c>
      <c r="AK642" s="7" t="str">
        <f>IF(C642&lt;B642,"Ship Before Order","OK")</f>
        <v>OK</v>
      </c>
      <c r="AL642" s="7" t="str">
        <f>IF(ISNUMBER(B642),"Valid","Invalid")</f>
        <v>Valid</v>
      </c>
      <c r="AM642" s="7" t="str">
        <f t="shared" ref="AM642:AM705" si="64">IF(R642&lt;&gt;T642, "Missmatched", "Ok")</f>
        <v>Missmatched</v>
      </c>
      <c r="AN642" s="7" t="str">
        <f t="shared" ref="AN642:AN705" si="65">IF(V642&lt;&gt;U642, "Missmatched", "Ok")</f>
        <v>Missmatched</v>
      </c>
    </row>
    <row r="643" spans="1:40">
      <c r="A643" t="s">
        <v>2013</v>
      </c>
      <c r="B643" s="6">
        <v>45904</v>
      </c>
      <c r="C643" s="4">
        <v>46141</v>
      </c>
      <c r="D643" t="s">
        <v>2014</v>
      </c>
      <c r="E643" t="s">
        <v>23</v>
      </c>
      <c r="F643" t="s">
        <v>24</v>
      </c>
      <c r="G643" t="s">
        <v>25</v>
      </c>
      <c r="H643" t="s">
        <v>350</v>
      </c>
      <c r="I643" t="s">
        <v>351</v>
      </c>
      <c r="J643" t="s">
        <v>41</v>
      </c>
      <c r="K643" t="s">
        <v>57</v>
      </c>
      <c r="L643" t="s">
        <v>2015</v>
      </c>
      <c r="M643" t="s">
        <v>44</v>
      </c>
      <c r="N643">
        <v>2</v>
      </c>
      <c r="O643">
        <v>3202.87</v>
      </c>
      <c r="P643">
        <v>0</v>
      </c>
      <c r="Q643" s="7">
        <f>IF(P643="", 0, P643)</f>
        <v>0</v>
      </c>
      <c r="R643">
        <v>6405.74</v>
      </c>
      <c r="S643">
        <v>3561.87</v>
      </c>
      <c r="T643" s="7">
        <f>N643*O643*(1-Q643)</f>
        <v>6405.74</v>
      </c>
      <c r="U643" s="7">
        <f t="shared" si="60"/>
        <v>2843.87</v>
      </c>
      <c r="V643">
        <v>2843.87</v>
      </c>
      <c r="W643" s="12">
        <f t="shared" si="61"/>
        <v>0.44395651400150488</v>
      </c>
      <c r="X643" t="s">
        <v>32</v>
      </c>
      <c r="Y643" t="str">
        <f t="shared" si="62"/>
        <v>Paid</v>
      </c>
      <c r="Z643" t="s">
        <v>33</v>
      </c>
      <c r="AA643">
        <f>C643-B643</f>
        <v>237</v>
      </c>
      <c r="AB643" t="str">
        <f>IF(B643="","Missing Order Date",
IF(C643="","Missing Ship Date","OK"))</f>
        <v>OK</v>
      </c>
      <c r="AC643" s="7" t="str">
        <f>IF(C643&lt;B643, "Invalid", "Valid")</f>
        <v>Valid</v>
      </c>
      <c r="AD643" s="7" t="str">
        <f>IF(COUNTIF($A:$A, A643)&gt;1, "Duplicate", "Unique")</f>
        <v>Unique</v>
      </c>
      <c r="AE643" s="7" t="str">
        <f>IF(G643="","Unknown",G643)</f>
        <v>North</v>
      </c>
      <c r="AF643" s="7" t="str">
        <f>IF(M643="","Unknown",M643)</f>
        <v>Same Day</v>
      </c>
      <c r="AG643" s="7" t="str">
        <f>IF(P643&lt;0,"Invalid",
IF(P643&gt;1,"Invalid","Valid"))</f>
        <v>Valid</v>
      </c>
      <c r="AH643" s="7" t="str">
        <f>TEXT(B643,"mmmm")</f>
        <v>September</v>
      </c>
      <c r="AI643" s="7">
        <f t="shared" si="63"/>
        <v>2025</v>
      </c>
      <c r="AJ643" s="7" t="str">
        <f>IF(OR(R643&lt;0,C643&lt;B643),"Invalid",
IF(OR(G643="Unknown",M643="Unknown"),"Warning","Clean"))</f>
        <v>Clean</v>
      </c>
      <c r="AK643" s="7" t="str">
        <f>IF(C643&lt;B643,"Ship Before Order","OK")</f>
        <v>OK</v>
      </c>
      <c r="AL643" s="7" t="str">
        <f>IF(ISNUMBER(B643),"Valid","Invalid")</f>
        <v>Valid</v>
      </c>
      <c r="AM643" s="7" t="str">
        <f t="shared" si="64"/>
        <v>Ok</v>
      </c>
      <c r="AN643" s="7" t="str">
        <f t="shared" si="65"/>
        <v>Ok</v>
      </c>
    </row>
    <row r="644" spans="1:40">
      <c r="A644" t="s">
        <v>2016</v>
      </c>
      <c r="B644" s="6">
        <v>45533</v>
      </c>
      <c r="C644" s="4">
        <v>46142</v>
      </c>
      <c r="D644" t="s">
        <v>2017</v>
      </c>
      <c r="E644" t="s">
        <v>47</v>
      </c>
      <c r="F644" t="s">
        <v>95</v>
      </c>
      <c r="G644" t="s">
        <v>38</v>
      </c>
      <c r="H644" t="s">
        <v>166</v>
      </c>
      <c r="I644" t="s">
        <v>167</v>
      </c>
      <c r="J644" t="s">
        <v>28</v>
      </c>
      <c r="K644" t="s">
        <v>153</v>
      </c>
      <c r="L644" t="s">
        <v>2018</v>
      </c>
      <c r="M644" t="s">
        <v>31</v>
      </c>
      <c r="N644">
        <v>9</v>
      </c>
      <c r="O644">
        <v>1275.21</v>
      </c>
      <c r="P644">
        <v>0.25</v>
      </c>
      <c r="Q644" s="7">
        <f>IF(P644="", 0, P644)</f>
        <v>0.25</v>
      </c>
      <c r="R644">
        <v>8607.67</v>
      </c>
      <c r="S644">
        <v>5337.64</v>
      </c>
      <c r="T644" s="7">
        <f>N644*O644*(1-Q644)</f>
        <v>8607.6674999999996</v>
      </c>
      <c r="U644" s="7">
        <f t="shared" si="60"/>
        <v>3270.0274999999992</v>
      </c>
      <c r="V644">
        <v>3270.03</v>
      </c>
      <c r="W644" s="12">
        <f t="shared" si="61"/>
        <v>0.37989705108846261</v>
      </c>
      <c r="X644" t="s">
        <v>155</v>
      </c>
      <c r="Y644" t="str">
        <f t="shared" si="62"/>
        <v>Failed</v>
      </c>
      <c r="Z644" t="s">
        <v>103</v>
      </c>
      <c r="AA644">
        <f>C644-B644</f>
        <v>609</v>
      </c>
      <c r="AB644" t="str">
        <f>IF(B644="","Missing Order Date",
IF(C644="","Missing Ship Date","OK"))</f>
        <v>OK</v>
      </c>
      <c r="AC644" s="7" t="str">
        <f>IF(C644&lt;B644, "Invalid", "Valid")</f>
        <v>Valid</v>
      </c>
      <c r="AD644" s="7" t="str">
        <f>IF(COUNTIF($A:$A, A644)&gt;1, "Duplicate", "Unique")</f>
        <v>Unique</v>
      </c>
      <c r="AE644" s="7" t="str">
        <f>IF(G644="","Unknown",G644)</f>
        <v>East</v>
      </c>
      <c r="AF644" s="7" t="str">
        <f>IF(M644="","Unknown",M644)</f>
        <v>Second Class</v>
      </c>
      <c r="AG644" s="7" t="str">
        <f>IF(P644&lt;0,"Invalid",
IF(P644&gt;1,"Invalid","Valid"))</f>
        <v>Valid</v>
      </c>
      <c r="AH644" s="7" t="str">
        <f>TEXT(B644,"mmmm")</f>
        <v>August</v>
      </c>
      <c r="AI644" s="7">
        <f t="shared" si="63"/>
        <v>2024</v>
      </c>
      <c r="AJ644" s="7" t="str">
        <f>IF(OR(R644&lt;0,C644&lt;B644),"Invalid",
IF(OR(G644="Unknown",M644="Unknown"),"Warning","Clean"))</f>
        <v>Clean</v>
      </c>
      <c r="AK644" s="7" t="str">
        <f>IF(C644&lt;B644,"Ship Before Order","OK")</f>
        <v>OK</v>
      </c>
      <c r="AL644" s="7" t="str">
        <f>IF(ISNUMBER(B644),"Valid","Invalid")</f>
        <v>Valid</v>
      </c>
      <c r="AM644" s="7" t="str">
        <f t="shared" si="64"/>
        <v>Missmatched</v>
      </c>
      <c r="AN644" s="7" t="str">
        <f t="shared" si="65"/>
        <v>Missmatched</v>
      </c>
    </row>
    <row r="645" spans="1:40">
      <c r="A645" t="s">
        <v>2019</v>
      </c>
      <c r="B645" s="6">
        <v>45327</v>
      </c>
      <c r="C645" s="4">
        <v>46143</v>
      </c>
      <c r="D645" t="s">
        <v>720</v>
      </c>
      <c r="E645" t="s">
        <v>128</v>
      </c>
      <c r="F645" t="s">
        <v>95</v>
      </c>
      <c r="G645" t="s">
        <v>25</v>
      </c>
      <c r="H645" t="s">
        <v>136</v>
      </c>
      <c r="I645" t="s">
        <v>137</v>
      </c>
      <c r="J645" t="s">
        <v>28</v>
      </c>
      <c r="K645" t="s">
        <v>91</v>
      </c>
      <c r="L645" t="s">
        <v>2020</v>
      </c>
      <c r="M645" t="s">
        <v>59</v>
      </c>
      <c r="N645">
        <v>8</v>
      </c>
      <c r="O645">
        <v>3871.18</v>
      </c>
      <c r="P645">
        <v>0.15</v>
      </c>
      <c r="Q645" s="7">
        <f>IF(P645="", 0, P645)</f>
        <v>0.15</v>
      </c>
      <c r="R645">
        <v>26324.02</v>
      </c>
      <c r="S645">
        <v>16277.96</v>
      </c>
      <c r="T645" s="7">
        <f>N645*O645*(1-Q645)</f>
        <v>26324.023999999998</v>
      </c>
      <c r="U645" s="7">
        <f t="shared" si="60"/>
        <v>10046.063999999998</v>
      </c>
      <c r="V645">
        <v>10046.06</v>
      </c>
      <c r="W645" s="12">
        <f t="shared" si="61"/>
        <v>0.3816310150758106</v>
      </c>
      <c r="X645" t="s">
        <v>155</v>
      </c>
      <c r="Y645" t="str">
        <f t="shared" si="62"/>
        <v>Failed</v>
      </c>
      <c r="Z645" t="s">
        <v>103</v>
      </c>
      <c r="AA645">
        <f>C645-B645</f>
        <v>816</v>
      </c>
      <c r="AB645" t="str">
        <f>IF(B645="","Missing Order Date",
IF(C645="","Missing Ship Date","OK"))</f>
        <v>OK</v>
      </c>
      <c r="AC645" s="7" t="str">
        <f>IF(C645&lt;B645, "Invalid", "Valid")</f>
        <v>Valid</v>
      </c>
      <c r="AD645" s="7" t="str">
        <f>IF(COUNTIF($A:$A, A645)&gt;1, "Duplicate", "Unique")</f>
        <v>Unique</v>
      </c>
      <c r="AE645" s="7" t="str">
        <f>IF(G645="","Unknown",G645)</f>
        <v>North</v>
      </c>
      <c r="AF645" s="7" t="str">
        <f>IF(M645="","Unknown",M645)</f>
        <v>Standard Class</v>
      </c>
      <c r="AG645" s="7" t="str">
        <f>IF(P645&lt;0,"Invalid",
IF(P645&gt;1,"Invalid","Valid"))</f>
        <v>Valid</v>
      </c>
      <c r="AH645" s="7" t="str">
        <f>TEXT(B645,"mmmm")</f>
        <v>February</v>
      </c>
      <c r="AI645" s="7">
        <f t="shared" si="63"/>
        <v>2024</v>
      </c>
      <c r="AJ645" s="7" t="str">
        <f>IF(OR(R645&lt;0,C645&lt;B645),"Invalid",
IF(OR(G645="Unknown",M645="Unknown"),"Warning","Clean"))</f>
        <v>Clean</v>
      </c>
      <c r="AK645" s="7" t="str">
        <f>IF(C645&lt;B645,"Ship Before Order","OK")</f>
        <v>OK</v>
      </c>
      <c r="AL645" s="7" t="str">
        <f>IF(ISNUMBER(B645),"Valid","Invalid")</f>
        <v>Valid</v>
      </c>
      <c r="AM645" s="7" t="str">
        <f t="shared" si="64"/>
        <v>Missmatched</v>
      </c>
      <c r="AN645" s="7" t="str">
        <f t="shared" si="65"/>
        <v>Missmatched</v>
      </c>
    </row>
    <row r="646" spans="1:40">
      <c r="A646" t="s">
        <v>2021</v>
      </c>
      <c r="B646" s="6">
        <v>45934</v>
      </c>
      <c r="C646" s="4">
        <v>46144</v>
      </c>
      <c r="D646" t="s">
        <v>2022</v>
      </c>
      <c r="E646" t="s">
        <v>71</v>
      </c>
      <c r="F646" t="s">
        <v>24</v>
      </c>
      <c r="G646" t="s">
        <v>38</v>
      </c>
      <c r="H646" t="s">
        <v>99</v>
      </c>
      <c r="I646" t="s">
        <v>100</v>
      </c>
      <c r="J646" t="s">
        <v>41</v>
      </c>
      <c r="K646" t="s">
        <v>66</v>
      </c>
      <c r="L646" t="s">
        <v>2023</v>
      </c>
      <c r="M646" t="s">
        <v>59</v>
      </c>
      <c r="N646">
        <v>4</v>
      </c>
      <c r="O646">
        <v>3750.02</v>
      </c>
      <c r="P646">
        <v>0.05</v>
      </c>
      <c r="Q646" s="7">
        <f>IF(P646="", 0, P646)</f>
        <v>0.05</v>
      </c>
      <c r="R646">
        <v>14250.08</v>
      </c>
      <c r="S646">
        <v>10914.92</v>
      </c>
      <c r="T646" s="7">
        <f>N646*O646*(1-Q646)</f>
        <v>14250.075999999999</v>
      </c>
      <c r="U646" s="7">
        <f t="shared" si="60"/>
        <v>3335.155999999999</v>
      </c>
      <c r="V646">
        <v>3335.16</v>
      </c>
      <c r="W646" s="12">
        <f t="shared" si="61"/>
        <v>0.23404478684885605</v>
      </c>
      <c r="X646" t="s">
        <v>32</v>
      </c>
      <c r="Y646" t="str">
        <f t="shared" si="62"/>
        <v>Paid</v>
      </c>
      <c r="Z646" t="s">
        <v>33</v>
      </c>
      <c r="AA646">
        <f>C646-B646</f>
        <v>210</v>
      </c>
      <c r="AB646" t="str">
        <f>IF(B646="","Missing Order Date",
IF(C646="","Missing Ship Date","OK"))</f>
        <v>OK</v>
      </c>
      <c r="AC646" s="7" t="str">
        <f>IF(C646&lt;B646, "Invalid", "Valid")</f>
        <v>Valid</v>
      </c>
      <c r="AD646" s="7" t="str">
        <f>IF(COUNTIF($A:$A, A646)&gt;1, "Duplicate", "Unique")</f>
        <v>Unique</v>
      </c>
      <c r="AE646" s="7" t="str">
        <f>IF(G646="","Unknown",G646)</f>
        <v>East</v>
      </c>
      <c r="AF646" s="7" t="str">
        <f>IF(M646="","Unknown",M646)</f>
        <v>Standard Class</v>
      </c>
      <c r="AG646" s="7" t="str">
        <f>IF(P646&lt;0,"Invalid",
IF(P646&gt;1,"Invalid","Valid"))</f>
        <v>Valid</v>
      </c>
      <c r="AH646" s="7" t="str">
        <f>TEXT(B646,"mmmm")</f>
        <v>October</v>
      </c>
      <c r="AI646" s="7">
        <f t="shared" si="63"/>
        <v>2025</v>
      </c>
      <c r="AJ646" s="7" t="str">
        <f>IF(OR(R646&lt;0,C646&lt;B646),"Invalid",
IF(OR(G646="Unknown",M646="Unknown"),"Warning","Clean"))</f>
        <v>Clean</v>
      </c>
      <c r="AK646" s="7" t="str">
        <f>IF(C646&lt;B646,"Ship Before Order","OK")</f>
        <v>OK</v>
      </c>
      <c r="AL646" s="7" t="str">
        <f>IF(ISNUMBER(B646),"Valid","Invalid")</f>
        <v>Valid</v>
      </c>
      <c r="AM646" s="7" t="str">
        <f t="shared" si="64"/>
        <v>Missmatched</v>
      </c>
      <c r="AN646" s="7" t="str">
        <f t="shared" si="65"/>
        <v>Missmatched</v>
      </c>
    </row>
    <row r="647" spans="1:40">
      <c r="A647" t="s">
        <v>2024</v>
      </c>
      <c r="B647" s="6">
        <v>45383</v>
      </c>
      <c r="C647" s="4">
        <v>46145</v>
      </c>
      <c r="D647" t="s">
        <v>2025</v>
      </c>
      <c r="E647" t="s">
        <v>264</v>
      </c>
      <c r="F647" t="s">
        <v>24</v>
      </c>
      <c r="G647" t="s">
        <v>38</v>
      </c>
      <c r="H647" t="s">
        <v>145</v>
      </c>
      <c r="I647" t="s">
        <v>146</v>
      </c>
      <c r="J647" t="s">
        <v>41</v>
      </c>
      <c r="K647" t="s">
        <v>66</v>
      </c>
      <c r="L647" t="s">
        <v>2026</v>
      </c>
      <c r="M647" t="s">
        <v>31</v>
      </c>
      <c r="N647">
        <v>6</v>
      </c>
      <c r="O647">
        <v>2423.61</v>
      </c>
      <c r="P647">
        <v>0.1</v>
      </c>
      <c r="Q647" s="7">
        <f>IF(P647="", 0, P647)</f>
        <v>0.1</v>
      </c>
      <c r="R647">
        <v>13087.49</v>
      </c>
      <c r="S647">
        <v>7608.89</v>
      </c>
      <c r="T647" s="7">
        <f>N647*O647*(1-Q647)</f>
        <v>13087.494000000001</v>
      </c>
      <c r="U647" s="7">
        <f t="shared" si="60"/>
        <v>5478.6040000000003</v>
      </c>
      <c r="V647">
        <v>5133.22</v>
      </c>
      <c r="W647" s="12">
        <f t="shared" si="61"/>
        <v>0.41861367806548755</v>
      </c>
      <c r="X647" t="s">
        <v>32</v>
      </c>
      <c r="Y647" t="str">
        <f t="shared" si="62"/>
        <v>Paid</v>
      </c>
      <c r="Z647" t="s">
        <v>33</v>
      </c>
      <c r="AA647">
        <f>C647-B647</f>
        <v>762</v>
      </c>
      <c r="AB647" t="str">
        <f>IF(B647="","Missing Order Date",
IF(C647="","Missing Ship Date","OK"))</f>
        <v>OK</v>
      </c>
      <c r="AC647" s="7" t="str">
        <f>IF(C647&lt;B647, "Invalid", "Valid")</f>
        <v>Valid</v>
      </c>
      <c r="AD647" s="7" t="str">
        <f>IF(COUNTIF($A:$A, A647)&gt;1, "Duplicate", "Unique")</f>
        <v>Unique</v>
      </c>
      <c r="AE647" s="7" t="str">
        <f>IF(G647="","Unknown",G647)</f>
        <v>East</v>
      </c>
      <c r="AF647" s="7" t="str">
        <f>IF(M647="","Unknown",M647)</f>
        <v>Second Class</v>
      </c>
      <c r="AG647" s="7" t="str">
        <f>IF(P647&lt;0,"Invalid",
IF(P647&gt;1,"Invalid","Valid"))</f>
        <v>Valid</v>
      </c>
      <c r="AH647" s="7" t="str">
        <f>TEXT(B647,"mmmm")</f>
        <v>April</v>
      </c>
      <c r="AI647" s="7">
        <f t="shared" si="63"/>
        <v>2024</v>
      </c>
      <c r="AJ647" s="7" t="str">
        <f>IF(OR(R647&lt;0,C647&lt;B647),"Invalid",
IF(OR(G647="Unknown",M647="Unknown"),"Warning","Clean"))</f>
        <v>Clean</v>
      </c>
      <c r="AK647" s="7" t="str">
        <f>IF(C647&lt;B647,"Ship Before Order","OK")</f>
        <v>OK</v>
      </c>
      <c r="AL647" s="7" t="str">
        <f>IF(ISNUMBER(B647),"Valid","Invalid")</f>
        <v>Valid</v>
      </c>
      <c r="AM647" s="7" t="str">
        <f t="shared" si="64"/>
        <v>Missmatched</v>
      </c>
      <c r="AN647" s="7" t="str">
        <f t="shared" si="65"/>
        <v>Missmatched</v>
      </c>
    </row>
    <row r="648" spans="1:40">
      <c r="A648" t="s">
        <v>2027</v>
      </c>
      <c r="B648" s="6">
        <v>45553</v>
      </c>
      <c r="C648" s="4">
        <v>46146</v>
      </c>
      <c r="D648" t="s">
        <v>2028</v>
      </c>
      <c r="E648" t="s">
        <v>71</v>
      </c>
      <c r="F648" t="s">
        <v>37</v>
      </c>
      <c r="G648" t="s">
        <v>38</v>
      </c>
      <c r="H648" t="s">
        <v>228</v>
      </c>
      <c r="I648" t="s">
        <v>229</v>
      </c>
      <c r="J648" t="s">
        <v>74</v>
      </c>
      <c r="K648" t="s">
        <v>274</v>
      </c>
      <c r="L648" t="s">
        <v>2029</v>
      </c>
      <c r="M648" t="s">
        <v>50</v>
      </c>
      <c r="N648">
        <v>3</v>
      </c>
      <c r="O648">
        <v>729.14</v>
      </c>
      <c r="P648">
        <v>0.25</v>
      </c>
      <c r="Q648" s="7">
        <f>IF(P648="", 0, P648)</f>
        <v>0.25</v>
      </c>
      <c r="R648">
        <v>1640.57</v>
      </c>
      <c r="S648">
        <v>1136.98</v>
      </c>
      <c r="T648" s="7">
        <f>N648*O648*(1-Q648)</f>
        <v>1640.5650000000001</v>
      </c>
      <c r="U648" s="7">
        <f t="shared" si="60"/>
        <v>503.58500000000004</v>
      </c>
      <c r="V648">
        <v>503.59</v>
      </c>
      <c r="W648" s="12">
        <f t="shared" si="61"/>
        <v>0.30695827352162214</v>
      </c>
      <c r="X648" t="s">
        <v>32</v>
      </c>
      <c r="Y648" t="str">
        <f t="shared" si="62"/>
        <v>Paid</v>
      </c>
      <c r="Z648" t="s">
        <v>33</v>
      </c>
      <c r="AA648">
        <f>C648-B648</f>
        <v>593</v>
      </c>
      <c r="AB648" t="str">
        <f>IF(B648="","Missing Order Date",
IF(C648="","Missing Ship Date","OK"))</f>
        <v>OK</v>
      </c>
      <c r="AC648" s="7" t="str">
        <f>IF(C648&lt;B648, "Invalid", "Valid")</f>
        <v>Valid</v>
      </c>
      <c r="AD648" s="7" t="str">
        <f>IF(COUNTIF($A:$A, A648)&gt;1, "Duplicate", "Unique")</f>
        <v>Unique</v>
      </c>
      <c r="AE648" s="7" t="str">
        <f>IF(G648="","Unknown",G648)</f>
        <v>East</v>
      </c>
      <c r="AF648" s="7" t="str">
        <f>IF(M648="","Unknown",M648)</f>
        <v>First Class</v>
      </c>
      <c r="AG648" s="7" t="str">
        <f>IF(P648&lt;0,"Invalid",
IF(P648&gt;1,"Invalid","Valid"))</f>
        <v>Valid</v>
      </c>
      <c r="AH648" s="7" t="str">
        <f>TEXT(B648,"mmmm")</f>
        <v>September</v>
      </c>
      <c r="AI648" s="7">
        <f t="shared" si="63"/>
        <v>2024</v>
      </c>
      <c r="AJ648" s="7" t="str">
        <f>IF(OR(R648&lt;0,C648&lt;B648),"Invalid",
IF(OR(G648="Unknown",M648="Unknown"),"Warning","Clean"))</f>
        <v>Clean</v>
      </c>
      <c r="AK648" s="7" t="str">
        <f>IF(C648&lt;B648,"Ship Before Order","OK")</f>
        <v>OK</v>
      </c>
      <c r="AL648" s="7" t="str">
        <f>IF(ISNUMBER(B648),"Valid","Invalid")</f>
        <v>Valid</v>
      </c>
      <c r="AM648" s="7" t="str">
        <f t="shared" si="64"/>
        <v>Missmatched</v>
      </c>
      <c r="AN648" s="7" t="str">
        <f t="shared" si="65"/>
        <v>Missmatched</v>
      </c>
    </row>
    <row r="649" spans="1:40">
      <c r="A649" t="s">
        <v>2030</v>
      </c>
      <c r="B649" s="6">
        <v>45658</v>
      </c>
      <c r="C649" s="4">
        <v>46147</v>
      </c>
      <c r="D649" t="s">
        <v>2031</v>
      </c>
      <c r="E649" t="s">
        <v>141</v>
      </c>
      <c r="F649" t="s">
        <v>37</v>
      </c>
      <c r="G649" t="s">
        <v>25</v>
      </c>
      <c r="H649" t="s">
        <v>122</v>
      </c>
      <c r="I649" t="s">
        <v>123</v>
      </c>
      <c r="J649" t="s">
        <v>28</v>
      </c>
      <c r="K649" t="s">
        <v>48</v>
      </c>
      <c r="L649" t="s">
        <v>2032</v>
      </c>
      <c r="M649" t="s">
        <v>50</v>
      </c>
      <c r="N649">
        <v>8</v>
      </c>
      <c r="O649">
        <v>2123.81</v>
      </c>
      <c r="P649">
        <v>0.15</v>
      </c>
      <c r="Q649" s="7">
        <f>IF(P649="", 0, P649)</f>
        <v>0.15</v>
      </c>
      <c r="R649">
        <v>14441.91</v>
      </c>
      <c r="S649">
        <v>10872.89</v>
      </c>
      <c r="T649" s="7">
        <f>N649*O649*(1-Q649)</f>
        <v>14441.907999999999</v>
      </c>
      <c r="U649" s="7">
        <f t="shared" si="60"/>
        <v>3569.018</v>
      </c>
      <c r="V649">
        <v>3569.02</v>
      </c>
      <c r="W649" s="12">
        <f t="shared" si="61"/>
        <v>0.24712925743606731</v>
      </c>
      <c r="X649" t="s">
        <v>32</v>
      </c>
      <c r="Y649" t="str">
        <f t="shared" si="62"/>
        <v>Paid</v>
      </c>
      <c r="Z649" t="s">
        <v>33</v>
      </c>
      <c r="AA649">
        <f>C649-B649</f>
        <v>489</v>
      </c>
      <c r="AB649" t="str">
        <f>IF(B649="","Missing Order Date",
IF(C649="","Missing Ship Date","OK"))</f>
        <v>OK</v>
      </c>
      <c r="AC649" s="7" t="str">
        <f>IF(C649&lt;B649, "Invalid", "Valid")</f>
        <v>Valid</v>
      </c>
      <c r="AD649" s="7" t="str">
        <f>IF(COUNTIF($A:$A, A649)&gt;1, "Duplicate", "Unique")</f>
        <v>Unique</v>
      </c>
      <c r="AE649" s="7" t="str">
        <f>IF(G649="","Unknown",G649)</f>
        <v>North</v>
      </c>
      <c r="AF649" s="7" t="str">
        <f>IF(M649="","Unknown",M649)</f>
        <v>First Class</v>
      </c>
      <c r="AG649" s="7" t="str">
        <f>IF(P649&lt;0,"Invalid",
IF(P649&gt;1,"Invalid","Valid"))</f>
        <v>Valid</v>
      </c>
      <c r="AH649" s="7" t="str">
        <f>TEXT(B649,"mmmm")</f>
        <v>January</v>
      </c>
      <c r="AI649" s="7">
        <f t="shared" si="63"/>
        <v>2025</v>
      </c>
      <c r="AJ649" s="7" t="str">
        <f>IF(OR(R649&lt;0,C649&lt;B649),"Invalid",
IF(OR(G649="Unknown",M649="Unknown"),"Warning","Clean"))</f>
        <v>Clean</v>
      </c>
      <c r="AK649" s="7" t="str">
        <f>IF(C649&lt;B649,"Ship Before Order","OK")</f>
        <v>OK</v>
      </c>
      <c r="AL649" s="7" t="str">
        <f>IF(ISNUMBER(B649),"Valid","Invalid")</f>
        <v>Valid</v>
      </c>
      <c r="AM649" s="7" t="str">
        <f t="shared" si="64"/>
        <v>Missmatched</v>
      </c>
      <c r="AN649" s="7" t="str">
        <f t="shared" si="65"/>
        <v>Missmatched</v>
      </c>
    </row>
    <row r="650" spans="1:40">
      <c r="A650" t="s">
        <v>2033</v>
      </c>
      <c r="B650" s="6">
        <v>45403</v>
      </c>
      <c r="C650" s="4">
        <v>46148</v>
      </c>
      <c r="D650" t="s">
        <v>2034</v>
      </c>
      <c r="E650" t="s">
        <v>79</v>
      </c>
      <c r="F650" t="s">
        <v>37</v>
      </c>
      <c r="G650" t="s">
        <v>54</v>
      </c>
      <c r="H650" t="s">
        <v>84</v>
      </c>
      <c r="I650" t="s">
        <v>85</v>
      </c>
      <c r="J650" t="s">
        <v>28</v>
      </c>
      <c r="K650" t="s">
        <v>48</v>
      </c>
      <c r="L650" t="s">
        <v>2035</v>
      </c>
      <c r="M650" t="s">
        <v>44</v>
      </c>
      <c r="N650">
        <v>9</v>
      </c>
      <c r="O650">
        <v>703.59</v>
      </c>
      <c r="P650">
        <v>0.2</v>
      </c>
      <c r="Q650" s="7">
        <f>IF(P650="", 0, P650)</f>
        <v>0.2</v>
      </c>
      <c r="R650">
        <v>5065.8500000000004</v>
      </c>
      <c r="S650">
        <v>3517.23</v>
      </c>
      <c r="T650" s="7">
        <f>N650*O650*(1-Q650)</f>
        <v>5065.8480000000009</v>
      </c>
      <c r="U650" s="7">
        <f t="shared" si="60"/>
        <v>1548.6180000000008</v>
      </c>
      <c r="V650">
        <v>1548.62</v>
      </c>
      <c r="W650" s="12">
        <f t="shared" si="61"/>
        <v>0.30569768378364304</v>
      </c>
      <c r="X650" t="s">
        <v>155</v>
      </c>
      <c r="Y650" t="str">
        <f t="shared" si="62"/>
        <v>Failed</v>
      </c>
      <c r="Z650" t="s">
        <v>103</v>
      </c>
      <c r="AA650">
        <f>C650-B650</f>
        <v>745</v>
      </c>
      <c r="AB650" t="str">
        <f>IF(B650="","Missing Order Date",
IF(C650="","Missing Ship Date","OK"))</f>
        <v>OK</v>
      </c>
      <c r="AC650" s="7" t="str">
        <f>IF(C650&lt;B650, "Invalid", "Valid")</f>
        <v>Valid</v>
      </c>
      <c r="AD650" s="7" t="str">
        <f>IF(COUNTIF($A:$A, A650)&gt;1, "Duplicate", "Unique")</f>
        <v>Unique</v>
      </c>
      <c r="AE650" s="7" t="str">
        <f>IF(G650="","Unknown",G650)</f>
        <v>South</v>
      </c>
      <c r="AF650" s="7" t="str">
        <f>IF(M650="","Unknown",M650)</f>
        <v>Same Day</v>
      </c>
      <c r="AG650" s="7" t="str">
        <f>IF(P650&lt;0,"Invalid",
IF(P650&gt;1,"Invalid","Valid"))</f>
        <v>Valid</v>
      </c>
      <c r="AH650" s="7" t="str">
        <f>TEXT(B650,"mmmm")</f>
        <v>April</v>
      </c>
      <c r="AI650" s="7">
        <f t="shared" si="63"/>
        <v>2024</v>
      </c>
      <c r="AJ650" s="7" t="str">
        <f>IF(OR(R650&lt;0,C650&lt;B650),"Invalid",
IF(OR(G650="Unknown",M650="Unknown"),"Warning","Clean"))</f>
        <v>Clean</v>
      </c>
      <c r="AK650" s="7" t="str">
        <f>IF(C650&lt;B650,"Ship Before Order","OK")</f>
        <v>OK</v>
      </c>
      <c r="AL650" s="7" t="str">
        <f>IF(ISNUMBER(B650),"Valid","Invalid")</f>
        <v>Valid</v>
      </c>
      <c r="AM650" s="7" t="str">
        <f t="shared" si="64"/>
        <v>Missmatched</v>
      </c>
      <c r="AN650" s="7" t="str">
        <f t="shared" si="65"/>
        <v>Missmatched</v>
      </c>
    </row>
    <row r="651" spans="1:40">
      <c r="A651" t="s">
        <v>2036</v>
      </c>
      <c r="B651" s="6">
        <v>45969</v>
      </c>
      <c r="C651" s="4">
        <v>46149</v>
      </c>
      <c r="D651" t="s">
        <v>2037</v>
      </c>
      <c r="E651" t="s">
        <v>264</v>
      </c>
      <c r="F651" t="s">
        <v>37</v>
      </c>
      <c r="G651" t="s">
        <v>54</v>
      </c>
      <c r="H651" t="s">
        <v>185</v>
      </c>
      <c r="I651" t="s">
        <v>186</v>
      </c>
      <c r="J651" t="s">
        <v>74</v>
      </c>
      <c r="K651" t="s">
        <v>75</v>
      </c>
      <c r="L651" t="s">
        <v>2038</v>
      </c>
      <c r="M651" t="s">
        <v>59</v>
      </c>
      <c r="N651">
        <v>4</v>
      </c>
      <c r="O651">
        <v>2258.96</v>
      </c>
      <c r="P651">
        <v>0.25</v>
      </c>
      <c r="Q651" s="7">
        <f>IF(P651="", 0, P651)</f>
        <v>0.25</v>
      </c>
      <c r="R651">
        <v>6776.88</v>
      </c>
      <c r="S651">
        <v>3836.24</v>
      </c>
      <c r="T651" s="7">
        <f>N651*O651*(1-Q651)</f>
        <v>6776.88</v>
      </c>
      <c r="U651" s="7">
        <f t="shared" si="60"/>
        <v>2940.6400000000003</v>
      </c>
      <c r="V651">
        <v>2940.64</v>
      </c>
      <c r="W651" s="12">
        <f t="shared" si="61"/>
        <v>0.43392239496641527</v>
      </c>
      <c r="X651" t="s">
        <v>32</v>
      </c>
      <c r="Y651" t="str">
        <f t="shared" si="62"/>
        <v>Paid</v>
      </c>
      <c r="Z651" t="s">
        <v>33</v>
      </c>
      <c r="AA651">
        <f>C651-B651</f>
        <v>180</v>
      </c>
      <c r="AB651" t="str">
        <f>IF(B651="","Missing Order Date",
IF(C651="","Missing Ship Date","OK"))</f>
        <v>OK</v>
      </c>
      <c r="AC651" s="7" t="str">
        <f>IF(C651&lt;B651, "Invalid", "Valid")</f>
        <v>Valid</v>
      </c>
      <c r="AD651" s="7" t="str">
        <f>IF(COUNTIF($A:$A, A651)&gt;1, "Duplicate", "Unique")</f>
        <v>Unique</v>
      </c>
      <c r="AE651" s="7" t="str">
        <f>IF(G651="","Unknown",G651)</f>
        <v>South</v>
      </c>
      <c r="AF651" s="7" t="str">
        <f>IF(M651="","Unknown",M651)</f>
        <v>Standard Class</v>
      </c>
      <c r="AG651" s="7" t="str">
        <f>IF(P651&lt;0,"Invalid",
IF(P651&gt;1,"Invalid","Valid"))</f>
        <v>Valid</v>
      </c>
      <c r="AH651" s="7" t="str">
        <f>TEXT(B651,"mmmm")</f>
        <v>November</v>
      </c>
      <c r="AI651" s="7">
        <f t="shared" si="63"/>
        <v>2025</v>
      </c>
      <c r="AJ651" s="7" t="str">
        <f>IF(OR(R651&lt;0,C651&lt;B651),"Invalid",
IF(OR(G651="Unknown",M651="Unknown"),"Warning","Clean"))</f>
        <v>Clean</v>
      </c>
      <c r="AK651" s="7" t="str">
        <f>IF(C651&lt;B651,"Ship Before Order","OK")</f>
        <v>OK</v>
      </c>
      <c r="AL651" s="7" t="str">
        <f>IF(ISNUMBER(B651),"Valid","Invalid")</f>
        <v>Valid</v>
      </c>
      <c r="AM651" s="7" t="str">
        <f t="shared" si="64"/>
        <v>Ok</v>
      </c>
      <c r="AN651" s="7" t="str">
        <f t="shared" si="65"/>
        <v>Ok</v>
      </c>
    </row>
    <row r="652" spans="1:40">
      <c r="A652" t="s">
        <v>2039</v>
      </c>
      <c r="B652" s="6">
        <v>45395</v>
      </c>
      <c r="C652" s="4">
        <v>46150</v>
      </c>
      <c r="D652" t="s">
        <v>378</v>
      </c>
      <c r="E652" t="s">
        <v>128</v>
      </c>
      <c r="F652" t="s">
        <v>95</v>
      </c>
      <c r="G652" t="s">
        <v>38</v>
      </c>
      <c r="H652" t="s">
        <v>145</v>
      </c>
      <c r="I652" t="s">
        <v>146</v>
      </c>
      <c r="J652" t="s">
        <v>74</v>
      </c>
      <c r="K652" t="s">
        <v>75</v>
      </c>
      <c r="L652" t="s">
        <v>2040</v>
      </c>
      <c r="M652" t="s">
        <v>44</v>
      </c>
      <c r="N652">
        <v>7</v>
      </c>
      <c r="O652">
        <v>2648.76</v>
      </c>
      <c r="P652">
        <v>0.15</v>
      </c>
      <c r="Q652" s="7">
        <f>IF(P652="", 0, P652)</f>
        <v>0.15</v>
      </c>
      <c r="R652">
        <v>15760.12</v>
      </c>
      <c r="S652">
        <v>9931.5300000000007</v>
      </c>
      <c r="T652" s="7">
        <f>N652*O652*(1-Q652)</f>
        <v>15760.121999999999</v>
      </c>
      <c r="U652" s="7">
        <f t="shared" si="60"/>
        <v>5828.5919999999987</v>
      </c>
      <c r="V652">
        <v>5828.59</v>
      </c>
      <c r="W652" s="12">
        <f t="shared" si="61"/>
        <v>0.36983165485647884</v>
      </c>
      <c r="X652" t="s">
        <v>155</v>
      </c>
      <c r="Y652" t="str">
        <f t="shared" si="62"/>
        <v>Failed</v>
      </c>
      <c r="Z652" t="s">
        <v>103</v>
      </c>
      <c r="AA652">
        <f>C652-B652</f>
        <v>755</v>
      </c>
      <c r="AB652" t="str">
        <f>IF(B652="","Missing Order Date",
IF(C652="","Missing Ship Date","OK"))</f>
        <v>OK</v>
      </c>
      <c r="AC652" s="7" t="str">
        <f>IF(C652&lt;B652, "Invalid", "Valid")</f>
        <v>Valid</v>
      </c>
      <c r="AD652" s="7" t="str">
        <f>IF(COUNTIF($A:$A, A652)&gt;1, "Duplicate", "Unique")</f>
        <v>Unique</v>
      </c>
      <c r="AE652" s="7" t="str">
        <f>IF(G652="","Unknown",G652)</f>
        <v>East</v>
      </c>
      <c r="AF652" s="7" t="str">
        <f>IF(M652="","Unknown",M652)</f>
        <v>Same Day</v>
      </c>
      <c r="AG652" s="7" t="str">
        <f>IF(P652&lt;0,"Invalid",
IF(P652&gt;1,"Invalid","Valid"))</f>
        <v>Valid</v>
      </c>
      <c r="AH652" s="7" t="str">
        <f>TEXT(B652,"mmmm")</f>
        <v>April</v>
      </c>
      <c r="AI652" s="7">
        <f t="shared" si="63"/>
        <v>2024</v>
      </c>
      <c r="AJ652" s="7" t="str">
        <f>IF(OR(R652&lt;0,C652&lt;B652),"Invalid",
IF(OR(G652="Unknown",M652="Unknown"),"Warning","Clean"))</f>
        <v>Clean</v>
      </c>
      <c r="AK652" s="7" t="str">
        <f>IF(C652&lt;B652,"Ship Before Order","OK")</f>
        <v>OK</v>
      </c>
      <c r="AL652" s="7" t="str">
        <f>IF(ISNUMBER(B652),"Valid","Invalid")</f>
        <v>Valid</v>
      </c>
      <c r="AM652" s="7" t="str">
        <f t="shared" si="64"/>
        <v>Missmatched</v>
      </c>
      <c r="AN652" s="7" t="str">
        <f t="shared" si="65"/>
        <v>Missmatched</v>
      </c>
    </row>
    <row r="653" spans="1:40">
      <c r="A653" t="s">
        <v>2041</v>
      </c>
      <c r="B653" s="6">
        <v>45816</v>
      </c>
      <c r="C653" s="4">
        <v>46151</v>
      </c>
      <c r="D653" t="s">
        <v>2042</v>
      </c>
      <c r="E653" t="s">
        <v>36</v>
      </c>
      <c r="F653" t="s">
        <v>37</v>
      </c>
      <c r="G653" t="s">
        <v>54</v>
      </c>
      <c r="H653" t="s">
        <v>84</v>
      </c>
      <c r="I653" t="s">
        <v>85</v>
      </c>
      <c r="J653" t="s">
        <v>28</v>
      </c>
      <c r="K653" t="s">
        <v>29</v>
      </c>
      <c r="L653" t="s">
        <v>2043</v>
      </c>
      <c r="M653" t="s">
        <v>31</v>
      </c>
      <c r="N653">
        <v>3</v>
      </c>
      <c r="O653">
        <v>598.54999999999995</v>
      </c>
      <c r="P653">
        <v>0</v>
      </c>
      <c r="Q653" s="7">
        <f>IF(P653="", 0, P653)</f>
        <v>0</v>
      </c>
      <c r="R653">
        <v>1795.65</v>
      </c>
      <c r="S653">
        <v>996.72</v>
      </c>
      <c r="T653" s="7">
        <f>N653*O653*(1-Q653)</f>
        <v>1795.6499999999999</v>
      </c>
      <c r="U653" s="7">
        <f t="shared" si="60"/>
        <v>798.92999999999984</v>
      </c>
      <c r="V653">
        <v>798.93</v>
      </c>
      <c r="W653" s="12">
        <f t="shared" si="61"/>
        <v>0.44492523598696843</v>
      </c>
      <c r="X653" t="s">
        <v>32</v>
      </c>
      <c r="Y653" t="str">
        <f t="shared" si="62"/>
        <v>Paid</v>
      </c>
      <c r="Z653" t="s">
        <v>33</v>
      </c>
      <c r="AA653">
        <f>C653-B653</f>
        <v>335</v>
      </c>
      <c r="AB653" t="str">
        <f>IF(B653="","Missing Order Date",
IF(C653="","Missing Ship Date","OK"))</f>
        <v>OK</v>
      </c>
      <c r="AC653" s="7" t="str">
        <f>IF(C653&lt;B653, "Invalid", "Valid")</f>
        <v>Valid</v>
      </c>
      <c r="AD653" s="7" t="str">
        <f>IF(COUNTIF($A:$A, A653)&gt;1, "Duplicate", "Unique")</f>
        <v>Unique</v>
      </c>
      <c r="AE653" s="7" t="str">
        <f>IF(G653="","Unknown",G653)</f>
        <v>South</v>
      </c>
      <c r="AF653" s="7" t="str">
        <f>IF(M653="","Unknown",M653)</f>
        <v>Second Class</v>
      </c>
      <c r="AG653" s="7" t="str">
        <f>IF(P653&lt;0,"Invalid",
IF(P653&gt;1,"Invalid","Valid"))</f>
        <v>Valid</v>
      </c>
      <c r="AH653" s="7" t="str">
        <f>TEXT(B653,"mmmm")</f>
        <v>June</v>
      </c>
      <c r="AI653" s="7">
        <f t="shared" si="63"/>
        <v>2025</v>
      </c>
      <c r="AJ653" s="7" t="str">
        <f>IF(OR(R653&lt;0,C653&lt;B653),"Invalid",
IF(OR(G653="Unknown",M653="Unknown"),"Warning","Clean"))</f>
        <v>Clean</v>
      </c>
      <c r="AK653" s="7" t="str">
        <f>IF(C653&lt;B653,"Ship Before Order","OK")</f>
        <v>OK</v>
      </c>
      <c r="AL653" s="7" t="str">
        <f>IF(ISNUMBER(B653),"Valid","Invalid")</f>
        <v>Valid</v>
      </c>
      <c r="AM653" s="7" t="str">
        <f t="shared" si="64"/>
        <v>Ok</v>
      </c>
      <c r="AN653" s="7" t="str">
        <f t="shared" si="65"/>
        <v>Ok</v>
      </c>
    </row>
    <row r="654" spans="1:40">
      <c r="A654" t="s">
        <v>2044</v>
      </c>
      <c r="B654" s="6">
        <v>45733</v>
      </c>
      <c r="C654" s="4">
        <v>46152</v>
      </c>
      <c r="D654" t="s">
        <v>1688</v>
      </c>
      <c r="E654" t="s">
        <v>132</v>
      </c>
      <c r="F654" t="s">
        <v>24</v>
      </c>
      <c r="G654" t="s">
        <v>25</v>
      </c>
      <c r="H654" t="s">
        <v>136</v>
      </c>
      <c r="I654" t="s">
        <v>137</v>
      </c>
      <c r="J654" t="s">
        <v>28</v>
      </c>
      <c r="K654" t="s">
        <v>153</v>
      </c>
      <c r="L654" t="s">
        <v>2045</v>
      </c>
      <c r="M654" t="s">
        <v>59</v>
      </c>
      <c r="N654">
        <v>5</v>
      </c>
      <c r="O654">
        <v>4320.59</v>
      </c>
      <c r="P654">
        <v>0.15</v>
      </c>
      <c r="Q654" s="7">
        <f>IF(P654="", 0, P654)</f>
        <v>0.15</v>
      </c>
      <c r="R654">
        <v>18362.509999999998</v>
      </c>
      <c r="S654">
        <v>11133.97</v>
      </c>
      <c r="T654" s="7">
        <f>N654*O654*(1-Q654)</f>
        <v>18362.5075</v>
      </c>
      <c r="U654" s="7">
        <f t="shared" si="60"/>
        <v>7228.5375000000004</v>
      </c>
      <c r="V654">
        <v>7228.54</v>
      </c>
      <c r="W654" s="12">
        <f t="shared" si="61"/>
        <v>0.39365742941153326</v>
      </c>
      <c r="X654" t="s">
        <v>32</v>
      </c>
      <c r="Y654" t="str">
        <f t="shared" si="62"/>
        <v>Paid</v>
      </c>
      <c r="Z654" t="s">
        <v>33</v>
      </c>
      <c r="AA654">
        <f>C654-B654</f>
        <v>419</v>
      </c>
      <c r="AB654" t="str">
        <f>IF(B654="","Missing Order Date",
IF(C654="","Missing Ship Date","OK"))</f>
        <v>OK</v>
      </c>
      <c r="AC654" s="7" t="str">
        <f>IF(C654&lt;B654, "Invalid", "Valid")</f>
        <v>Valid</v>
      </c>
      <c r="AD654" s="7" t="str">
        <f>IF(COUNTIF($A:$A, A654)&gt;1, "Duplicate", "Unique")</f>
        <v>Unique</v>
      </c>
      <c r="AE654" s="7" t="str">
        <f>IF(G654="","Unknown",G654)</f>
        <v>North</v>
      </c>
      <c r="AF654" s="7" t="str">
        <f>IF(M654="","Unknown",M654)</f>
        <v>Standard Class</v>
      </c>
      <c r="AG654" s="7" t="str">
        <f>IF(P654&lt;0,"Invalid",
IF(P654&gt;1,"Invalid","Valid"))</f>
        <v>Valid</v>
      </c>
      <c r="AH654" s="7" t="str">
        <f>TEXT(B654,"mmmm")</f>
        <v>March</v>
      </c>
      <c r="AI654" s="7">
        <f t="shared" si="63"/>
        <v>2025</v>
      </c>
      <c r="AJ654" s="7" t="str">
        <f>IF(OR(R654&lt;0,C654&lt;B654),"Invalid",
IF(OR(G654="Unknown",M654="Unknown"),"Warning","Clean"))</f>
        <v>Clean</v>
      </c>
      <c r="AK654" s="7" t="str">
        <f>IF(C654&lt;B654,"Ship Before Order","OK")</f>
        <v>OK</v>
      </c>
      <c r="AL654" s="7" t="str">
        <f>IF(ISNUMBER(B654),"Valid","Invalid")</f>
        <v>Valid</v>
      </c>
      <c r="AM654" s="7" t="str">
        <f t="shared" si="64"/>
        <v>Missmatched</v>
      </c>
      <c r="AN654" s="7" t="str">
        <f t="shared" si="65"/>
        <v>Missmatched</v>
      </c>
    </row>
    <row r="655" spans="1:40">
      <c r="A655" t="s">
        <v>2046</v>
      </c>
      <c r="B655" s="6">
        <v>45751</v>
      </c>
      <c r="C655" s="4">
        <v>46153</v>
      </c>
      <c r="D655" t="s">
        <v>2047</v>
      </c>
      <c r="E655" t="s">
        <v>114</v>
      </c>
      <c r="F655" t="s">
        <v>37</v>
      </c>
      <c r="G655" t="s">
        <v>54</v>
      </c>
      <c r="H655" t="s">
        <v>247</v>
      </c>
      <c r="I655" t="s">
        <v>248</v>
      </c>
      <c r="J655" t="s">
        <v>74</v>
      </c>
      <c r="K655" t="s">
        <v>80</v>
      </c>
      <c r="L655" t="s">
        <v>2048</v>
      </c>
      <c r="M655" t="s">
        <v>31</v>
      </c>
      <c r="N655">
        <v>7</v>
      </c>
      <c r="O655">
        <v>4457.93</v>
      </c>
      <c r="P655">
        <v>0.15</v>
      </c>
      <c r="Q655" s="7">
        <f>IF(P655="", 0, P655)</f>
        <v>0.15</v>
      </c>
      <c r="R655">
        <v>26524.68</v>
      </c>
      <c r="S655">
        <v>20574.3</v>
      </c>
      <c r="T655" s="7">
        <f>N655*O655*(1-Q655)</f>
        <v>26524.683500000003</v>
      </c>
      <c r="U655" s="7">
        <f t="shared" si="60"/>
        <v>5950.3835000000036</v>
      </c>
      <c r="V655">
        <v>5950.38</v>
      </c>
      <c r="W655" s="12">
        <f t="shared" si="61"/>
        <v>0.22433381721595294</v>
      </c>
      <c r="X655" t="s">
        <v>32</v>
      </c>
      <c r="Y655" t="str">
        <f t="shared" si="62"/>
        <v>Paid</v>
      </c>
      <c r="Z655" t="s">
        <v>33</v>
      </c>
      <c r="AA655">
        <f>C655-B655</f>
        <v>402</v>
      </c>
      <c r="AB655" t="str">
        <f>IF(B655="","Missing Order Date",
IF(C655="","Missing Ship Date","OK"))</f>
        <v>OK</v>
      </c>
      <c r="AC655" s="7" t="str">
        <f>IF(C655&lt;B655, "Invalid", "Valid")</f>
        <v>Valid</v>
      </c>
      <c r="AD655" s="7" t="str">
        <f>IF(COUNTIF($A:$A, A655)&gt;1, "Duplicate", "Unique")</f>
        <v>Unique</v>
      </c>
      <c r="AE655" s="7" t="str">
        <f>IF(G655="","Unknown",G655)</f>
        <v>South</v>
      </c>
      <c r="AF655" s="7" t="str">
        <f>IF(M655="","Unknown",M655)</f>
        <v>Second Class</v>
      </c>
      <c r="AG655" s="7" t="str">
        <f>IF(P655&lt;0,"Invalid",
IF(P655&gt;1,"Invalid","Valid"))</f>
        <v>Valid</v>
      </c>
      <c r="AH655" s="7" t="str">
        <f>TEXT(B655,"mmmm")</f>
        <v>April</v>
      </c>
      <c r="AI655" s="7">
        <f t="shared" si="63"/>
        <v>2025</v>
      </c>
      <c r="AJ655" s="7" t="str">
        <f>IF(OR(R655&lt;0,C655&lt;B655),"Invalid",
IF(OR(G655="Unknown",M655="Unknown"),"Warning","Clean"))</f>
        <v>Clean</v>
      </c>
      <c r="AK655" s="7" t="str">
        <f>IF(C655&lt;B655,"Ship Before Order","OK")</f>
        <v>OK</v>
      </c>
      <c r="AL655" s="7" t="str">
        <f>IF(ISNUMBER(B655),"Valid","Invalid")</f>
        <v>Valid</v>
      </c>
      <c r="AM655" s="7" t="str">
        <f t="shared" si="64"/>
        <v>Missmatched</v>
      </c>
      <c r="AN655" s="7" t="str">
        <f t="shared" si="65"/>
        <v>Missmatched</v>
      </c>
    </row>
    <row r="656" spans="1:40">
      <c r="A656" t="s">
        <v>2049</v>
      </c>
      <c r="B656" s="6">
        <v>46001</v>
      </c>
      <c r="C656" s="4">
        <v>46154</v>
      </c>
      <c r="D656" t="s">
        <v>927</v>
      </c>
      <c r="E656" t="s">
        <v>162</v>
      </c>
      <c r="F656" t="s">
        <v>90</v>
      </c>
      <c r="G656" t="s">
        <v>38</v>
      </c>
      <c r="H656" t="s">
        <v>145</v>
      </c>
      <c r="I656" t="s">
        <v>146</v>
      </c>
      <c r="J656" t="s">
        <v>74</v>
      </c>
      <c r="K656" t="s">
        <v>274</v>
      </c>
      <c r="L656" t="s">
        <v>2050</v>
      </c>
      <c r="M656" t="s">
        <v>44</v>
      </c>
      <c r="N656">
        <v>1</v>
      </c>
      <c r="O656">
        <v>2570.06</v>
      </c>
      <c r="P656">
        <v>0.2</v>
      </c>
      <c r="Q656" s="7">
        <f>IF(P656="", 0, P656)</f>
        <v>0.2</v>
      </c>
      <c r="R656">
        <v>2056.0500000000002</v>
      </c>
      <c r="S656">
        <v>1662.39</v>
      </c>
      <c r="T656" s="7">
        <f>N656*O656*(1-Q656)</f>
        <v>2056.0480000000002</v>
      </c>
      <c r="U656" s="7">
        <f t="shared" si="60"/>
        <v>393.65800000000013</v>
      </c>
      <c r="V656">
        <v>393.66</v>
      </c>
      <c r="W656" s="12">
        <f t="shared" si="61"/>
        <v>0.19146342886936496</v>
      </c>
      <c r="X656" t="s">
        <v>32</v>
      </c>
      <c r="Y656" t="str">
        <f t="shared" si="62"/>
        <v>Paid</v>
      </c>
      <c r="Z656" t="s">
        <v>33</v>
      </c>
      <c r="AA656">
        <f>C656-B656</f>
        <v>153</v>
      </c>
      <c r="AB656" t="str">
        <f>IF(B656="","Missing Order Date",
IF(C656="","Missing Ship Date","OK"))</f>
        <v>OK</v>
      </c>
      <c r="AC656" s="7" t="str">
        <f>IF(C656&lt;B656, "Invalid", "Valid")</f>
        <v>Valid</v>
      </c>
      <c r="AD656" s="7" t="str">
        <f>IF(COUNTIF($A:$A, A656)&gt;1, "Duplicate", "Unique")</f>
        <v>Unique</v>
      </c>
      <c r="AE656" s="7" t="str">
        <f>IF(G656="","Unknown",G656)</f>
        <v>East</v>
      </c>
      <c r="AF656" s="7" t="str">
        <f>IF(M656="","Unknown",M656)</f>
        <v>Same Day</v>
      </c>
      <c r="AG656" s="7" t="str">
        <f>IF(P656&lt;0,"Invalid",
IF(P656&gt;1,"Invalid","Valid"))</f>
        <v>Valid</v>
      </c>
      <c r="AH656" s="7" t="str">
        <f>TEXT(B656,"mmmm")</f>
        <v>December</v>
      </c>
      <c r="AI656" s="7">
        <f t="shared" si="63"/>
        <v>2025</v>
      </c>
      <c r="AJ656" s="7" t="str">
        <f>IF(OR(R656&lt;0,C656&lt;B656),"Invalid",
IF(OR(G656="Unknown",M656="Unknown"),"Warning","Clean"))</f>
        <v>Clean</v>
      </c>
      <c r="AK656" s="7" t="str">
        <f>IF(C656&lt;B656,"Ship Before Order","OK")</f>
        <v>OK</v>
      </c>
      <c r="AL656" s="7" t="str">
        <f>IF(ISNUMBER(B656),"Valid","Invalid")</f>
        <v>Valid</v>
      </c>
      <c r="AM656" s="7" t="str">
        <f t="shared" si="64"/>
        <v>Missmatched</v>
      </c>
      <c r="AN656" s="7" t="str">
        <f t="shared" si="65"/>
        <v>Missmatched</v>
      </c>
    </row>
    <row r="657" spans="1:40">
      <c r="A657" t="s">
        <v>2051</v>
      </c>
      <c r="B657" s="6">
        <v>45895</v>
      </c>
      <c r="C657" s="4">
        <v>46155</v>
      </c>
      <c r="D657" t="s">
        <v>2052</v>
      </c>
      <c r="E657" t="s">
        <v>79</v>
      </c>
      <c r="F657" t="s">
        <v>95</v>
      </c>
      <c r="G657" t="s">
        <v>38</v>
      </c>
      <c r="H657" t="s">
        <v>99</v>
      </c>
      <c r="I657" t="s">
        <v>100</v>
      </c>
      <c r="J657" t="s">
        <v>41</v>
      </c>
      <c r="K657" t="s">
        <v>57</v>
      </c>
      <c r="L657" t="s">
        <v>2053</v>
      </c>
      <c r="M657" t="s">
        <v>59</v>
      </c>
      <c r="N657">
        <v>4</v>
      </c>
      <c r="O657">
        <v>2151.8200000000002</v>
      </c>
      <c r="P657">
        <v>0</v>
      </c>
      <c r="Q657" s="7">
        <f>IF(P657="", 0, P657)</f>
        <v>0</v>
      </c>
      <c r="R657">
        <v>8607.2800000000007</v>
      </c>
      <c r="S657">
        <v>5124.01</v>
      </c>
      <c r="T657" s="7">
        <f>N657*O657*(1-Q657)</f>
        <v>8607.2800000000007</v>
      </c>
      <c r="U657" s="7">
        <f t="shared" si="60"/>
        <v>3483.2700000000004</v>
      </c>
      <c r="V657">
        <v>3483.27</v>
      </c>
      <c r="W657" s="12">
        <f t="shared" si="61"/>
        <v>0.40468882155570635</v>
      </c>
      <c r="X657" t="s">
        <v>32</v>
      </c>
      <c r="Y657" t="str">
        <f t="shared" si="62"/>
        <v>Paid</v>
      </c>
      <c r="Z657" t="s">
        <v>33</v>
      </c>
      <c r="AA657">
        <f>C657-B657</f>
        <v>260</v>
      </c>
      <c r="AB657" t="str">
        <f>IF(B657="","Missing Order Date",
IF(C657="","Missing Ship Date","OK"))</f>
        <v>OK</v>
      </c>
      <c r="AC657" s="7" t="str">
        <f>IF(C657&lt;B657, "Invalid", "Valid")</f>
        <v>Valid</v>
      </c>
      <c r="AD657" s="7" t="str">
        <f>IF(COUNTIF($A:$A, A657)&gt;1, "Duplicate", "Unique")</f>
        <v>Unique</v>
      </c>
      <c r="AE657" s="7" t="str">
        <f>IF(G657="","Unknown",G657)</f>
        <v>East</v>
      </c>
      <c r="AF657" s="7" t="str">
        <f>IF(M657="","Unknown",M657)</f>
        <v>Standard Class</v>
      </c>
      <c r="AG657" s="7" t="str">
        <f>IF(P657&lt;0,"Invalid",
IF(P657&gt;1,"Invalid","Valid"))</f>
        <v>Valid</v>
      </c>
      <c r="AH657" s="7" t="str">
        <f>TEXT(B657,"mmmm")</f>
        <v>August</v>
      </c>
      <c r="AI657" s="7">
        <f t="shared" si="63"/>
        <v>2025</v>
      </c>
      <c r="AJ657" s="7" t="str">
        <f>IF(OR(R657&lt;0,C657&lt;B657),"Invalid",
IF(OR(G657="Unknown",M657="Unknown"),"Warning","Clean"))</f>
        <v>Clean</v>
      </c>
      <c r="AK657" s="7" t="str">
        <f>IF(C657&lt;B657,"Ship Before Order","OK")</f>
        <v>OK</v>
      </c>
      <c r="AL657" s="7" t="str">
        <f>IF(ISNUMBER(B657),"Valid","Invalid")</f>
        <v>Valid</v>
      </c>
      <c r="AM657" s="7" t="str">
        <f t="shared" si="64"/>
        <v>Ok</v>
      </c>
      <c r="AN657" s="7" t="str">
        <f t="shared" si="65"/>
        <v>Ok</v>
      </c>
    </row>
    <row r="658" spans="1:40">
      <c r="A658" t="s">
        <v>2054</v>
      </c>
      <c r="B658" s="6">
        <v>45419</v>
      </c>
      <c r="C658" s="4">
        <v>46156</v>
      </c>
      <c r="D658" t="s">
        <v>2055</v>
      </c>
      <c r="E658" t="s">
        <v>79</v>
      </c>
      <c r="F658" t="s">
        <v>37</v>
      </c>
      <c r="G658" t="s">
        <v>25</v>
      </c>
      <c r="H658" t="s">
        <v>236</v>
      </c>
      <c r="I658" t="s">
        <v>237</v>
      </c>
      <c r="J658" t="s">
        <v>74</v>
      </c>
      <c r="K658" t="s">
        <v>274</v>
      </c>
      <c r="L658" t="s">
        <v>2056</v>
      </c>
      <c r="M658" t="s">
        <v>44</v>
      </c>
      <c r="N658">
        <v>4</v>
      </c>
      <c r="O658">
        <v>2751.1</v>
      </c>
      <c r="P658">
        <v>-0.05</v>
      </c>
      <c r="Q658" s="7">
        <f>IF(P658="", 0, P658)</f>
        <v>-0.05</v>
      </c>
      <c r="R658">
        <v>9903.9599999999991</v>
      </c>
      <c r="S658">
        <v>7696.28</v>
      </c>
      <c r="T658" s="7">
        <f>N658*O658*(1-Q658)</f>
        <v>11554.62</v>
      </c>
      <c r="U658" s="7">
        <f t="shared" si="60"/>
        <v>3858.3400000000011</v>
      </c>
      <c r="V658">
        <v>2207.6799999999998</v>
      </c>
      <c r="W658" s="12">
        <f t="shared" si="61"/>
        <v>0.33392184251840396</v>
      </c>
      <c r="X658" t="s">
        <v>32</v>
      </c>
      <c r="Y658" t="str">
        <f t="shared" si="62"/>
        <v>Paid</v>
      </c>
      <c r="Z658" t="s">
        <v>33</v>
      </c>
      <c r="AA658">
        <f>C658-B658</f>
        <v>737</v>
      </c>
      <c r="AB658" t="str">
        <f>IF(B658="","Missing Order Date",
IF(C658="","Missing Ship Date","OK"))</f>
        <v>OK</v>
      </c>
      <c r="AC658" s="7" t="str">
        <f>IF(C658&lt;B658, "Invalid", "Valid")</f>
        <v>Valid</v>
      </c>
      <c r="AD658" s="7" t="str">
        <f>IF(COUNTIF($A:$A, A658)&gt;1, "Duplicate", "Unique")</f>
        <v>Unique</v>
      </c>
      <c r="AE658" s="7" t="str">
        <f>IF(G658="","Unknown",G658)</f>
        <v>North</v>
      </c>
      <c r="AF658" s="7" t="str">
        <f>IF(M658="","Unknown",M658)</f>
        <v>Same Day</v>
      </c>
      <c r="AG658" s="7" t="str">
        <f>IF(P658&lt;0,"Invalid",
IF(P658&gt;1,"Invalid","Valid"))</f>
        <v>Invalid</v>
      </c>
      <c r="AH658" s="7" t="str">
        <f>TEXT(B658,"mmmm")</f>
        <v>May</v>
      </c>
      <c r="AI658" s="7">
        <f t="shared" si="63"/>
        <v>2024</v>
      </c>
      <c r="AJ658" s="7" t="str">
        <f>IF(OR(R658&lt;0,C658&lt;B658),"Invalid",
IF(OR(G658="Unknown",M658="Unknown"),"Warning","Clean"))</f>
        <v>Clean</v>
      </c>
      <c r="AK658" s="7" t="str">
        <f>IF(C658&lt;B658,"Ship Before Order","OK")</f>
        <v>OK</v>
      </c>
      <c r="AL658" s="7" t="str">
        <f>IF(ISNUMBER(B658),"Valid","Invalid")</f>
        <v>Valid</v>
      </c>
      <c r="AM658" s="7" t="str">
        <f t="shared" si="64"/>
        <v>Missmatched</v>
      </c>
      <c r="AN658" s="7" t="str">
        <f t="shared" si="65"/>
        <v>Missmatched</v>
      </c>
    </row>
    <row r="659" spans="1:40">
      <c r="A659" t="s">
        <v>2057</v>
      </c>
      <c r="B659" s="6">
        <v>45846</v>
      </c>
      <c r="C659" s="4">
        <v>46157</v>
      </c>
      <c r="D659" t="s">
        <v>2058</v>
      </c>
      <c r="E659" t="s">
        <v>89</v>
      </c>
      <c r="F659" t="s">
        <v>95</v>
      </c>
      <c r="G659" t="s">
        <v>38</v>
      </c>
      <c r="H659" t="s">
        <v>145</v>
      </c>
      <c r="I659" t="s">
        <v>146</v>
      </c>
      <c r="J659" t="s">
        <v>28</v>
      </c>
      <c r="K659" t="s">
        <v>124</v>
      </c>
      <c r="L659" t="s">
        <v>2059</v>
      </c>
      <c r="M659" t="s">
        <v>31</v>
      </c>
      <c r="N659">
        <v>1</v>
      </c>
      <c r="O659">
        <v>2541.25</v>
      </c>
      <c r="P659">
        <v>0.2</v>
      </c>
      <c r="Q659" s="7">
        <f>IF(P659="", 0, P659)</f>
        <v>0.2</v>
      </c>
      <c r="R659">
        <v>2033</v>
      </c>
      <c r="S659">
        <v>1291.4100000000001</v>
      </c>
      <c r="T659" s="7">
        <f>N659*O659*(1-Q659)</f>
        <v>2033</v>
      </c>
      <c r="U659" s="7">
        <f t="shared" si="60"/>
        <v>741.58999999999992</v>
      </c>
      <c r="V659">
        <v>741.59</v>
      </c>
      <c r="W659" s="12">
        <f t="shared" si="61"/>
        <v>0.36477619281849477</v>
      </c>
      <c r="X659" t="s">
        <v>32</v>
      </c>
      <c r="Y659" t="str">
        <f t="shared" si="62"/>
        <v>Paid</v>
      </c>
      <c r="Z659" t="s">
        <v>33</v>
      </c>
      <c r="AA659">
        <f>C659-B659</f>
        <v>311</v>
      </c>
      <c r="AB659" t="str">
        <f>IF(B659="","Missing Order Date",
IF(C659="","Missing Ship Date","OK"))</f>
        <v>OK</v>
      </c>
      <c r="AC659" s="7" t="str">
        <f>IF(C659&lt;B659, "Invalid", "Valid")</f>
        <v>Valid</v>
      </c>
      <c r="AD659" s="7" t="str">
        <f>IF(COUNTIF($A:$A, A659)&gt;1, "Duplicate", "Unique")</f>
        <v>Unique</v>
      </c>
      <c r="AE659" s="7" t="str">
        <f>IF(G659="","Unknown",G659)</f>
        <v>East</v>
      </c>
      <c r="AF659" s="7" t="str">
        <f>IF(M659="","Unknown",M659)</f>
        <v>Second Class</v>
      </c>
      <c r="AG659" s="7" t="str">
        <f>IF(P659&lt;0,"Invalid",
IF(P659&gt;1,"Invalid","Valid"))</f>
        <v>Valid</v>
      </c>
      <c r="AH659" s="7" t="str">
        <f>TEXT(B659,"mmmm")</f>
        <v>July</v>
      </c>
      <c r="AI659" s="7">
        <f t="shared" si="63"/>
        <v>2025</v>
      </c>
      <c r="AJ659" s="7" t="str">
        <f>IF(OR(R659&lt;0,C659&lt;B659),"Invalid",
IF(OR(G659="Unknown",M659="Unknown"),"Warning","Clean"))</f>
        <v>Clean</v>
      </c>
      <c r="AK659" s="7" t="str">
        <f>IF(C659&lt;B659,"Ship Before Order","OK")</f>
        <v>OK</v>
      </c>
      <c r="AL659" s="7" t="str">
        <f>IF(ISNUMBER(B659),"Valid","Invalid")</f>
        <v>Valid</v>
      </c>
      <c r="AM659" s="7" t="str">
        <f t="shared" si="64"/>
        <v>Ok</v>
      </c>
      <c r="AN659" s="7" t="str">
        <f t="shared" si="65"/>
        <v>Ok</v>
      </c>
    </row>
    <row r="660" spans="1:40">
      <c r="A660" t="s">
        <v>2060</v>
      </c>
      <c r="B660" s="6">
        <v>45906</v>
      </c>
      <c r="C660" s="4">
        <v>46158</v>
      </c>
      <c r="D660" t="s">
        <v>2061</v>
      </c>
      <c r="E660" t="s">
        <v>132</v>
      </c>
      <c r="F660" t="s">
        <v>24</v>
      </c>
      <c r="G660" t="s">
        <v>2785</v>
      </c>
      <c r="H660" t="s">
        <v>145</v>
      </c>
      <c r="I660" t="s">
        <v>146</v>
      </c>
      <c r="J660" t="s">
        <v>28</v>
      </c>
      <c r="K660" t="s">
        <v>48</v>
      </c>
      <c r="L660" t="s">
        <v>2062</v>
      </c>
      <c r="M660" t="s">
        <v>50</v>
      </c>
      <c r="N660">
        <v>7</v>
      </c>
      <c r="O660">
        <v>2852.42</v>
      </c>
      <c r="P660">
        <v>0</v>
      </c>
      <c r="Q660" s="7">
        <f>IF(P660="", 0, P660)</f>
        <v>0</v>
      </c>
      <c r="R660">
        <v>19966.939999999999</v>
      </c>
      <c r="S660">
        <v>12690.83</v>
      </c>
      <c r="T660" s="7">
        <f>N660*O660*(1-Q660)</f>
        <v>19966.940000000002</v>
      </c>
      <c r="U660" s="7">
        <f t="shared" si="60"/>
        <v>7276.1100000000024</v>
      </c>
      <c r="V660">
        <v>7276.11</v>
      </c>
      <c r="W660" s="12">
        <f t="shared" si="61"/>
        <v>0.36440786620283339</v>
      </c>
      <c r="X660" t="s">
        <v>102</v>
      </c>
      <c r="Y660" t="str">
        <f t="shared" si="62"/>
        <v>Refunded</v>
      </c>
      <c r="Z660" t="s">
        <v>68</v>
      </c>
      <c r="AA660">
        <f>C660-B660</f>
        <v>252</v>
      </c>
      <c r="AB660" t="str">
        <f>IF(B660="","Missing Order Date",
IF(C660="","Missing Ship Date","OK"))</f>
        <v>OK</v>
      </c>
      <c r="AC660" s="7" t="str">
        <f>IF(C660&lt;B660, "Invalid", "Valid")</f>
        <v>Valid</v>
      </c>
      <c r="AD660" s="7" t="str">
        <f>IF(COUNTIF($A:$A, A660)&gt;1, "Duplicate", "Unique")</f>
        <v>Unique</v>
      </c>
      <c r="AE660" s="7" t="str">
        <f>IF(G660="","Unknown",G660)</f>
        <v>Unknown</v>
      </c>
      <c r="AF660" s="7" t="str">
        <f>IF(M660="","Unknown",M660)</f>
        <v>First Class</v>
      </c>
      <c r="AG660" s="7" t="str">
        <f>IF(P660&lt;0,"Invalid",
IF(P660&gt;1,"Invalid","Valid"))</f>
        <v>Valid</v>
      </c>
      <c r="AH660" s="7" t="str">
        <f>TEXT(B660,"mmmm")</f>
        <v>September</v>
      </c>
      <c r="AI660" s="7">
        <f t="shared" si="63"/>
        <v>2025</v>
      </c>
      <c r="AJ660" s="7" t="str">
        <f>IF(OR(R660&lt;0,C660&lt;B660),"Invalid",
IF(OR(G660="Unknown",M660="Unknown"),"Warning","Clean"))</f>
        <v>Clean</v>
      </c>
      <c r="AK660" s="7" t="str">
        <f>IF(C660&lt;B660,"Ship Before Order","OK")</f>
        <v>OK</v>
      </c>
      <c r="AL660" s="7" t="str">
        <f>IF(ISNUMBER(B660),"Valid","Invalid")</f>
        <v>Valid</v>
      </c>
      <c r="AM660" s="7" t="str">
        <f t="shared" si="64"/>
        <v>Ok</v>
      </c>
      <c r="AN660" s="7" t="str">
        <f t="shared" si="65"/>
        <v>Ok</v>
      </c>
    </row>
    <row r="661" spans="1:40">
      <c r="A661" t="s">
        <v>2063</v>
      </c>
      <c r="B661" s="6">
        <v>45678</v>
      </c>
      <c r="C661" s="4">
        <v>46159</v>
      </c>
      <c r="D661" t="s">
        <v>2064</v>
      </c>
      <c r="E661" t="s">
        <v>162</v>
      </c>
      <c r="F661" t="s">
        <v>90</v>
      </c>
      <c r="G661" t="s">
        <v>54</v>
      </c>
      <c r="H661" t="s">
        <v>175</v>
      </c>
      <c r="I661" t="s">
        <v>176</v>
      </c>
      <c r="J661" t="s">
        <v>74</v>
      </c>
      <c r="K661" t="s">
        <v>171</v>
      </c>
      <c r="L661" t="s">
        <v>2065</v>
      </c>
      <c r="M661" t="s">
        <v>31</v>
      </c>
      <c r="N661">
        <v>2</v>
      </c>
      <c r="O661">
        <v>444.31</v>
      </c>
      <c r="P661">
        <v>0.2</v>
      </c>
      <c r="Q661" s="7">
        <f>IF(P661="", 0, P661)</f>
        <v>0.2</v>
      </c>
      <c r="R661">
        <v>710.9</v>
      </c>
      <c r="S661">
        <v>513.88</v>
      </c>
      <c r="T661" s="7">
        <f>N661*O661*(1-Q661)</f>
        <v>710.89600000000007</v>
      </c>
      <c r="U661" s="7">
        <f t="shared" si="60"/>
        <v>197.01600000000008</v>
      </c>
      <c r="V661">
        <v>197.02</v>
      </c>
      <c r="W661" s="12">
        <f t="shared" si="61"/>
        <v>0.27713758411919615</v>
      </c>
      <c r="X661" t="s">
        <v>102</v>
      </c>
      <c r="Y661" t="str">
        <f t="shared" si="62"/>
        <v>Refunded</v>
      </c>
      <c r="Z661" t="s">
        <v>68</v>
      </c>
      <c r="AA661">
        <f>C661-B661</f>
        <v>481</v>
      </c>
      <c r="AB661" t="str">
        <f>IF(B661="","Missing Order Date",
IF(C661="","Missing Ship Date","OK"))</f>
        <v>OK</v>
      </c>
      <c r="AC661" s="7" t="str">
        <f>IF(C661&lt;B661, "Invalid", "Valid")</f>
        <v>Valid</v>
      </c>
      <c r="AD661" s="7" t="str">
        <f>IF(COUNTIF($A:$A, A661)&gt;1, "Duplicate", "Unique")</f>
        <v>Unique</v>
      </c>
      <c r="AE661" s="7" t="str">
        <f>IF(G661="","Unknown",G661)</f>
        <v>South</v>
      </c>
      <c r="AF661" s="7" t="str">
        <f>IF(M661="","Unknown",M661)</f>
        <v>Second Class</v>
      </c>
      <c r="AG661" s="7" t="str">
        <f>IF(P661&lt;0,"Invalid",
IF(P661&gt;1,"Invalid","Valid"))</f>
        <v>Valid</v>
      </c>
      <c r="AH661" s="7" t="str">
        <f>TEXT(B661,"mmmm")</f>
        <v>January</v>
      </c>
      <c r="AI661" s="7">
        <f t="shared" si="63"/>
        <v>2025</v>
      </c>
      <c r="AJ661" s="7" t="str">
        <f>IF(OR(R661&lt;0,C661&lt;B661),"Invalid",
IF(OR(G661="Unknown",M661="Unknown"),"Warning","Clean"))</f>
        <v>Clean</v>
      </c>
      <c r="AK661" s="7" t="str">
        <f>IF(C661&lt;B661,"Ship Before Order","OK")</f>
        <v>OK</v>
      </c>
      <c r="AL661" s="7" t="str">
        <f>IF(ISNUMBER(B661),"Valid","Invalid")</f>
        <v>Valid</v>
      </c>
      <c r="AM661" s="7" t="str">
        <f t="shared" si="64"/>
        <v>Missmatched</v>
      </c>
      <c r="AN661" s="7" t="str">
        <f t="shared" si="65"/>
        <v>Missmatched</v>
      </c>
    </row>
    <row r="662" spans="1:40">
      <c r="A662" t="s">
        <v>2066</v>
      </c>
      <c r="B662" s="6">
        <v>45853</v>
      </c>
      <c r="C662" s="4">
        <v>46160</v>
      </c>
      <c r="D662" t="s">
        <v>2067</v>
      </c>
      <c r="E662" t="s">
        <v>53</v>
      </c>
      <c r="F662" t="s">
        <v>37</v>
      </c>
      <c r="G662" t="s">
        <v>38</v>
      </c>
      <c r="H662" t="s">
        <v>228</v>
      </c>
      <c r="I662" t="s">
        <v>229</v>
      </c>
      <c r="J662" t="s">
        <v>74</v>
      </c>
      <c r="K662" t="s">
        <v>171</v>
      </c>
      <c r="L662" t="s">
        <v>2068</v>
      </c>
      <c r="M662" t="s">
        <v>44</v>
      </c>
      <c r="N662">
        <v>4</v>
      </c>
      <c r="O662">
        <v>4442.91</v>
      </c>
      <c r="P662">
        <v>0.1</v>
      </c>
      <c r="Q662" s="7">
        <f>IF(P662="", 0, P662)</f>
        <v>0.1</v>
      </c>
      <c r="R662">
        <v>15994.48</v>
      </c>
      <c r="S662">
        <v>9224.2800000000007</v>
      </c>
      <c r="T662" s="7">
        <f>N662*O662*(1-Q662)</f>
        <v>15994.476000000001</v>
      </c>
      <c r="U662" s="7">
        <f t="shared" si="60"/>
        <v>6770.1959999999999</v>
      </c>
      <c r="V662">
        <v>6770.2</v>
      </c>
      <c r="W662" s="12">
        <f t="shared" si="61"/>
        <v>0.42328338858991066</v>
      </c>
      <c r="X662" t="s">
        <v>32</v>
      </c>
      <c r="Y662" t="str">
        <f t="shared" si="62"/>
        <v>Paid</v>
      </c>
      <c r="Z662" t="s">
        <v>33</v>
      </c>
      <c r="AA662">
        <f>C662-B662</f>
        <v>307</v>
      </c>
      <c r="AB662" t="str">
        <f>IF(B662="","Missing Order Date",
IF(C662="","Missing Ship Date","OK"))</f>
        <v>OK</v>
      </c>
      <c r="AC662" s="7" t="str">
        <f>IF(C662&lt;B662, "Invalid", "Valid")</f>
        <v>Valid</v>
      </c>
      <c r="AD662" s="7" t="str">
        <f>IF(COUNTIF($A:$A, A662)&gt;1, "Duplicate", "Unique")</f>
        <v>Unique</v>
      </c>
      <c r="AE662" s="7" t="str">
        <f>IF(G662="","Unknown",G662)</f>
        <v>East</v>
      </c>
      <c r="AF662" s="7" t="str">
        <f>IF(M662="","Unknown",M662)</f>
        <v>Same Day</v>
      </c>
      <c r="AG662" s="7" t="str">
        <f>IF(P662&lt;0,"Invalid",
IF(P662&gt;1,"Invalid","Valid"))</f>
        <v>Valid</v>
      </c>
      <c r="AH662" s="7" t="str">
        <f>TEXT(B662,"mmmm")</f>
        <v>July</v>
      </c>
      <c r="AI662" s="7">
        <f t="shared" si="63"/>
        <v>2025</v>
      </c>
      <c r="AJ662" s="7" t="str">
        <f>IF(OR(R662&lt;0,C662&lt;B662),"Invalid",
IF(OR(G662="Unknown",M662="Unknown"),"Warning","Clean"))</f>
        <v>Clean</v>
      </c>
      <c r="AK662" s="7" t="str">
        <f>IF(C662&lt;B662,"Ship Before Order","OK")</f>
        <v>OK</v>
      </c>
      <c r="AL662" s="7" t="str">
        <f>IF(ISNUMBER(B662),"Valid","Invalid")</f>
        <v>Valid</v>
      </c>
      <c r="AM662" s="7" t="str">
        <f t="shared" si="64"/>
        <v>Missmatched</v>
      </c>
      <c r="AN662" s="7" t="str">
        <f t="shared" si="65"/>
        <v>Missmatched</v>
      </c>
    </row>
    <row r="663" spans="1:40">
      <c r="A663" t="s">
        <v>2069</v>
      </c>
      <c r="B663" s="6">
        <v>45429</v>
      </c>
      <c r="C663" s="4">
        <v>46161</v>
      </c>
      <c r="D663" t="s">
        <v>2070</v>
      </c>
      <c r="E663" t="s">
        <v>132</v>
      </c>
      <c r="F663" t="s">
        <v>24</v>
      </c>
      <c r="G663" t="s">
        <v>54</v>
      </c>
      <c r="H663" t="s">
        <v>84</v>
      </c>
      <c r="I663" t="s">
        <v>85</v>
      </c>
      <c r="J663" t="s">
        <v>74</v>
      </c>
      <c r="K663" t="s">
        <v>274</v>
      </c>
      <c r="L663" t="s">
        <v>2071</v>
      </c>
      <c r="M663" t="s">
        <v>31</v>
      </c>
      <c r="N663">
        <v>7</v>
      </c>
      <c r="O663">
        <v>232.5</v>
      </c>
      <c r="P663">
        <v>0</v>
      </c>
      <c r="Q663" s="7">
        <f>IF(P663="", 0, P663)</f>
        <v>0</v>
      </c>
      <c r="R663">
        <v>1627.5</v>
      </c>
      <c r="S663">
        <v>939.9</v>
      </c>
      <c r="T663" s="7">
        <f>N663*O663*(1-Q663)</f>
        <v>1627.5</v>
      </c>
      <c r="U663" s="7">
        <f t="shared" si="60"/>
        <v>687.6</v>
      </c>
      <c r="V663">
        <v>687.6</v>
      </c>
      <c r="W663" s="12">
        <f t="shared" si="61"/>
        <v>0.4224884792626728</v>
      </c>
      <c r="X663" t="s">
        <v>32</v>
      </c>
      <c r="Y663" t="str">
        <f t="shared" si="62"/>
        <v>Paid</v>
      </c>
      <c r="Z663" t="s">
        <v>33</v>
      </c>
      <c r="AA663">
        <f>C663-B663</f>
        <v>732</v>
      </c>
      <c r="AB663" t="str">
        <f>IF(B663="","Missing Order Date",
IF(C663="","Missing Ship Date","OK"))</f>
        <v>OK</v>
      </c>
      <c r="AC663" s="7" t="str">
        <f>IF(C663&lt;B663, "Invalid", "Valid")</f>
        <v>Valid</v>
      </c>
      <c r="AD663" s="7" t="str">
        <f>IF(COUNTIF($A:$A, A663)&gt;1, "Duplicate", "Unique")</f>
        <v>Unique</v>
      </c>
      <c r="AE663" s="7" t="str">
        <f>IF(G663="","Unknown",G663)</f>
        <v>South</v>
      </c>
      <c r="AF663" s="7" t="str">
        <f>IF(M663="","Unknown",M663)</f>
        <v>Second Class</v>
      </c>
      <c r="AG663" s="7" t="str">
        <f>IF(P663&lt;0,"Invalid",
IF(P663&gt;1,"Invalid","Valid"))</f>
        <v>Valid</v>
      </c>
      <c r="AH663" s="7" t="str">
        <f>TEXT(B663,"mmmm")</f>
        <v>May</v>
      </c>
      <c r="AI663" s="7">
        <f t="shared" si="63"/>
        <v>2024</v>
      </c>
      <c r="AJ663" s="7" t="str">
        <f>IF(OR(R663&lt;0,C663&lt;B663),"Invalid",
IF(OR(G663="Unknown",M663="Unknown"),"Warning","Clean"))</f>
        <v>Clean</v>
      </c>
      <c r="AK663" s="7" t="str">
        <f>IF(C663&lt;B663,"Ship Before Order","OK")</f>
        <v>OK</v>
      </c>
      <c r="AL663" s="7" t="str">
        <f>IF(ISNUMBER(B663),"Valid","Invalid")</f>
        <v>Valid</v>
      </c>
      <c r="AM663" s="7" t="str">
        <f t="shared" si="64"/>
        <v>Ok</v>
      </c>
      <c r="AN663" s="7" t="str">
        <f t="shared" si="65"/>
        <v>Ok</v>
      </c>
    </row>
    <row r="664" spans="1:40">
      <c r="A664" t="s">
        <v>2072</v>
      </c>
      <c r="B664" s="6">
        <v>45305</v>
      </c>
      <c r="C664" s="4">
        <v>46162</v>
      </c>
      <c r="D664" t="s">
        <v>2073</v>
      </c>
      <c r="E664" t="s">
        <v>36</v>
      </c>
      <c r="F664" t="s">
        <v>95</v>
      </c>
      <c r="G664" t="s">
        <v>63</v>
      </c>
      <c r="H664" t="s">
        <v>26</v>
      </c>
      <c r="I664" t="s">
        <v>109</v>
      </c>
      <c r="J664" t="s">
        <v>74</v>
      </c>
      <c r="K664" t="s">
        <v>274</v>
      </c>
      <c r="L664" t="s">
        <v>2074</v>
      </c>
      <c r="M664" t="s">
        <v>44</v>
      </c>
      <c r="N664">
        <v>6</v>
      </c>
      <c r="O664">
        <v>1784.8</v>
      </c>
      <c r="P664">
        <v>0.1</v>
      </c>
      <c r="Q664" s="7">
        <f>IF(P664="", 0, P664)</f>
        <v>0.1</v>
      </c>
      <c r="R664">
        <v>9637.92</v>
      </c>
      <c r="S664">
        <v>7329.29</v>
      </c>
      <c r="T664" s="7">
        <f>N664*O664*(1-Q664)</f>
        <v>9637.92</v>
      </c>
      <c r="U664" s="7">
        <f t="shared" si="60"/>
        <v>2308.63</v>
      </c>
      <c r="V664">
        <v>2308.63</v>
      </c>
      <c r="W664" s="12">
        <f t="shared" si="61"/>
        <v>0.2395361239769577</v>
      </c>
      <c r="X664" t="s">
        <v>32</v>
      </c>
      <c r="Y664" t="str">
        <f t="shared" si="62"/>
        <v>Paid</v>
      </c>
      <c r="Z664" t="s">
        <v>33</v>
      </c>
      <c r="AA664">
        <f>C664-B664</f>
        <v>857</v>
      </c>
      <c r="AB664" t="str">
        <f>IF(B664="","Missing Order Date",
IF(C664="","Missing Ship Date","OK"))</f>
        <v>OK</v>
      </c>
      <c r="AC664" s="7" t="str">
        <f>IF(C664&lt;B664, "Invalid", "Valid")</f>
        <v>Valid</v>
      </c>
      <c r="AD664" s="7" t="str">
        <f>IF(COUNTIF($A:$A, A664)&gt;1, "Duplicate", "Unique")</f>
        <v>Unique</v>
      </c>
      <c r="AE664" s="7" t="str">
        <f>IF(G664="","Unknown",G664)</f>
        <v>West</v>
      </c>
      <c r="AF664" s="7" t="str">
        <f>IF(M664="","Unknown",M664)</f>
        <v>Same Day</v>
      </c>
      <c r="AG664" s="7" t="str">
        <f>IF(P664&lt;0,"Invalid",
IF(P664&gt;1,"Invalid","Valid"))</f>
        <v>Valid</v>
      </c>
      <c r="AH664" s="7" t="str">
        <f>TEXT(B664,"mmmm")</f>
        <v>January</v>
      </c>
      <c r="AI664" s="7">
        <f t="shared" si="63"/>
        <v>2024</v>
      </c>
      <c r="AJ664" s="7" t="str">
        <f>IF(OR(R664&lt;0,C664&lt;B664),"Invalid",
IF(OR(G664="Unknown",M664="Unknown"),"Warning","Clean"))</f>
        <v>Clean</v>
      </c>
      <c r="AK664" s="7" t="str">
        <f>IF(C664&lt;B664,"Ship Before Order","OK")</f>
        <v>OK</v>
      </c>
      <c r="AL664" s="7" t="str">
        <f>IF(ISNUMBER(B664),"Valid","Invalid")</f>
        <v>Valid</v>
      </c>
      <c r="AM664" s="7" t="str">
        <f t="shared" si="64"/>
        <v>Ok</v>
      </c>
      <c r="AN664" s="7" t="str">
        <f t="shared" si="65"/>
        <v>Ok</v>
      </c>
    </row>
    <row r="665" spans="1:40">
      <c r="A665" t="s">
        <v>2075</v>
      </c>
      <c r="B665" s="6">
        <v>45327</v>
      </c>
      <c r="C665" s="4">
        <v>46163</v>
      </c>
      <c r="D665" t="s">
        <v>2076</v>
      </c>
      <c r="E665" t="s">
        <v>118</v>
      </c>
      <c r="F665" t="s">
        <v>95</v>
      </c>
      <c r="G665" t="s">
        <v>38</v>
      </c>
      <c r="H665" t="s">
        <v>228</v>
      </c>
      <c r="I665" t="s">
        <v>229</v>
      </c>
      <c r="J665" t="s">
        <v>74</v>
      </c>
      <c r="K665" t="s">
        <v>80</v>
      </c>
      <c r="L665" t="s">
        <v>2077</v>
      </c>
      <c r="M665" t="s">
        <v>31</v>
      </c>
      <c r="N665">
        <v>2</v>
      </c>
      <c r="O665">
        <v>3185.01</v>
      </c>
      <c r="P665">
        <v>-0.24</v>
      </c>
      <c r="Q665" s="7">
        <f>IF(P665="", 0, P665)</f>
        <v>-0.24</v>
      </c>
      <c r="R665">
        <v>4777.5200000000004</v>
      </c>
      <c r="S665">
        <v>3152.98</v>
      </c>
      <c r="T665" s="7">
        <f>N665*O665*(1-Q665)</f>
        <v>7898.8248000000003</v>
      </c>
      <c r="U665" s="7">
        <f t="shared" si="60"/>
        <v>4745.8448000000008</v>
      </c>
      <c r="V665">
        <v>1624.54</v>
      </c>
      <c r="W665" s="12">
        <f t="shared" si="61"/>
        <v>0.60082922715287979</v>
      </c>
      <c r="X665" t="s">
        <v>32</v>
      </c>
      <c r="Y665" t="str">
        <f t="shared" si="62"/>
        <v>Paid</v>
      </c>
      <c r="Z665" t="s">
        <v>33</v>
      </c>
      <c r="AA665">
        <f>C665-B665</f>
        <v>836</v>
      </c>
      <c r="AB665" t="str">
        <f>IF(B665="","Missing Order Date",
IF(C665="","Missing Ship Date","OK"))</f>
        <v>OK</v>
      </c>
      <c r="AC665" s="7" t="str">
        <f>IF(C665&lt;B665, "Invalid", "Valid")</f>
        <v>Valid</v>
      </c>
      <c r="AD665" s="7" t="str">
        <f>IF(COUNTIF($A:$A, A665)&gt;1, "Duplicate", "Unique")</f>
        <v>Unique</v>
      </c>
      <c r="AE665" s="7" t="str">
        <f>IF(G665="","Unknown",G665)</f>
        <v>East</v>
      </c>
      <c r="AF665" s="7" t="str">
        <f>IF(M665="","Unknown",M665)</f>
        <v>Second Class</v>
      </c>
      <c r="AG665" s="7" t="str">
        <f>IF(P665&lt;0,"Invalid",
IF(P665&gt;1,"Invalid","Valid"))</f>
        <v>Invalid</v>
      </c>
      <c r="AH665" s="7" t="str">
        <f>TEXT(B665,"mmmm")</f>
        <v>February</v>
      </c>
      <c r="AI665" s="7">
        <f t="shared" si="63"/>
        <v>2024</v>
      </c>
      <c r="AJ665" s="7" t="str">
        <f>IF(OR(R665&lt;0,C665&lt;B665),"Invalid",
IF(OR(G665="Unknown",M665="Unknown"),"Warning","Clean"))</f>
        <v>Clean</v>
      </c>
      <c r="AK665" s="7" t="str">
        <f>IF(C665&lt;B665,"Ship Before Order","OK")</f>
        <v>OK</v>
      </c>
      <c r="AL665" s="7" t="str">
        <f>IF(ISNUMBER(B665),"Valid","Invalid")</f>
        <v>Valid</v>
      </c>
      <c r="AM665" s="7" t="str">
        <f t="shared" si="64"/>
        <v>Missmatched</v>
      </c>
      <c r="AN665" s="7" t="str">
        <f t="shared" si="65"/>
        <v>Missmatched</v>
      </c>
    </row>
    <row r="666" spans="1:40">
      <c r="A666" t="s">
        <v>2078</v>
      </c>
      <c r="B666" s="6">
        <v>45485</v>
      </c>
      <c r="C666" s="4">
        <v>46164</v>
      </c>
      <c r="D666" t="s">
        <v>2079</v>
      </c>
      <c r="E666" t="s">
        <v>36</v>
      </c>
      <c r="F666" t="s">
        <v>95</v>
      </c>
      <c r="G666" t="s">
        <v>54</v>
      </c>
      <c r="H666" t="s">
        <v>55</v>
      </c>
      <c r="I666" t="s">
        <v>56</v>
      </c>
      <c r="J666" t="s">
        <v>74</v>
      </c>
      <c r="K666" t="s">
        <v>75</v>
      </c>
      <c r="L666" t="s">
        <v>2080</v>
      </c>
      <c r="M666" t="s">
        <v>59</v>
      </c>
      <c r="N666">
        <v>1</v>
      </c>
      <c r="O666">
        <v>1908.83</v>
      </c>
      <c r="P666">
        <v>0.2</v>
      </c>
      <c r="Q666" s="7">
        <f>IF(P666="", 0, P666)</f>
        <v>0.2</v>
      </c>
      <c r="R666">
        <v>1527.06</v>
      </c>
      <c r="S666">
        <v>1055.8900000000001</v>
      </c>
      <c r="T666" s="7">
        <f>N666*O666*(1-Q666)</f>
        <v>1527.0640000000001</v>
      </c>
      <c r="U666" s="7">
        <f t="shared" si="60"/>
        <v>471.17399999999998</v>
      </c>
      <c r="V666">
        <v>471.17</v>
      </c>
      <c r="W666" s="12">
        <f t="shared" si="61"/>
        <v>0.30854895407134209</v>
      </c>
      <c r="X666" t="s">
        <v>32</v>
      </c>
      <c r="Y666" t="str">
        <f t="shared" si="62"/>
        <v>Paid</v>
      </c>
      <c r="Z666" t="s">
        <v>33</v>
      </c>
      <c r="AA666">
        <f>C666-B666</f>
        <v>679</v>
      </c>
      <c r="AB666" t="str">
        <f>IF(B666="","Missing Order Date",
IF(C666="","Missing Ship Date","OK"))</f>
        <v>OK</v>
      </c>
      <c r="AC666" s="7" t="str">
        <f>IF(C666&lt;B666, "Invalid", "Valid")</f>
        <v>Valid</v>
      </c>
      <c r="AD666" s="7" t="str">
        <f>IF(COUNTIF($A:$A, A666)&gt;1, "Duplicate", "Unique")</f>
        <v>Unique</v>
      </c>
      <c r="AE666" s="7" t="str">
        <f>IF(G666="","Unknown",G666)</f>
        <v>South</v>
      </c>
      <c r="AF666" s="7" t="str">
        <f>IF(M666="","Unknown",M666)</f>
        <v>Standard Class</v>
      </c>
      <c r="AG666" s="7" t="str">
        <f>IF(P666&lt;0,"Invalid",
IF(P666&gt;1,"Invalid","Valid"))</f>
        <v>Valid</v>
      </c>
      <c r="AH666" s="7" t="str">
        <f>TEXT(B666,"mmmm")</f>
        <v>July</v>
      </c>
      <c r="AI666" s="7">
        <f t="shared" si="63"/>
        <v>2024</v>
      </c>
      <c r="AJ666" s="7" t="str">
        <f>IF(OR(R666&lt;0,C666&lt;B666),"Invalid",
IF(OR(G666="Unknown",M666="Unknown"),"Warning","Clean"))</f>
        <v>Clean</v>
      </c>
      <c r="AK666" s="7" t="str">
        <f>IF(C666&lt;B666,"Ship Before Order","OK")</f>
        <v>OK</v>
      </c>
      <c r="AL666" s="7" t="str">
        <f>IF(ISNUMBER(B666),"Valid","Invalid")</f>
        <v>Valid</v>
      </c>
      <c r="AM666" s="7" t="str">
        <f t="shared" si="64"/>
        <v>Missmatched</v>
      </c>
      <c r="AN666" s="7" t="str">
        <f t="shared" si="65"/>
        <v>Missmatched</v>
      </c>
    </row>
    <row r="667" spans="1:40">
      <c r="A667" t="s">
        <v>2081</v>
      </c>
      <c r="B667" s="6">
        <v>45670</v>
      </c>
      <c r="C667" s="4">
        <v>46165</v>
      </c>
      <c r="D667" t="s">
        <v>2082</v>
      </c>
      <c r="E667" t="s">
        <v>118</v>
      </c>
      <c r="F667" t="s">
        <v>95</v>
      </c>
      <c r="G667" t="s">
        <v>63</v>
      </c>
      <c r="H667" t="s">
        <v>180</v>
      </c>
      <c r="I667" t="s">
        <v>181</v>
      </c>
      <c r="J667" t="s">
        <v>28</v>
      </c>
      <c r="K667" t="s">
        <v>48</v>
      </c>
      <c r="L667" t="s">
        <v>2083</v>
      </c>
      <c r="M667" t="s">
        <v>59</v>
      </c>
      <c r="N667">
        <v>3</v>
      </c>
      <c r="O667">
        <v>2110.52</v>
      </c>
      <c r="P667">
        <v>0.1</v>
      </c>
      <c r="Q667" s="7">
        <f>IF(P667="", 0, P667)</f>
        <v>0.1</v>
      </c>
      <c r="R667">
        <v>5698.4</v>
      </c>
      <c r="S667">
        <v>3640.89</v>
      </c>
      <c r="T667" s="7">
        <f>N667*O667*(1-Q667)</f>
        <v>5698.4039999999995</v>
      </c>
      <c r="U667" s="7">
        <f t="shared" si="60"/>
        <v>2057.5139999999997</v>
      </c>
      <c r="V667">
        <v>2057.5100000000002</v>
      </c>
      <c r="W667" s="12">
        <f t="shared" si="61"/>
        <v>0.36106846759197836</v>
      </c>
      <c r="X667" t="s">
        <v>155</v>
      </c>
      <c r="Y667" t="str">
        <f t="shared" si="62"/>
        <v>Failed</v>
      </c>
      <c r="Z667" t="s">
        <v>68</v>
      </c>
      <c r="AA667">
        <f>C667-B667</f>
        <v>495</v>
      </c>
      <c r="AB667" t="str">
        <f>IF(B667="","Missing Order Date",
IF(C667="","Missing Ship Date","OK"))</f>
        <v>OK</v>
      </c>
      <c r="AC667" s="7" t="str">
        <f>IF(C667&lt;B667, "Invalid", "Valid")</f>
        <v>Valid</v>
      </c>
      <c r="AD667" s="7" t="str">
        <f>IF(COUNTIF($A:$A, A667)&gt;1, "Duplicate", "Unique")</f>
        <v>Unique</v>
      </c>
      <c r="AE667" s="7" t="str">
        <f>IF(G667="","Unknown",G667)</f>
        <v>West</v>
      </c>
      <c r="AF667" s="7" t="str">
        <f>IF(M667="","Unknown",M667)</f>
        <v>Standard Class</v>
      </c>
      <c r="AG667" s="7" t="str">
        <f>IF(P667&lt;0,"Invalid",
IF(P667&gt;1,"Invalid","Valid"))</f>
        <v>Valid</v>
      </c>
      <c r="AH667" s="7" t="str">
        <f>TEXT(B667,"mmmm")</f>
        <v>January</v>
      </c>
      <c r="AI667" s="7">
        <f t="shared" si="63"/>
        <v>2025</v>
      </c>
      <c r="AJ667" s="7" t="str">
        <f>IF(OR(R667&lt;0,C667&lt;B667),"Invalid",
IF(OR(G667="Unknown",M667="Unknown"),"Warning","Clean"))</f>
        <v>Clean</v>
      </c>
      <c r="AK667" s="7" t="str">
        <f>IF(C667&lt;B667,"Ship Before Order","OK")</f>
        <v>OK</v>
      </c>
      <c r="AL667" s="7" t="str">
        <f>IF(ISNUMBER(B667),"Valid","Invalid")</f>
        <v>Valid</v>
      </c>
      <c r="AM667" s="7" t="str">
        <f t="shared" si="64"/>
        <v>Missmatched</v>
      </c>
      <c r="AN667" s="7" t="str">
        <f t="shared" si="65"/>
        <v>Missmatched</v>
      </c>
    </row>
    <row r="668" spans="1:40">
      <c r="A668" t="s">
        <v>2084</v>
      </c>
      <c r="B668" s="6">
        <v>45464</v>
      </c>
      <c r="C668" s="4">
        <v>46166</v>
      </c>
      <c r="D668" t="s">
        <v>2085</v>
      </c>
      <c r="E668" t="s">
        <v>141</v>
      </c>
      <c r="F668" t="s">
        <v>37</v>
      </c>
      <c r="G668" t="s">
        <v>25</v>
      </c>
      <c r="H668" t="s">
        <v>122</v>
      </c>
      <c r="I668" t="s">
        <v>123</v>
      </c>
      <c r="J668" t="s">
        <v>74</v>
      </c>
      <c r="K668" t="s">
        <v>80</v>
      </c>
      <c r="L668" t="s">
        <v>2086</v>
      </c>
      <c r="M668" t="s">
        <v>44</v>
      </c>
      <c r="N668">
        <v>1</v>
      </c>
      <c r="O668">
        <v>279.83</v>
      </c>
      <c r="P668">
        <v>0.05</v>
      </c>
      <c r="Q668" s="7">
        <f>IF(P668="", 0, P668)</f>
        <v>0.05</v>
      </c>
      <c r="R668">
        <v>265.83999999999997</v>
      </c>
      <c r="S668">
        <v>223.49</v>
      </c>
      <c r="T668" s="7">
        <f>N668*O668*(1-Q668)</f>
        <v>265.83849999999995</v>
      </c>
      <c r="U668" s="7">
        <f t="shared" si="60"/>
        <v>42.348499999999945</v>
      </c>
      <c r="V668">
        <v>42.35</v>
      </c>
      <c r="W668" s="12">
        <f t="shared" si="61"/>
        <v>0.15930160605028976</v>
      </c>
      <c r="X668" t="s">
        <v>32</v>
      </c>
      <c r="Y668" t="str">
        <f t="shared" si="62"/>
        <v>Paid</v>
      </c>
      <c r="Z668" t="s">
        <v>33</v>
      </c>
      <c r="AA668">
        <f>C668-B668</f>
        <v>702</v>
      </c>
      <c r="AB668" t="str">
        <f>IF(B668="","Missing Order Date",
IF(C668="","Missing Ship Date","OK"))</f>
        <v>OK</v>
      </c>
      <c r="AC668" s="7" t="str">
        <f>IF(C668&lt;B668, "Invalid", "Valid")</f>
        <v>Valid</v>
      </c>
      <c r="AD668" s="7" t="str">
        <f>IF(COUNTIF($A:$A, A668)&gt;1, "Duplicate", "Unique")</f>
        <v>Unique</v>
      </c>
      <c r="AE668" s="7" t="str">
        <f>IF(G668="","Unknown",G668)</f>
        <v>North</v>
      </c>
      <c r="AF668" s="7" t="str">
        <f>IF(M668="","Unknown",M668)</f>
        <v>Same Day</v>
      </c>
      <c r="AG668" s="7" t="str">
        <f>IF(P668&lt;0,"Invalid",
IF(P668&gt;1,"Invalid","Valid"))</f>
        <v>Valid</v>
      </c>
      <c r="AH668" s="7" t="str">
        <f>TEXT(B668,"mmmm")</f>
        <v>June</v>
      </c>
      <c r="AI668" s="7">
        <f t="shared" si="63"/>
        <v>2024</v>
      </c>
      <c r="AJ668" s="7" t="str">
        <f>IF(OR(R668&lt;0,C668&lt;B668),"Invalid",
IF(OR(G668="Unknown",M668="Unknown"),"Warning","Clean"))</f>
        <v>Clean</v>
      </c>
      <c r="AK668" s="7" t="str">
        <f>IF(C668&lt;B668,"Ship Before Order","OK")</f>
        <v>OK</v>
      </c>
      <c r="AL668" s="7" t="str">
        <f>IF(ISNUMBER(B668),"Valid","Invalid")</f>
        <v>Valid</v>
      </c>
      <c r="AM668" s="7" t="str">
        <f t="shared" si="64"/>
        <v>Missmatched</v>
      </c>
      <c r="AN668" s="7" t="str">
        <f t="shared" si="65"/>
        <v>Missmatched</v>
      </c>
    </row>
    <row r="669" spans="1:40">
      <c r="A669" t="s">
        <v>2087</v>
      </c>
      <c r="B669" s="6">
        <v>45797</v>
      </c>
      <c r="C669" s="4">
        <v>46167</v>
      </c>
      <c r="D669" t="s">
        <v>2088</v>
      </c>
      <c r="E669" t="s">
        <v>162</v>
      </c>
      <c r="F669" t="s">
        <v>37</v>
      </c>
      <c r="G669" t="s">
        <v>38</v>
      </c>
      <c r="H669" t="s">
        <v>145</v>
      </c>
      <c r="I669" t="s">
        <v>146</v>
      </c>
      <c r="J669" t="s">
        <v>74</v>
      </c>
      <c r="K669" t="s">
        <v>274</v>
      </c>
      <c r="L669" t="s">
        <v>2089</v>
      </c>
      <c r="M669" t="s">
        <v>59</v>
      </c>
      <c r="N669">
        <v>1</v>
      </c>
      <c r="O669">
        <v>3959.14</v>
      </c>
      <c r="P669">
        <v>0</v>
      </c>
      <c r="Q669" s="7">
        <f>IF(P669="", 0, P669)</f>
        <v>0</v>
      </c>
      <c r="R669">
        <v>3959.14</v>
      </c>
      <c r="S669">
        <v>3239.53</v>
      </c>
      <c r="T669" s="7">
        <f>N669*O669*(1-Q669)</f>
        <v>3959.14</v>
      </c>
      <c r="U669" s="7">
        <f t="shared" si="60"/>
        <v>719.60999999999967</v>
      </c>
      <c r="V669">
        <v>719.61</v>
      </c>
      <c r="W669" s="12">
        <f t="shared" si="61"/>
        <v>0.18175916992074029</v>
      </c>
      <c r="X669" t="s">
        <v>111</v>
      </c>
      <c r="Y669" t="str">
        <f t="shared" si="62"/>
        <v>Pending</v>
      </c>
      <c r="Z669" t="s">
        <v>103</v>
      </c>
      <c r="AA669">
        <f>C669-B669</f>
        <v>370</v>
      </c>
      <c r="AB669" t="str">
        <f>IF(B669="","Missing Order Date",
IF(C669="","Missing Ship Date","OK"))</f>
        <v>OK</v>
      </c>
      <c r="AC669" s="7" t="str">
        <f>IF(C669&lt;B669, "Invalid", "Valid")</f>
        <v>Valid</v>
      </c>
      <c r="AD669" s="7" t="str">
        <f>IF(COUNTIF($A:$A, A669)&gt;1, "Duplicate", "Unique")</f>
        <v>Unique</v>
      </c>
      <c r="AE669" s="7" t="str">
        <f>IF(G669="","Unknown",G669)</f>
        <v>East</v>
      </c>
      <c r="AF669" s="7" t="str">
        <f>IF(M669="","Unknown",M669)</f>
        <v>Standard Class</v>
      </c>
      <c r="AG669" s="7" t="str">
        <f>IF(P669&lt;0,"Invalid",
IF(P669&gt;1,"Invalid","Valid"))</f>
        <v>Valid</v>
      </c>
      <c r="AH669" s="7" t="str">
        <f>TEXT(B669,"mmmm")</f>
        <v>May</v>
      </c>
      <c r="AI669" s="7">
        <f t="shared" si="63"/>
        <v>2025</v>
      </c>
      <c r="AJ669" s="7" t="str">
        <f>IF(OR(R669&lt;0,C669&lt;B669),"Invalid",
IF(OR(G669="Unknown",M669="Unknown"),"Warning","Clean"))</f>
        <v>Clean</v>
      </c>
      <c r="AK669" s="7" t="str">
        <f>IF(C669&lt;B669,"Ship Before Order","OK")</f>
        <v>OK</v>
      </c>
      <c r="AL669" s="7" t="str">
        <f>IF(ISNUMBER(B669),"Valid","Invalid")</f>
        <v>Valid</v>
      </c>
      <c r="AM669" s="7" t="str">
        <f t="shared" si="64"/>
        <v>Ok</v>
      </c>
      <c r="AN669" s="7" t="str">
        <f t="shared" si="65"/>
        <v>Ok</v>
      </c>
    </row>
    <row r="670" spans="1:40">
      <c r="A670" t="s">
        <v>2090</v>
      </c>
      <c r="B670" s="6">
        <v>45617</v>
      </c>
      <c r="C670" s="4">
        <v>46168</v>
      </c>
      <c r="D670" t="s">
        <v>2091</v>
      </c>
      <c r="E670" t="s">
        <v>36</v>
      </c>
      <c r="F670" t="s">
        <v>90</v>
      </c>
      <c r="G670" t="s">
        <v>63</v>
      </c>
      <c r="H670" t="s">
        <v>180</v>
      </c>
      <c r="I670" t="s">
        <v>181</v>
      </c>
      <c r="J670" t="s">
        <v>28</v>
      </c>
      <c r="K670" t="s">
        <v>29</v>
      </c>
      <c r="L670" t="s">
        <v>2092</v>
      </c>
      <c r="M670" t="s">
        <v>31</v>
      </c>
      <c r="N670">
        <v>5</v>
      </c>
      <c r="O670">
        <v>600.46</v>
      </c>
      <c r="P670">
        <v>0.2</v>
      </c>
      <c r="Q670" s="7">
        <f>IF(P670="", 0, P670)</f>
        <v>0.2</v>
      </c>
      <c r="R670">
        <v>2401.84</v>
      </c>
      <c r="S670">
        <v>1873.11</v>
      </c>
      <c r="T670" s="7">
        <f>N670*O670*(1-Q670)</f>
        <v>2401.84</v>
      </c>
      <c r="U670" s="7">
        <f t="shared" si="60"/>
        <v>528.73000000000025</v>
      </c>
      <c r="V670">
        <v>528.73</v>
      </c>
      <c r="W670" s="12">
        <f t="shared" si="61"/>
        <v>0.22013539619624964</v>
      </c>
      <c r="X670" t="s">
        <v>32</v>
      </c>
      <c r="Y670" t="str">
        <f t="shared" si="62"/>
        <v>Paid</v>
      </c>
      <c r="Z670" t="s">
        <v>33</v>
      </c>
      <c r="AA670">
        <f>C670-B670</f>
        <v>551</v>
      </c>
      <c r="AB670" t="str">
        <f>IF(B670="","Missing Order Date",
IF(C670="","Missing Ship Date","OK"))</f>
        <v>OK</v>
      </c>
      <c r="AC670" s="7" t="str">
        <f>IF(C670&lt;B670, "Invalid", "Valid")</f>
        <v>Valid</v>
      </c>
      <c r="AD670" s="7" t="str">
        <f>IF(COUNTIF($A:$A, A670)&gt;1, "Duplicate", "Unique")</f>
        <v>Unique</v>
      </c>
      <c r="AE670" s="7" t="str">
        <f>IF(G670="","Unknown",G670)</f>
        <v>West</v>
      </c>
      <c r="AF670" s="7" t="str">
        <f>IF(M670="","Unknown",M670)</f>
        <v>Second Class</v>
      </c>
      <c r="AG670" s="7" t="str">
        <f>IF(P670&lt;0,"Invalid",
IF(P670&gt;1,"Invalid","Valid"))</f>
        <v>Valid</v>
      </c>
      <c r="AH670" s="7" t="str">
        <f>TEXT(B670,"mmmm")</f>
        <v>November</v>
      </c>
      <c r="AI670" s="7">
        <f t="shared" si="63"/>
        <v>2024</v>
      </c>
      <c r="AJ670" s="7" t="str">
        <f>IF(OR(R670&lt;0,C670&lt;B670),"Invalid",
IF(OR(G670="Unknown",M670="Unknown"),"Warning","Clean"))</f>
        <v>Clean</v>
      </c>
      <c r="AK670" s="7" t="str">
        <f>IF(C670&lt;B670,"Ship Before Order","OK")</f>
        <v>OK</v>
      </c>
      <c r="AL670" s="7" t="str">
        <f>IF(ISNUMBER(B670),"Valid","Invalid")</f>
        <v>Valid</v>
      </c>
      <c r="AM670" s="7" t="str">
        <f t="shared" si="64"/>
        <v>Ok</v>
      </c>
      <c r="AN670" s="7" t="str">
        <f t="shared" si="65"/>
        <v>Ok</v>
      </c>
    </row>
    <row r="671" spans="1:40">
      <c r="A671" t="s">
        <v>2093</v>
      </c>
      <c r="B671" s="6">
        <v>45375</v>
      </c>
      <c r="C671" s="4">
        <v>46169</v>
      </c>
      <c r="D671" t="s">
        <v>2094</v>
      </c>
      <c r="E671" t="s">
        <v>62</v>
      </c>
      <c r="F671" t="s">
        <v>95</v>
      </c>
      <c r="G671" t="s">
        <v>63</v>
      </c>
      <c r="H671" t="s">
        <v>64</v>
      </c>
      <c r="I671" t="s">
        <v>65</v>
      </c>
      <c r="J671" t="s">
        <v>41</v>
      </c>
      <c r="K671" t="s">
        <v>42</v>
      </c>
      <c r="L671" t="s">
        <v>2095</v>
      </c>
      <c r="M671" t="s">
        <v>31</v>
      </c>
      <c r="N671">
        <v>4</v>
      </c>
      <c r="O671">
        <v>1700.72</v>
      </c>
      <c r="P671">
        <v>0.25</v>
      </c>
      <c r="Q671" s="7">
        <f>IF(P671="", 0, P671)</f>
        <v>0.25</v>
      </c>
      <c r="R671">
        <v>5102.16</v>
      </c>
      <c r="S671">
        <v>3226.45</v>
      </c>
      <c r="T671" s="7">
        <f>N671*O671*(1-Q671)</f>
        <v>5102.16</v>
      </c>
      <c r="U671" s="7">
        <f t="shared" si="60"/>
        <v>1875.71</v>
      </c>
      <c r="V671">
        <v>1875.71</v>
      </c>
      <c r="W671" s="12">
        <f t="shared" si="61"/>
        <v>0.36763057214983458</v>
      </c>
      <c r="X671" t="s">
        <v>32</v>
      </c>
      <c r="Y671" t="str">
        <f t="shared" si="62"/>
        <v>Paid</v>
      </c>
      <c r="Z671" t="s">
        <v>33</v>
      </c>
      <c r="AA671">
        <f>C671-B671</f>
        <v>794</v>
      </c>
      <c r="AB671" t="str">
        <f>IF(B671="","Missing Order Date",
IF(C671="","Missing Ship Date","OK"))</f>
        <v>OK</v>
      </c>
      <c r="AC671" s="7" t="str">
        <f>IF(C671&lt;B671, "Invalid", "Valid")</f>
        <v>Valid</v>
      </c>
      <c r="AD671" s="7" t="str">
        <f>IF(COUNTIF($A:$A, A671)&gt;1, "Duplicate", "Unique")</f>
        <v>Unique</v>
      </c>
      <c r="AE671" s="7" t="str">
        <f>IF(G671="","Unknown",G671)</f>
        <v>West</v>
      </c>
      <c r="AF671" s="7" t="str">
        <f>IF(M671="","Unknown",M671)</f>
        <v>Second Class</v>
      </c>
      <c r="AG671" s="7" t="str">
        <f>IF(P671&lt;0,"Invalid",
IF(P671&gt;1,"Invalid","Valid"))</f>
        <v>Valid</v>
      </c>
      <c r="AH671" s="7" t="str">
        <f>TEXT(B671,"mmmm")</f>
        <v>March</v>
      </c>
      <c r="AI671" s="7">
        <f t="shared" si="63"/>
        <v>2024</v>
      </c>
      <c r="AJ671" s="7" t="str">
        <f>IF(OR(R671&lt;0,C671&lt;B671),"Invalid",
IF(OR(G671="Unknown",M671="Unknown"),"Warning","Clean"))</f>
        <v>Clean</v>
      </c>
      <c r="AK671" s="7" t="str">
        <f>IF(C671&lt;B671,"Ship Before Order","OK")</f>
        <v>OK</v>
      </c>
      <c r="AL671" s="7" t="str">
        <f>IF(ISNUMBER(B671),"Valid","Invalid")</f>
        <v>Valid</v>
      </c>
      <c r="AM671" s="7" t="str">
        <f t="shared" si="64"/>
        <v>Ok</v>
      </c>
      <c r="AN671" s="7" t="str">
        <f t="shared" si="65"/>
        <v>Ok</v>
      </c>
    </row>
    <row r="672" spans="1:40">
      <c r="A672" t="s">
        <v>2096</v>
      </c>
      <c r="B672" s="6">
        <v>45690</v>
      </c>
      <c r="C672" s="4">
        <v>46170</v>
      </c>
      <c r="D672" t="s">
        <v>1598</v>
      </c>
      <c r="E672" t="s">
        <v>132</v>
      </c>
      <c r="F672" t="s">
        <v>90</v>
      </c>
      <c r="G672" t="s">
        <v>25</v>
      </c>
      <c r="H672" t="s">
        <v>136</v>
      </c>
      <c r="I672" t="s">
        <v>137</v>
      </c>
      <c r="J672" t="s">
        <v>41</v>
      </c>
      <c r="K672" t="s">
        <v>42</v>
      </c>
      <c r="L672" t="s">
        <v>2097</v>
      </c>
      <c r="M672" t="s">
        <v>59</v>
      </c>
      <c r="N672">
        <v>8</v>
      </c>
      <c r="O672">
        <v>857.86</v>
      </c>
      <c r="P672">
        <v>0.1</v>
      </c>
      <c r="Q672" s="7">
        <f>IF(P672="", 0, P672)</f>
        <v>0.1</v>
      </c>
      <c r="R672">
        <v>6176.59</v>
      </c>
      <c r="S672">
        <v>3560.96</v>
      </c>
      <c r="T672" s="7">
        <f>N672*O672*(1-Q672)</f>
        <v>6176.5920000000006</v>
      </c>
      <c r="U672" s="7">
        <f t="shared" si="60"/>
        <v>2615.6320000000005</v>
      </c>
      <c r="V672">
        <v>2615.63</v>
      </c>
      <c r="W672" s="12">
        <f t="shared" si="61"/>
        <v>0.42347495188285067</v>
      </c>
      <c r="X672" t="s">
        <v>32</v>
      </c>
      <c r="Y672" t="str">
        <f t="shared" si="62"/>
        <v>Paid</v>
      </c>
      <c r="Z672" t="s">
        <v>33</v>
      </c>
      <c r="AA672">
        <f>C672-B672</f>
        <v>480</v>
      </c>
      <c r="AB672" t="str">
        <f>IF(B672="","Missing Order Date",
IF(C672="","Missing Ship Date","OK"))</f>
        <v>OK</v>
      </c>
      <c r="AC672" s="7" t="str">
        <f>IF(C672&lt;B672, "Invalid", "Valid")</f>
        <v>Valid</v>
      </c>
      <c r="AD672" s="7" t="str">
        <f>IF(COUNTIF($A:$A, A672)&gt;1, "Duplicate", "Unique")</f>
        <v>Unique</v>
      </c>
      <c r="AE672" s="7" t="str">
        <f>IF(G672="","Unknown",G672)</f>
        <v>North</v>
      </c>
      <c r="AF672" s="7" t="str">
        <f>IF(M672="","Unknown",M672)</f>
        <v>Standard Class</v>
      </c>
      <c r="AG672" s="7" t="str">
        <f>IF(P672&lt;0,"Invalid",
IF(P672&gt;1,"Invalid","Valid"))</f>
        <v>Valid</v>
      </c>
      <c r="AH672" s="7" t="str">
        <f>TEXT(B672,"mmmm")</f>
        <v>February</v>
      </c>
      <c r="AI672" s="7">
        <f t="shared" si="63"/>
        <v>2025</v>
      </c>
      <c r="AJ672" s="7" t="str">
        <f>IF(OR(R672&lt;0,C672&lt;B672),"Invalid",
IF(OR(G672="Unknown",M672="Unknown"),"Warning","Clean"))</f>
        <v>Clean</v>
      </c>
      <c r="AK672" s="7" t="str">
        <f>IF(C672&lt;B672,"Ship Before Order","OK")</f>
        <v>OK</v>
      </c>
      <c r="AL672" s="7" t="str">
        <f>IF(ISNUMBER(B672),"Valid","Invalid")</f>
        <v>Valid</v>
      </c>
      <c r="AM672" s="7" t="str">
        <f t="shared" si="64"/>
        <v>Missmatched</v>
      </c>
      <c r="AN672" s="7" t="str">
        <f t="shared" si="65"/>
        <v>Missmatched</v>
      </c>
    </row>
    <row r="673" spans="1:40">
      <c r="A673" t="s">
        <v>2098</v>
      </c>
      <c r="B673" s="6">
        <v>45373</v>
      </c>
      <c r="C673" s="4">
        <v>46171</v>
      </c>
      <c r="D673" t="s">
        <v>2099</v>
      </c>
      <c r="E673" t="s">
        <v>89</v>
      </c>
      <c r="F673" t="s">
        <v>95</v>
      </c>
      <c r="G673" t="s">
        <v>63</v>
      </c>
      <c r="H673" t="s">
        <v>190</v>
      </c>
      <c r="I673" t="s">
        <v>191</v>
      </c>
      <c r="J673" t="s">
        <v>74</v>
      </c>
      <c r="K673" t="s">
        <v>80</v>
      </c>
      <c r="L673" t="s">
        <v>2100</v>
      </c>
      <c r="M673" t="s">
        <v>31</v>
      </c>
      <c r="N673">
        <v>9</v>
      </c>
      <c r="O673">
        <v>3649.51</v>
      </c>
      <c r="P673">
        <v>0.05</v>
      </c>
      <c r="Q673" s="7">
        <f>IF(P673="", 0, P673)</f>
        <v>0.05</v>
      </c>
      <c r="R673">
        <v>31203.31</v>
      </c>
      <c r="S673">
        <v>17738.13</v>
      </c>
      <c r="T673" s="7">
        <f>N673*O673*(1-Q673)</f>
        <v>31203.310500000003</v>
      </c>
      <c r="U673" s="7">
        <f t="shared" si="60"/>
        <v>13465.180500000002</v>
      </c>
      <c r="V673">
        <v>13465.18</v>
      </c>
      <c r="W673" s="12">
        <f t="shared" si="61"/>
        <v>0.43153051020019179</v>
      </c>
      <c r="X673" t="s">
        <v>32</v>
      </c>
      <c r="Y673" t="str">
        <f t="shared" si="62"/>
        <v>Paid</v>
      </c>
      <c r="Z673" t="s">
        <v>33</v>
      </c>
      <c r="AA673">
        <f>C673-B673</f>
        <v>798</v>
      </c>
      <c r="AB673" t="str">
        <f>IF(B673="","Missing Order Date",
IF(C673="","Missing Ship Date","OK"))</f>
        <v>OK</v>
      </c>
      <c r="AC673" s="7" t="str">
        <f>IF(C673&lt;B673, "Invalid", "Valid")</f>
        <v>Valid</v>
      </c>
      <c r="AD673" s="7" t="str">
        <f>IF(COUNTIF($A:$A, A673)&gt;1, "Duplicate", "Unique")</f>
        <v>Unique</v>
      </c>
      <c r="AE673" s="7" t="str">
        <f>IF(G673="","Unknown",G673)</f>
        <v>West</v>
      </c>
      <c r="AF673" s="7" t="str">
        <f>IF(M673="","Unknown",M673)</f>
        <v>Second Class</v>
      </c>
      <c r="AG673" s="7" t="str">
        <f>IF(P673&lt;0,"Invalid",
IF(P673&gt;1,"Invalid","Valid"))</f>
        <v>Valid</v>
      </c>
      <c r="AH673" s="7" t="str">
        <f>TEXT(B673,"mmmm")</f>
        <v>March</v>
      </c>
      <c r="AI673" s="7">
        <f t="shared" si="63"/>
        <v>2024</v>
      </c>
      <c r="AJ673" s="7" t="str">
        <f>IF(OR(R673&lt;0,C673&lt;B673),"Invalid",
IF(OR(G673="Unknown",M673="Unknown"),"Warning","Clean"))</f>
        <v>Clean</v>
      </c>
      <c r="AK673" s="7" t="str">
        <f>IF(C673&lt;B673,"Ship Before Order","OK")</f>
        <v>OK</v>
      </c>
      <c r="AL673" s="7" t="str">
        <f>IF(ISNUMBER(B673),"Valid","Invalid")</f>
        <v>Valid</v>
      </c>
      <c r="AM673" s="7" t="str">
        <f t="shared" si="64"/>
        <v>Missmatched</v>
      </c>
      <c r="AN673" s="7" t="str">
        <f t="shared" si="65"/>
        <v>Missmatched</v>
      </c>
    </row>
    <row r="674" spans="1:40">
      <c r="A674" t="s">
        <v>2101</v>
      </c>
      <c r="B674" s="6">
        <v>45391</v>
      </c>
      <c r="C674" s="4">
        <v>46172</v>
      </c>
      <c r="D674" t="s">
        <v>2102</v>
      </c>
      <c r="E674" t="s">
        <v>89</v>
      </c>
      <c r="F674" t="s">
        <v>90</v>
      </c>
      <c r="G674" t="s">
        <v>63</v>
      </c>
      <c r="H674" t="s">
        <v>72</v>
      </c>
      <c r="I674" t="s">
        <v>73</v>
      </c>
      <c r="J674" t="s">
        <v>41</v>
      </c>
      <c r="K674" t="s">
        <v>66</v>
      </c>
      <c r="L674" t="s">
        <v>2103</v>
      </c>
      <c r="M674" t="s">
        <v>59</v>
      </c>
      <c r="N674">
        <v>5</v>
      </c>
      <c r="O674">
        <v>2528.5300000000002</v>
      </c>
      <c r="P674">
        <v>0.05</v>
      </c>
      <c r="Q674" s="7">
        <f>IF(P674="", 0, P674)</f>
        <v>0.05</v>
      </c>
      <c r="R674">
        <v>12010.52</v>
      </c>
      <c r="S674">
        <v>7864.61</v>
      </c>
      <c r="T674" s="7">
        <f>N674*O674*(1-Q674)</f>
        <v>12010.5175</v>
      </c>
      <c r="U674" s="7">
        <f t="shared" si="60"/>
        <v>4145.9075000000003</v>
      </c>
      <c r="V674">
        <v>4145.91</v>
      </c>
      <c r="W674" s="12">
        <f t="shared" si="61"/>
        <v>0.34518974723612039</v>
      </c>
      <c r="X674" t="s">
        <v>32</v>
      </c>
      <c r="Y674" t="str">
        <f t="shared" si="62"/>
        <v>Paid</v>
      </c>
      <c r="Z674" t="s">
        <v>103</v>
      </c>
      <c r="AA674">
        <f>C674-B674</f>
        <v>781</v>
      </c>
      <c r="AB674" t="str">
        <f>IF(B674="","Missing Order Date",
IF(C674="","Missing Ship Date","OK"))</f>
        <v>OK</v>
      </c>
      <c r="AC674" s="7" t="str">
        <f>IF(C674&lt;B674, "Invalid", "Valid")</f>
        <v>Valid</v>
      </c>
      <c r="AD674" s="7" t="str">
        <f>IF(COUNTIF($A:$A, A674)&gt;1, "Duplicate", "Unique")</f>
        <v>Unique</v>
      </c>
      <c r="AE674" s="7" t="str">
        <f>IF(G674="","Unknown",G674)</f>
        <v>West</v>
      </c>
      <c r="AF674" s="7" t="str">
        <f>IF(M674="","Unknown",M674)</f>
        <v>Standard Class</v>
      </c>
      <c r="AG674" s="7" t="str">
        <f>IF(P674&lt;0,"Invalid",
IF(P674&gt;1,"Invalid","Valid"))</f>
        <v>Valid</v>
      </c>
      <c r="AH674" s="7" t="str">
        <f>TEXT(B674,"mmmm")</f>
        <v>April</v>
      </c>
      <c r="AI674" s="7">
        <f t="shared" si="63"/>
        <v>2024</v>
      </c>
      <c r="AJ674" s="7" t="str">
        <f>IF(OR(R674&lt;0,C674&lt;B674),"Invalid",
IF(OR(G674="Unknown",M674="Unknown"),"Warning","Clean"))</f>
        <v>Clean</v>
      </c>
      <c r="AK674" s="7" t="str">
        <f>IF(C674&lt;B674,"Ship Before Order","OK")</f>
        <v>OK</v>
      </c>
      <c r="AL674" s="7" t="str">
        <f>IF(ISNUMBER(B674),"Valid","Invalid")</f>
        <v>Valid</v>
      </c>
      <c r="AM674" s="7" t="str">
        <f t="shared" si="64"/>
        <v>Missmatched</v>
      </c>
      <c r="AN674" s="7" t="str">
        <f t="shared" si="65"/>
        <v>Missmatched</v>
      </c>
    </row>
    <row r="675" spans="1:40">
      <c r="A675" t="s">
        <v>2104</v>
      </c>
      <c r="B675" s="6">
        <v>45701</v>
      </c>
      <c r="C675" s="4">
        <v>46173</v>
      </c>
      <c r="D675" t="s">
        <v>2105</v>
      </c>
      <c r="E675" t="s">
        <v>53</v>
      </c>
      <c r="F675" t="s">
        <v>37</v>
      </c>
      <c r="G675" t="s">
        <v>63</v>
      </c>
      <c r="H675" t="s">
        <v>26</v>
      </c>
      <c r="I675" t="s">
        <v>109</v>
      </c>
      <c r="J675" t="s">
        <v>41</v>
      </c>
      <c r="K675" t="s">
        <v>158</v>
      </c>
      <c r="L675" t="s">
        <v>2106</v>
      </c>
      <c r="M675" t="s">
        <v>31</v>
      </c>
      <c r="N675">
        <v>4</v>
      </c>
      <c r="O675">
        <v>4072.9</v>
      </c>
      <c r="P675">
        <v>0.15</v>
      </c>
      <c r="Q675" s="7">
        <f>IF(P675="", 0, P675)</f>
        <v>0.15</v>
      </c>
      <c r="R675">
        <v>13847.86</v>
      </c>
      <c r="S675">
        <v>8471.7800000000007</v>
      </c>
      <c r="T675" s="7">
        <f>N675*O675*(1-Q675)</f>
        <v>13847.86</v>
      </c>
      <c r="U675" s="7">
        <f t="shared" si="60"/>
        <v>5376.08</v>
      </c>
      <c r="V675">
        <v>5376.08</v>
      </c>
      <c r="W675" s="12">
        <f t="shared" si="61"/>
        <v>0.38822460654570451</v>
      </c>
      <c r="X675" t="s">
        <v>32</v>
      </c>
      <c r="Y675" t="str">
        <f t="shared" si="62"/>
        <v>Paid</v>
      </c>
      <c r="Z675" t="s">
        <v>33</v>
      </c>
      <c r="AA675">
        <f>C675-B675</f>
        <v>472</v>
      </c>
      <c r="AB675" t="str">
        <f>IF(B675="","Missing Order Date",
IF(C675="","Missing Ship Date","OK"))</f>
        <v>OK</v>
      </c>
      <c r="AC675" s="7" t="str">
        <f>IF(C675&lt;B675, "Invalid", "Valid")</f>
        <v>Valid</v>
      </c>
      <c r="AD675" s="7" t="str">
        <f>IF(COUNTIF($A:$A, A675)&gt;1, "Duplicate", "Unique")</f>
        <v>Unique</v>
      </c>
      <c r="AE675" s="7" t="str">
        <f>IF(G675="","Unknown",G675)</f>
        <v>West</v>
      </c>
      <c r="AF675" s="7" t="str">
        <f>IF(M675="","Unknown",M675)</f>
        <v>Second Class</v>
      </c>
      <c r="AG675" s="7" t="str">
        <f>IF(P675&lt;0,"Invalid",
IF(P675&gt;1,"Invalid","Valid"))</f>
        <v>Valid</v>
      </c>
      <c r="AH675" s="7" t="str">
        <f>TEXT(B675,"mmmm")</f>
        <v>February</v>
      </c>
      <c r="AI675" s="7">
        <f t="shared" si="63"/>
        <v>2025</v>
      </c>
      <c r="AJ675" s="7" t="str">
        <f>IF(OR(R675&lt;0,C675&lt;B675),"Invalid",
IF(OR(G675="Unknown",M675="Unknown"),"Warning","Clean"))</f>
        <v>Clean</v>
      </c>
      <c r="AK675" s="7" t="str">
        <f>IF(C675&lt;B675,"Ship Before Order","OK")</f>
        <v>OK</v>
      </c>
      <c r="AL675" s="7" t="str">
        <f>IF(ISNUMBER(B675),"Valid","Invalid")</f>
        <v>Valid</v>
      </c>
      <c r="AM675" s="7" t="str">
        <f t="shared" si="64"/>
        <v>Ok</v>
      </c>
      <c r="AN675" s="7" t="str">
        <f t="shared" si="65"/>
        <v>Ok</v>
      </c>
    </row>
    <row r="676" spans="1:40">
      <c r="A676" t="s">
        <v>2107</v>
      </c>
      <c r="B676" s="6">
        <v>45430</v>
      </c>
      <c r="C676" s="4">
        <v>46174</v>
      </c>
      <c r="D676" t="s">
        <v>2108</v>
      </c>
      <c r="E676" t="s">
        <v>71</v>
      </c>
      <c r="F676" t="s">
        <v>90</v>
      </c>
      <c r="G676" t="s">
        <v>38</v>
      </c>
      <c r="H676" t="s">
        <v>228</v>
      </c>
      <c r="I676" t="s">
        <v>229</v>
      </c>
      <c r="J676" t="s">
        <v>74</v>
      </c>
      <c r="K676" t="s">
        <v>75</v>
      </c>
      <c r="L676" t="s">
        <v>2109</v>
      </c>
      <c r="M676" t="s">
        <v>31</v>
      </c>
      <c r="N676">
        <v>1</v>
      </c>
      <c r="O676">
        <v>1033.71</v>
      </c>
      <c r="P676">
        <v>0</v>
      </c>
      <c r="Q676" s="7">
        <f>IF(P676="", 0, P676)</f>
        <v>0</v>
      </c>
      <c r="R676">
        <v>1033.71</v>
      </c>
      <c r="S676">
        <v>630.82000000000005</v>
      </c>
      <c r="T676" s="7">
        <f>N676*O676*(1-Q676)</f>
        <v>1033.71</v>
      </c>
      <c r="U676" s="7">
        <f t="shared" si="60"/>
        <v>402.89</v>
      </c>
      <c r="V676">
        <v>402.89</v>
      </c>
      <c r="W676" s="12">
        <f t="shared" si="61"/>
        <v>0.38975147768716562</v>
      </c>
      <c r="X676" t="s">
        <v>111</v>
      </c>
      <c r="Y676" t="str">
        <f t="shared" si="62"/>
        <v>Pending</v>
      </c>
      <c r="Z676" t="s">
        <v>103</v>
      </c>
      <c r="AA676">
        <f>C676-B676</f>
        <v>744</v>
      </c>
      <c r="AB676" t="str">
        <f>IF(B676="","Missing Order Date",
IF(C676="","Missing Ship Date","OK"))</f>
        <v>OK</v>
      </c>
      <c r="AC676" s="7" t="str">
        <f>IF(C676&lt;B676, "Invalid", "Valid")</f>
        <v>Valid</v>
      </c>
      <c r="AD676" s="7" t="str">
        <f>IF(COUNTIF($A:$A, A676)&gt;1, "Duplicate", "Unique")</f>
        <v>Unique</v>
      </c>
      <c r="AE676" s="7" t="str">
        <f>IF(G676="","Unknown",G676)</f>
        <v>East</v>
      </c>
      <c r="AF676" s="7" t="str">
        <f>IF(M676="","Unknown",M676)</f>
        <v>Second Class</v>
      </c>
      <c r="AG676" s="7" t="str">
        <f>IF(P676&lt;0,"Invalid",
IF(P676&gt;1,"Invalid","Valid"))</f>
        <v>Valid</v>
      </c>
      <c r="AH676" s="7" t="str">
        <f>TEXT(B676,"mmmm")</f>
        <v>May</v>
      </c>
      <c r="AI676" s="7">
        <f t="shared" si="63"/>
        <v>2024</v>
      </c>
      <c r="AJ676" s="7" t="str">
        <f>IF(OR(R676&lt;0,C676&lt;B676),"Invalid",
IF(OR(G676="Unknown",M676="Unknown"),"Warning","Clean"))</f>
        <v>Clean</v>
      </c>
      <c r="AK676" s="7" t="str">
        <f>IF(C676&lt;B676,"Ship Before Order","OK")</f>
        <v>OK</v>
      </c>
      <c r="AL676" s="7" t="str">
        <f>IF(ISNUMBER(B676),"Valid","Invalid")</f>
        <v>Valid</v>
      </c>
      <c r="AM676" s="7" t="str">
        <f t="shared" si="64"/>
        <v>Ok</v>
      </c>
      <c r="AN676" s="7" t="str">
        <f t="shared" si="65"/>
        <v>Ok</v>
      </c>
    </row>
    <row r="677" spans="1:40">
      <c r="A677" t="s">
        <v>2110</v>
      </c>
      <c r="B677" s="6">
        <v>45815</v>
      </c>
      <c r="C677" s="4">
        <v>46175</v>
      </c>
      <c r="D677" t="s">
        <v>2011</v>
      </c>
      <c r="E677" t="s">
        <v>128</v>
      </c>
      <c r="F677" t="s">
        <v>24</v>
      </c>
      <c r="G677" t="s">
        <v>25</v>
      </c>
      <c r="H677" t="s">
        <v>26</v>
      </c>
      <c r="I677" t="s">
        <v>27</v>
      </c>
      <c r="J677" t="s">
        <v>41</v>
      </c>
      <c r="K677" t="s">
        <v>57</v>
      </c>
      <c r="L677" t="s">
        <v>2111</v>
      </c>
      <c r="M677" t="s">
        <v>44</v>
      </c>
      <c r="N677">
        <v>3</v>
      </c>
      <c r="O677">
        <v>963.26</v>
      </c>
      <c r="P677">
        <v>0</v>
      </c>
      <c r="Q677" s="7">
        <f>IF(P677="", 0, P677)</f>
        <v>0</v>
      </c>
      <c r="R677">
        <v>2889.78</v>
      </c>
      <c r="S677">
        <v>1811.23</v>
      </c>
      <c r="T677" s="7">
        <f>N677*O677*(1-Q677)</f>
        <v>2889.7799999999997</v>
      </c>
      <c r="U677" s="7">
        <f t="shared" si="60"/>
        <v>1078.5499999999997</v>
      </c>
      <c r="V677">
        <v>1078.55</v>
      </c>
      <c r="W677" s="12">
        <f t="shared" si="61"/>
        <v>0.37322910394562903</v>
      </c>
      <c r="X677" t="s">
        <v>32</v>
      </c>
      <c r="Y677" t="str">
        <f t="shared" si="62"/>
        <v>Paid</v>
      </c>
      <c r="Z677" t="s">
        <v>33</v>
      </c>
      <c r="AA677">
        <f>C677-B677</f>
        <v>360</v>
      </c>
      <c r="AB677" t="str">
        <f>IF(B677="","Missing Order Date",
IF(C677="","Missing Ship Date","OK"))</f>
        <v>OK</v>
      </c>
      <c r="AC677" s="7" t="str">
        <f>IF(C677&lt;B677, "Invalid", "Valid")</f>
        <v>Valid</v>
      </c>
      <c r="AD677" s="7" t="str">
        <f>IF(COUNTIF($A:$A, A677)&gt;1, "Duplicate", "Unique")</f>
        <v>Unique</v>
      </c>
      <c r="AE677" s="7" t="str">
        <f>IF(G677="","Unknown",G677)</f>
        <v>North</v>
      </c>
      <c r="AF677" s="7" t="str">
        <f>IF(M677="","Unknown",M677)</f>
        <v>Same Day</v>
      </c>
      <c r="AG677" s="7" t="str">
        <f>IF(P677&lt;0,"Invalid",
IF(P677&gt;1,"Invalid","Valid"))</f>
        <v>Valid</v>
      </c>
      <c r="AH677" s="7" t="str">
        <f>TEXT(B677,"mmmm")</f>
        <v>June</v>
      </c>
      <c r="AI677" s="7">
        <f t="shared" si="63"/>
        <v>2025</v>
      </c>
      <c r="AJ677" s="7" t="str">
        <f>IF(OR(R677&lt;0,C677&lt;B677),"Invalid",
IF(OR(G677="Unknown",M677="Unknown"),"Warning","Clean"))</f>
        <v>Clean</v>
      </c>
      <c r="AK677" s="7" t="str">
        <f>IF(C677&lt;B677,"Ship Before Order","OK")</f>
        <v>OK</v>
      </c>
      <c r="AL677" s="7" t="str">
        <f>IF(ISNUMBER(B677),"Valid","Invalid")</f>
        <v>Valid</v>
      </c>
      <c r="AM677" s="7" t="str">
        <f t="shared" si="64"/>
        <v>Ok</v>
      </c>
      <c r="AN677" s="7" t="str">
        <f t="shared" si="65"/>
        <v>Ok</v>
      </c>
    </row>
    <row r="678" spans="1:40">
      <c r="A678" t="s">
        <v>2112</v>
      </c>
      <c r="B678" s="6">
        <v>45970</v>
      </c>
      <c r="C678" s="4">
        <v>46176</v>
      </c>
      <c r="D678" t="s">
        <v>2113</v>
      </c>
      <c r="E678" t="s">
        <v>118</v>
      </c>
      <c r="F678" t="s">
        <v>37</v>
      </c>
      <c r="G678" t="s">
        <v>25</v>
      </c>
      <c r="H678" t="s">
        <v>350</v>
      </c>
      <c r="I678" t="s">
        <v>351</v>
      </c>
      <c r="J678" t="s">
        <v>74</v>
      </c>
      <c r="K678" t="s">
        <v>171</v>
      </c>
      <c r="L678" t="s">
        <v>2114</v>
      </c>
      <c r="M678" t="s">
        <v>44</v>
      </c>
      <c r="N678">
        <v>7</v>
      </c>
      <c r="O678">
        <v>3411.21</v>
      </c>
      <c r="P678">
        <v>0.15</v>
      </c>
      <c r="Q678" s="7">
        <f>IF(P678="", 0, P678)</f>
        <v>0.15</v>
      </c>
      <c r="R678">
        <v>20296.7</v>
      </c>
      <c r="S678">
        <v>14920.87</v>
      </c>
      <c r="T678" s="7">
        <f>N678*O678*(1-Q678)</f>
        <v>20296.699499999999</v>
      </c>
      <c r="U678" s="7">
        <f t="shared" si="60"/>
        <v>5375.829499999998</v>
      </c>
      <c r="V678">
        <v>5375.83</v>
      </c>
      <c r="W678" s="12">
        <f t="shared" si="61"/>
        <v>0.26486225014071862</v>
      </c>
      <c r="X678" t="s">
        <v>32</v>
      </c>
      <c r="Y678" t="str">
        <f t="shared" si="62"/>
        <v>Paid</v>
      </c>
      <c r="Z678" t="s">
        <v>33</v>
      </c>
      <c r="AA678">
        <f>C678-B678</f>
        <v>206</v>
      </c>
      <c r="AB678" t="str">
        <f>IF(B678="","Missing Order Date",
IF(C678="","Missing Ship Date","OK"))</f>
        <v>OK</v>
      </c>
      <c r="AC678" s="7" t="str">
        <f>IF(C678&lt;B678, "Invalid", "Valid")</f>
        <v>Valid</v>
      </c>
      <c r="AD678" s="7" t="str">
        <f>IF(COUNTIF($A:$A, A678)&gt;1, "Duplicate", "Unique")</f>
        <v>Duplicate</v>
      </c>
      <c r="AE678" s="7" t="str">
        <f>IF(G678="","Unknown",G678)</f>
        <v>North</v>
      </c>
      <c r="AF678" s="7" t="str">
        <f>IF(M678="","Unknown",M678)</f>
        <v>Same Day</v>
      </c>
      <c r="AG678" s="7" t="str">
        <f>IF(P678&lt;0,"Invalid",
IF(P678&gt;1,"Invalid","Valid"))</f>
        <v>Valid</v>
      </c>
      <c r="AH678" s="7" t="str">
        <f>TEXT(B678,"mmmm")</f>
        <v>November</v>
      </c>
      <c r="AI678" s="7">
        <f t="shared" si="63"/>
        <v>2025</v>
      </c>
      <c r="AJ678" s="7" t="str">
        <f>IF(OR(R678&lt;0,C678&lt;B678),"Invalid",
IF(OR(G678="Unknown",M678="Unknown"),"Warning","Clean"))</f>
        <v>Clean</v>
      </c>
      <c r="AK678" s="7" t="str">
        <f>IF(C678&lt;B678,"Ship Before Order","OK")</f>
        <v>OK</v>
      </c>
      <c r="AL678" s="7" t="str">
        <f>IF(ISNUMBER(B678),"Valid","Invalid")</f>
        <v>Valid</v>
      </c>
      <c r="AM678" s="7" t="str">
        <f t="shared" si="64"/>
        <v>Missmatched</v>
      </c>
      <c r="AN678" s="7" t="str">
        <f t="shared" si="65"/>
        <v>Missmatched</v>
      </c>
    </row>
    <row r="679" spans="1:40">
      <c r="A679" t="s">
        <v>2115</v>
      </c>
      <c r="B679" s="6">
        <v>45465</v>
      </c>
      <c r="C679" s="4">
        <v>46177</v>
      </c>
      <c r="D679" t="s">
        <v>22</v>
      </c>
      <c r="E679" t="s">
        <v>47</v>
      </c>
      <c r="F679" t="s">
        <v>95</v>
      </c>
      <c r="G679" t="s">
        <v>54</v>
      </c>
      <c r="H679" t="s">
        <v>175</v>
      </c>
      <c r="I679" t="s">
        <v>176</v>
      </c>
      <c r="J679" t="s">
        <v>41</v>
      </c>
      <c r="K679" t="s">
        <v>66</v>
      </c>
      <c r="L679" t="s">
        <v>2116</v>
      </c>
      <c r="M679" t="s">
        <v>44</v>
      </c>
      <c r="N679">
        <v>7</v>
      </c>
      <c r="O679">
        <v>2623.48</v>
      </c>
      <c r="P679">
        <v>0</v>
      </c>
      <c r="Q679" s="7">
        <f>IF(P679="", 0, P679)</f>
        <v>0</v>
      </c>
      <c r="R679">
        <v>18364.36</v>
      </c>
      <c r="S679">
        <v>15445.81</v>
      </c>
      <c r="T679" s="7">
        <f>N679*O679*(1-Q679)</f>
        <v>18364.36</v>
      </c>
      <c r="U679" s="7">
        <f t="shared" si="60"/>
        <v>2918.5500000000011</v>
      </c>
      <c r="V679">
        <v>2918.55</v>
      </c>
      <c r="W679" s="12">
        <f t="shared" si="61"/>
        <v>0.15892467801763857</v>
      </c>
      <c r="X679" t="s">
        <v>32</v>
      </c>
      <c r="Y679" t="str">
        <f t="shared" si="62"/>
        <v>Paid</v>
      </c>
      <c r="Z679" t="s">
        <v>33</v>
      </c>
      <c r="AA679">
        <f>C679-B679</f>
        <v>712</v>
      </c>
      <c r="AB679" t="str">
        <f>IF(B679="","Missing Order Date",
IF(C679="","Missing Ship Date","OK"))</f>
        <v>OK</v>
      </c>
      <c r="AC679" s="7" t="str">
        <f>IF(C679&lt;B679, "Invalid", "Valid")</f>
        <v>Valid</v>
      </c>
      <c r="AD679" s="7" t="str">
        <f>IF(COUNTIF($A:$A, A679)&gt;1, "Duplicate", "Unique")</f>
        <v>Unique</v>
      </c>
      <c r="AE679" s="7" t="str">
        <f>IF(G679="","Unknown",G679)</f>
        <v>South</v>
      </c>
      <c r="AF679" s="7" t="str">
        <f>IF(M679="","Unknown",M679)</f>
        <v>Same Day</v>
      </c>
      <c r="AG679" s="7" t="str">
        <f>IF(P679&lt;0,"Invalid",
IF(P679&gt;1,"Invalid","Valid"))</f>
        <v>Valid</v>
      </c>
      <c r="AH679" s="7" t="str">
        <f>TEXT(B679,"mmmm")</f>
        <v>June</v>
      </c>
      <c r="AI679" s="7">
        <f t="shared" si="63"/>
        <v>2024</v>
      </c>
      <c r="AJ679" s="7" t="str">
        <f>IF(OR(R679&lt;0,C679&lt;B679),"Invalid",
IF(OR(G679="Unknown",M679="Unknown"),"Warning","Clean"))</f>
        <v>Clean</v>
      </c>
      <c r="AK679" s="7" t="str">
        <f>IF(C679&lt;B679,"Ship Before Order","OK")</f>
        <v>OK</v>
      </c>
      <c r="AL679" s="7" t="str">
        <f>IF(ISNUMBER(B679),"Valid","Invalid")</f>
        <v>Valid</v>
      </c>
      <c r="AM679" s="7" t="str">
        <f t="shared" si="64"/>
        <v>Ok</v>
      </c>
      <c r="AN679" s="7" t="str">
        <f t="shared" si="65"/>
        <v>Ok</v>
      </c>
    </row>
    <row r="680" spans="1:40">
      <c r="A680" t="s">
        <v>2117</v>
      </c>
      <c r="B680" s="6">
        <v>45620</v>
      </c>
      <c r="C680" s="4">
        <v>46178</v>
      </c>
      <c r="D680" t="s">
        <v>2118</v>
      </c>
      <c r="E680" t="s">
        <v>264</v>
      </c>
      <c r="F680" t="s">
        <v>90</v>
      </c>
      <c r="G680" t="s">
        <v>54</v>
      </c>
      <c r="H680" t="s">
        <v>175</v>
      </c>
      <c r="I680" t="s">
        <v>176</v>
      </c>
      <c r="J680" t="s">
        <v>41</v>
      </c>
      <c r="K680" t="s">
        <v>42</v>
      </c>
      <c r="L680" t="s">
        <v>2119</v>
      </c>
      <c r="M680" t="s">
        <v>31</v>
      </c>
      <c r="N680">
        <v>9</v>
      </c>
      <c r="O680">
        <v>2763.61</v>
      </c>
      <c r="P680">
        <v>0.15</v>
      </c>
      <c r="Q680" s="7">
        <f>IF(P680="", 0, P680)</f>
        <v>0.15</v>
      </c>
      <c r="R680">
        <v>21141.62</v>
      </c>
      <c r="S680">
        <v>11676.33</v>
      </c>
      <c r="T680" s="7">
        <f>N680*O680*(1-Q680)</f>
        <v>21141.6165</v>
      </c>
      <c r="U680" s="7">
        <f t="shared" si="60"/>
        <v>9465.2865000000002</v>
      </c>
      <c r="V680">
        <v>9465.2900000000009</v>
      </c>
      <c r="W680" s="12">
        <f t="shared" si="61"/>
        <v>0.44770874071999178</v>
      </c>
      <c r="X680" t="s">
        <v>32</v>
      </c>
      <c r="Y680" t="str">
        <f t="shared" si="62"/>
        <v>Paid</v>
      </c>
      <c r="Z680" t="s">
        <v>33</v>
      </c>
      <c r="AA680">
        <f>C680-B680</f>
        <v>558</v>
      </c>
      <c r="AB680" t="str">
        <f>IF(B680="","Missing Order Date",
IF(C680="","Missing Ship Date","OK"))</f>
        <v>OK</v>
      </c>
      <c r="AC680" s="7" t="str">
        <f>IF(C680&lt;B680, "Invalid", "Valid")</f>
        <v>Valid</v>
      </c>
      <c r="AD680" s="7" t="str">
        <f>IF(COUNTIF($A:$A, A680)&gt;1, "Duplicate", "Unique")</f>
        <v>Unique</v>
      </c>
      <c r="AE680" s="7" t="str">
        <f>IF(G680="","Unknown",G680)</f>
        <v>South</v>
      </c>
      <c r="AF680" s="7" t="str">
        <f>IF(M680="","Unknown",M680)</f>
        <v>Second Class</v>
      </c>
      <c r="AG680" s="7" t="str">
        <f>IF(P680&lt;0,"Invalid",
IF(P680&gt;1,"Invalid","Valid"))</f>
        <v>Valid</v>
      </c>
      <c r="AH680" s="7" t="str">
        <f>TEXT(B680,"mmmm")</f>
        <v>November</v>
      </c>
      <c r="AI680" s="7">
        <f t="shared" si="63"/>
        <v>2024</v>
      </c>
      <c r="AJ680" s="7" t="str">
        <f>IF(OR(R680&lt;0,C680&lt;B680),"Invalid",
IF(OR(G680="Unknown",M680="Unknown"),"Warning","Clean"))</f>
        <v>Clean</v>
      </c>
      <c r="AK680" s="7" t="str">
        <f>IF(C680&lt;B680,"Ship Before Order","OK")</f>
        <v>OK</v>
      </c>
      <c r="AL680" s="7" t="str">
        <f>IF(ISNUMBER(B680),"Valid","Invalid")</f>
        <v>Valid</v>
      </c>
      <c r="AM680" s="7" t="str">
        <f t="shared" si="64"/>
        <v>Missmatched</v>
      </c>
      <c r="AN680" s="7" t="str">
        <f t="shared" si="65"/>
        <v>Missmatched</v>
      </c>
    </row>
    <row r="681" spans="1:40">
      <c r="A681" t="s">
        <v>2120</v>
      </c>
      <c r="B681" s="6">
        <v>45885</v>
      </c>
      <c r="C681" s="4">
        <v>46179</v>
      </c>
      <c r="D681" t="s">
        <v>2121</v>
      </c>
      <c r="E681" t="s">
        <v>141</v>
      </c>
      <c r="F681" t="s">
        <v>90</v>
      </c>
      <c r="G681" t="s">
        <v>25</v>
      </c>
      <c r="H681" t="s">
        <v>122</v>
      </c>
      <c r="I681" t="s">
        <v>123</v>
      </c>
      <c r="J681" t="s">
        <v>74</v>
      </c>
      <c r="K681" t="s">
        <v>80</v>
      </c>
      <c r="L681" t="s">
        <v>2122</v>
      </c>
      <c r="M681" t="s">
        <v>44</v>
      </c>
      <c r="N681">
        <v>4</v>
      </c>
      <c r="O681">
        <v>1410.57</v>
      </c>
      <c r="P681" t="s">
        <v>463</v>
      </c>
      <c r="Q681" s="7" t="str">
        <f>IF(P681="", 0, P681)</f>
        <v>70%</v>
      </c>
      <c r="R681">
        <v>5360.17</v>
      </c>
      <c r="S681">
        <v>3881.51</v>
      </c>
      <c r="T681" s="7">
        <f>N681*O681*(1-Q681)</f>
        <v>1692.6840000000002</v>
      </c>
      <c r="U681" s="7">
        <f t="shared" si="60"/>
        <v>-2188.826</v>
      </c>
      <c r="V681">
        <v>1478.66</v>
      </c>
      <c r="W681" s="12">
        <f t="shared" si="61"/>
        <v>-1.2931096412561351</v>
      </c>
      <c r="X681" t="s">
        <v>102</v>
      </c>
      <c r="Y681" t="str">
        <f t="shared" si="62"/>
        <v>Refunded</v>
      </c>
      <c r="Z681" t="s">
        <v>68</v>
      </c>
      <c r="AA681">
        <f>C681-B681</f>
        <v>294</v>
      </c>
      <c r="AB681" t="str">
        <f>IF(B681="","Missing Order Date",
IF(C681="","Missing Ship Date","OK"))</f>
        <v>OK</v>
      </c>
      <c r="AC681" s="7" t="str">
        <f>IF(C681&lt;B681, "Invalid", "Valid")</f>
        <v>Valid</v>
      </c>
      <c r="AD681" s="7" t="str">
        <f>IF(COUNTIF($A:$A, A681)&gt;1, "Duplicate", "Unique")</f>
        <v>Unique</v>
      </c>
      <c r="AE681" s="7" t="str">
        <f>IF(G681="","Unknown",G681)</f>
        <v>North</v>
      </c>
      <c r="AF681" s="7" t="str">
        <f>IF(M681="","Unknown",M681)</f>
        <v>Same Day</v>
      </c>
      <c r="AG681" s="7" t="str">
        <f>IF(P681&lt;0,"Invalid",
IF(P681&gt;1,"Invalid","Valid"))</f>
        <v>Invalid</v>
      </c>
      <c r="AH681" s="7" t="str">
        <f>TEXT(B681,"mmmm")</f>
        <v>August</v>
      </c>
      <c r="AI681" s="7">
        <f t="shared" si="63"/>
        <v>2025</v>
      </c>
      <c r="AJ681" s="7" t="str">
        <f>IF(OR(R681&lt;0,C681&lt;B681),"Invalid",
IF(OR(G681="Unknown",M681="Unknown"),"Warning","Clean"))</f>
        <v>Clean</v>
      </c>
      <c r="AK681" s="7" t="str">
        <f>IF(C681&lt;B681,"Ship Before Order","OK")</f>
        <v>OK</v>
      </c>
      <c r="AL681" s="7" t="str">
        <f>IF(ISNUMBER(B681),"Valid","Invalid")</f>
        <v>Valid</v>
      </c>
      <c r="AM681" s="7" t="str">
        <f t="shared" si="64"/>
        <v>Missmatched</v>
      </c>
      <c r="AN681" s="7" t="str">
        <f t="shared" si="65"/>
        <v>Missmatched</v>
      </c>
    </row>
    <row r="682" spans="1:40">
      <c r="A682" t="s">
        <v>2123</v>
      </c>
      <c r="B682" s="6">
        <v>45441</v>
      </c>
      <c r="C682" s="4">
        <v>46180</v>
      </c>
      <c r="D682" t="s">
        <v>2124</v>
      </c>
      <c r="E682" t="s">
        <v>264</v>
      </c>
      <c r="F682" t="s">
        <v>90</v>
      </c>
      <c r="G682" t="s">
        <v>54</v>
      </c>
      <c r="H682" t="s">
        <v>247</v>
      </c>
      <c r="I682" t="s">
        <v>248</v>
      </c>
      <c r="J682" t="s">
        <v>74</v>
      </c>
      <c r="K682" t="s">
        <v>75</v>
      </c>
      <c r="L682" t="s">
        <v>2125</v>
      </c>
      <c r="M682" t="s">
        <v>50</v>
      </c>
      <c r="N682">
        <v>4</v>
      </c>
      <c r="O682">
        <v>3700.24</v>
      </c>
      <c r="P682">
        <v>0</v>
      </c>
      <c r="Q682" s="7">
        <f>IF(P682="", 0, P682)</f>
        <v>0</v>
      </c>
      <c r="R682">
        <v>14800.96</v>
      </c>
      <c r="S682">
        <v>12048.39</v>
      </c>
      <c r="T682" s="7">
        <f>N682*O682*(1-Q682)</f>
        <v>14800.96</v>
      </c>
      <c r="U682" s="7">
        <f t="shared" si="60"/>
        <v>2752.5699999999997</v>
      </c>
      <c r="V682">
        <v>2752.57</v>
      </c>
      <c r="W682" s="12">
        <f t="shared" si="61"/>
        <v>0.18597239638509933</v>
      </c>
      <c r="X682" t="s">
        <v>32</v>
      </c>
      <c r="Y682" t="str">
        <f t="shared" si="62"/>
        <v>Paid</v>
      </c>
      <c r="Z682" t="s">
        <v>33</v>
      </c>
      <c r="AA682">
        <f>C682-B682</f>
        <v>739</v>
      </c>
      <c r="AB682" t="str">
        <f>IF(B682="","Missing Order Date",
IF(C682="","Missing Ship Date","OK"))</f>
        <v>OK</v>
      </c>
      <c r="AC682" s="7" t="str">
        <f>IF(C682&lt;B682, "Invalid", "Valid")</f>
        <v>Valid</v>
      </c>
      <c r="AD682" s="7" t="str">
        <f>IF(COUNTIF($A:$A, A682)&gt;1, "Duplicate", "Unique")</f>
        <v>Unique</v>
      </c>
      <c r="AE682" s="7" t="str">
        <f>IF(G682="","Unknown",G682)</f>
        <v>South</v>
      </c>
      <c r="AF682" s="7" t="str">
        <f>IF(M682="","Unknown",M682)</f>
        <v>First Class</v>
      </c>
      <c r="AG682" s="7" t="str">
        <f>IF(P682&lt;0,"Invalid",
IF(P682&gt;1,"Invalid","Valid"))</f>
        <v>Valid</v>
      </c>
      <c r="AH682" s="7" t="str">
        <f>TEXT(B682,"mmmm")</f>
        <v>May</v>
      </c>
      <c r="AI682" s="7">
        <f t="shared" si="63"/>
        <v>2024</v>
      </c>
      <c r="AJ682" s="7" t="str">
        <f>IF(OR(R682&lt;0,C682&lt;B682),"Invalid",
IF(OR(G682="Unknown",M682="Unknown"),"Warning","Clean"))</f>
        <v>Clean</v>
      </c>
      <c r="AK682" s="7" t="str">
        <f>IF(C682&lt;B682,"Ship Before Order","OK")</f>
        <v>OK</v>
      </c>
      <c r="AL682" s="7" t="str">
        <f>IF(ISNUMBER(B682),"Valid","Invalid")</f>
        <v>Valid</v>
      </c>
      <c r="AM682" s="7" t="str">
        <f t="shared" si="64"/>
        <v>Ok</v>
      </c>
      <c r="AN682" s="7" t="str">
        <f t="shared" si="65"/>
        <v>Ok</v>
      </c>
    </row>
    <row r="683" spans="1:40">
      <c r="A683" t="s">
        <v>2126</v>
      </c>
      <c r="B683" s="6">
        <v>45389</v>
      </c>
      <c r="C683" s="4">
        <v>46181</v>
      </c>
      <c r="D683" t="s">
        <v>2127</v>
      </c>
      <c r="E683" t="s">
        <v>71</v>
      </c>
      <c r="F683" t="s">
        <v>90</v>
      </c>
      <c r="G683" t="s">
        <v>25</v>
      </c>
      <c r="H683" t="s">
        <v>350</v>
      </c>
      <c r="I683" t="s">
        <v>351</v>
      </c>
      <c r="J683" t="s">
        <v>41</v>
      </c>
      <c r="K683" t="s">
        <v>42</v>
      </c>
      <c r="L683" t="s">
        <v>2128</v>
      </c>
      <c r="M683" t="s">
        <v>31</v>
      </c>
      <c r="N683">
        <v>5</v>
      </c>
      <c r="O683">
        <v>1200.27</v>
      </c>
      <c r="P683">
        <v>0</v>
      </c>
      <c r="Q683" s="7">
        <f>IF(P683="", 0, P683)</f>
        <v>0</v>
      </c>
      <c r="R683">
        <v>6001.35</v>
      </c>
      <c r="S683">
        <v>4182.99</v>
      </c>
      <c r="T683" s="7">
        <f>N683*O683*(1-Q683)</f>
        <v>6001.35</v>
      </c>
      <c r="U683" s="7">
        <f t="shared" si="60"/>
        <v>1818.3600000000006</v>
      </c>
      <c r="V683">
        <v>1818.36</v>
      </c>
      <c r="W683" s="12">
        <f t="shared" si="61"/>
        <v>0.30299182683896131</v>
      </c>
      <c r="X683" t="s">
        <v>32</v>
      </c>
      <c r="Y683" t="str">
        <f t="shared" si="62"/>
        <v>Paid</v>
      </c>
      <c r="Z683" t="s">
        <v>68</v>
      </c>
      <c r="AA683">
        <f>C683-B683</f>
        <v>792</v>
      </c>
      <c r="AB683" t="str">
        <f>IF(B683="","Missing Order Date",
IF(C683="","Missing Ship Date","OK"))</f>
        <v>OK</v>
      </c>
      <c r="AC683" s="7" t="str">
        <f>IF(C683&lt;B683, "Invalid", "Valid")</f>
        <v>Valid</v>
      </c>
      <c r="AD683" s="7" t="str">
        <f>IF(COUNTIF($A:$A, A683)&gt;1, "Duplicate", "Unique")</f>
        <v>Unique</v>
      </c>
      <c r="AE683" s="7" t="str">
        <f>IF(G683="","Unknown",G683)</f>
        <v>North</v>
      </c>
      <c r="AF683" s="7" t="str">
        <f>IF(M683="","Unknown",M683)</f>
        <v>Second Class</v>
      </c>
      <c r="AG683" s="7" t="str">
        <f>IF(P683&lt;0,"Invalid",
IF(P683&gt;1,"Invalid","Valid"))</f>
        <v>Valid</v>
      </c>
      <c r="AH683" s="7" t="str">
        <f>TEXT(B683,"mmmm")</f>
        <v>April</v>
      </c>
      <c r="AI683" s="7">
        <f t="shared" si="63"/>
        <v>2024</v>
      </c>
      <c r="AJ683" s="7" t="str">
        <f>IF(OR(R683&lt;0,C683&lt;B683),"Invalid",
IF(OR(G683="Unknown",M683="Unknown"),"Warning","Clean"))</f>
        <v>Clean</v>
      </c>
      <c r="AK683" s="7" t="str">
        <f>IF(C683&lt;B683,"Ship Before Order","OK")</f>
        <v>OK</v>
      </c>
      <c r="AL683" s="7" t="str">
        <f>IF(ISNUMBER(B683),"Valid","Invalid")</f>
        <v>Valid</v>
      </c>
      <c r="AM683" s="7" t="str">
        <f t="shared" si="64"/>
        <v>Ok</v>
      </c>
      <c r="AN683" s="7" t="str">
        <f t="shared" si="65"/>
        <v>Ok</v>
      </c>
    </row>
    <row r="684" spans="1:40">
      <c r="A684" t="s">
        <v>2129</v>
      </c>
      <c r="B684" s="6">
        <v>45779</v>
      </c>
      <c r="C684" s="4">
        <v>46182</v>
      </c>
      <c r="D684" t="s">
        <v>2130</v>
      </c>
      <c r="E684" t="s">
        <v>62</v>
      </c>
      <c r="F684" t="s">
        <v>90</v>
      </c>
      <c r="G684" t="s">
        <v>25</v>
      </c>
      <c r="H684" t="s">
        <v>236</v>
      </c>
      <c r="I684" t="s">
        <v>237</v>
      </c>
      <c r="J684" t="s">
        <v>28</v>
      </c>
      <c r="K684" t="s">
        <v>124</v>
      </c>
      <c r="L684" t="s">
        <v>2131</v>
      </c>
      <c r="M684" t="s">
        <v>44</v>
      </c>
      <c r="N684">
        <v>3</v>
      </c>
      <c r="O684">
        <v>2590.7800000000002</v>
      </c>
      <c r="Q684" s="7">
        <f>IF(P684="", 0, P684)</f>
        <v>0</v>
      </c>
      <c r="R684">
        <v>7383.72</v>
      </c>
      <c r="S684">
        <v>4113.66</v>
      </c>
      <c r="T684" s="7">
        <f>N684*O684*(1-Q684)</f>
        <v>7772.34</v>
      </c>
      <c r="U684" s="7">
        <f t="shared" si="60"/>
        <v>3658.6800000000003</v>
      </c>
      <c r="V684">
        <v>3270.06</v>
      </c>
      <c r="W684" s="12">
        <f t="shared" si="61"/>
        <v>0.47073082237781677</v>
      </c>
      <c r="X684" t="s">
        <v>32</v>
      </c>
      <c r="Y684" t="str">
        <f t="shared" si="62"/>
        <v>Paid</v>
      </c>
      <c r="Z684" t="s">
        <v>33</v>
      </c>
      <c r="AA684">
        <f>C684-B684</f>
        <v>403</v>
      </c>
      <c r="AB684" t="str">
        <f>IF(B684="","Missing Order Date",
IF(C684="","Missing Ship Date","OK"))</f>
        <v>OK</v>
      </c>
      <c r="AC684" s="7" t="str">
        <f>IF(C684&lt;B684, "Invalid", "Valid")</f>
        <v>Valid</v>
      </c>
      <c r="AD684" s="7" t="str">
        <f>IF(COUNTIF($A:$A, A684)&gt;1, "Duplicate", "Unique")</f>
        <v>Unique</v>
      </c>
      <c r="AE684" s="7" t="str">
        <f>IF(G684="","Unknown",G684)</f>
        <v>North</v>
      </c>
      <c r="AF684" s="7" t="str">
        <f>IF(M684="","Unknown",M684)</f>
        <v>Same Day</v>
      </c>
      <c r="AG684" s="7" t="str">
        <f>IF(P684&lt;0,"Invalid",
IF(P684&gt;1,"Invalid","Valid"))</f>
        <v>Valid</v>
      </c>
      <c r="AH684" s="7" t="str">
        <f>TEXT(B684,"mmmm")</f>
        <v>May</v>
      </c>
      <c r="AI684" s="7">
        <f t="shared" si="63"/>
        <v>2025</v>
      </c>
      <c r="AJ684" s="7" t="str">
        <f>IF(OR(R684&lt;0,C684&lt;B684),"Invalid",
IF(OR(G684="Unknown",M684="Unknown"),"Warning","Clean"))</f>
        <v>Clean</v>
      </c>
      <c r="AK684" s="7" t="str">
        <f>IF(C684&lt;B684,"Ship Before Order","OK")</f>
        <v>OK</v>
      </c>
      <c r="AL684" s="7" t="str">
        <f>IF(ISNUMBER(B684),"Valid","Invalid")</f>
        <v>Valid</v>
      </c>
      <c r="AM684" s="7" t="str">
        <f t="shared" si="64"/>
        <v>Missmatched</v>
      </c>
      <c r="AN684" s="7" t="str">
        <f t="shared" si="65"/>
        <v>Missmatched</v>
      </c>
    </row>
    <row r="685" spans="1:40">
      <c r="A685" t="s">
        <v>2132</v>
      </c>
      <c r="B685" s="6">
        <v>45858</v>
      </c>
      <c r="C685" s="4">
        <v>46183</v>
      </c>
      <c r="D685" t="s">
        <v>2133</v>
      </c>
      <c r="E685" t="s">
        <v>53</v>
      </c>
      <c r="F685" t="s">
        <v>37</v>
      </c>
      <c r="G685" t="s">
        <v>54</v>
      </c>
      <c r="H685" t="s">
        <v>55</v>
      </c>
      <c r="I685" t="s">
        <v>56</v>
      </c>
      <c r="J685" t="s">
        <v>41</v>
      </c>
      <c r="K685" t="s">
        <v>57</v>
      </c>
      <c r="L685" t="s">
        <v>2134</v>
      </c>
      <c r="M685" t="s">
        <v>31</v>
      </c>
      <c r="N685">
        <v>6</v>
      </c>
      <c r="O685">
        <v>1646.45</v>
      </c>
      <c r="P685">
        <v>0.2</v>
      </c>
      <c r="Q685" s="7">
        <f>IF(P685="", 0, P685)</f>
        <v>0.2</v>
      </c>
      <c r="R685">
        <v>7902.96</v>
      </c>
      <c r="S685">
        <v>5512.03</v>
      </c>
      <c r="T685" s="7">
        <f>N685*O685*(1-Q685)</f>
        <v>7902.9600000000009</v>
      </c>
      <c r="U685" s="7">
        <f t="shared" si="60"/>
        <v>2390.9300000000012</v>
      </c>
      <c r="V685">
        <v>2390.9299999999998</v>
      </c>
      <c r="W685" s="12">
        <f t="shared" si="61"/>
        <v>0.30253601182341816</v>
      </c>
      <c r="X685" t="s">
        <v>102</v>
      </c>
      <c r="Y685" t="str">
        <f t="shared" si="62"/>
        <v>Refunded</v>
      </c>
      <c r="Z685" t="s">
        <v>68</v>
      </c>
      <c r="AA685">
        <f>C685-B685</f>
        <v>325</v>
      </c>
      <c r="AB685" t="str">
        <f>IF(B685="","Missing Order Date",
IF(C685="","Missing Ship Date","OK"))</f>
        <v>OK</v>
      </c>
      <c r="AC685" s="7" t="str">
        <f>IF(C685&lt;B685, "Invalid", "Valid")</f>
        <v>Valid</v>
      </c>
      <c r="AD685" s="7" t="str">
        <f>IF(COUNTIF($A:$A, A685)&gt;1, "Duplicate", "Unique")</f>
        <v>Unique</v>
      </c>
      <c r="AE685" s="7" t="str">
        <f>IF(G685="","Unknown",G685)</f>
        <v>South</v>
      </c>
      <c r="AF685" s="7" t="str">
        <f>IF(M685="","Unknown",M685)</f>
        <v>Second Class</v>
      </c>
      <c r="AG685" s="7" t="str">
        <f>IF(P685&lt;0,"Invalid",
IF(P685&gt;1,"Invalid","Valid"))</f>
        <v>Valid</v>
      </c>
      <c r="AH685" s="7" t="str">
        <f>TEXT(B685,"mmmm")</f>
        <v>July</v>
      </c>
      <c r="AI685" s="7">
        <f t="shared" si="63"/>
        <v>2025</v>
      </c>
      <c r="AJ685" s="7" t="str">
        <f>IF(OR(R685&lt;0,C685&lt;B685),"Invalid",
IF(OR(G685="Unknown",M685="Unknown"),"Warning","Clean"))</f>
        <v>Clean</v>
      </c>
      <c r="AK685" s="7" t="str">
        <f>IF(C685&lt;B685,"Ship Before Order","OK")</f>
        <v>OK</v>
      </c>
      <c r="AL685" s="7" t="str">
        <f>IF(ISNUMBER(B685),"Valid","Invalid")</f>
        <v>Valid</v>
      </c>
      <c r="AM685" s="7" t="str">
        <f t="shared" si="64"/>
        <v>Ok</v>
      </c>
      <c r="AN685" s="7" t="str">
        <f t="shared" si="65"/>
        <v>Ok</v>
      </c>
    </row>
    <row r="686" spans="1:40">
      <c r="A686" t="s">
        <v>2135</v>
      </c>
      <c r="B686" s="6">
        <v>45859</v>
      </c>
      <c r="C686" s="4">
        <v>46184</v>
      </c>
      <c r="D686" t="s">
        <v>2136</v>
      </c>
      <c r="E686" t="s">
        <v>47</v>
      </c>
      <c r="F686" t="s">
        <v>95</v>
      </c>
      <c r="G686" t="s">
        <v>54</v>
      </c>
      <c r="H686" t="s">
        <v>247</v>
      </c>
      <c r="I686" t="s">
        <v>248</v>
      </c>
      <c r="J686" t="s">
        <v>41</v>
      </c>
      <c r="K686" t="s">
        <v>158</v>
      </c>
      <c r="L686" t="s">
        <v>2137</v>
      </c>
      <c r="M686" t="s">
        <v>50</v>
      </c>
      <c r="N686">
        <v>7</v>
      </c>
      <c r="O686">
        <v>4396.6499999999996</v>
      </c>
      <c r="P686">
        <v>0.2</v>
      </c>
      <c r="Q686" s="7">
        <f>IF(P686="", 0, P686)</f>
        <v>0.2</v>
      </c>
      <c r="R686">
        <v>24621.24</v>
      </c>
      <c r="S686">
        <v>17155.48</v>
      </c>
      <c r="T686" s="7">
        <f>N686*O686*(1-Q686)</f>
        <v>24621.239999999998</v>
      </c>
      <c r="U686" s="7">
        <f t="shared" si="60"/>
        <v>7465.7599999999984</v>
      </c>
      <c r="V686">
        <v>7465.76</v>
      </c>
      <c r="W686" s="12">
        <f t="shared" si="61"/>
        <v>0.3032243705028666</v>
      </c>
      <c r="X686" t="s">
        <v>102</v>
      </c>
      <c r="Y686" t="str">
        <f t="shared" si="62"/>
        <v>Refunded</v>
      </c>
      <c r="Z686" t="s">
        <v>68</v>
      </c>
      <c r="AA686">
        <f>C686-B686</f>
        <v>325</v>
      </c>
      <c r="AB686" t="str">
        <f>IF(B686="","Missing Order Date",
IF(C686="","Missing Ship Date","OK"))</f>
        <v>OK</v>
      </c>
      <c r="AC686" s="7" t="str">
        <f>IF(C686&lt;B686, "Invalid", "Valid")</f>
        <v>Valid</v>
      </c>
      <c r="AD686" s="7" t="str">
        <f>IF(COUNTIF($A:$A, A686)&gt;1, "Duplicate", "Unique")</f>
        <v>Unique</v>
      </c>
      <c r="AE686" s="7" t="str">
        <f>IF(G686="","Unknown",G686)</f>
        <v>South</v>
      </c>
      <c r="AF686" s="7" t="str">
        <f>IF(M686="","Unknown",M686)</f>
        <v>First Class</v>
      </c>
      <c r="AG686" s="7" t="str">
        <f>IF(P686&lt;0,"Invalid",
IF(P686&gt;1,"Invalid","Valid"))</f>
        <v>Valid</v>
      </c>
      <c r="AH686" s="7" t="str">
        <f>TEXT(B686,"mmmm")</f>
        <v>July</v>
      </c>
      <c r="AI686" s="7">
        <f t="shared" si="63"/>
        <v>2025</v>
      </c>
      <c r="AJ686" s="7" t="str">
        <f>IF(OR(R686&lt;0,C686&lt;B686),"Invalid",
IF(OR(G686="Unknown",M686="Unknown"),"Warning","Clean"))</f>
        <v>Clean</v>
      </c>
      <c r="AK686" s="7" t="str">
        <f>IF(C686&lt;B686,"Ship Before Order","OK")</f>
        <v>OK</v>
      </c>
      <c r="AL686" s="7" t="str">
        <f>IF(ISNUMBER(B686),"Valid","Invalid")</f>
        <v>Valid</v>
      </c>
      <c r="AM686" s="7" t="str">
        <f t="shared" si="64"/>
        <v>Ok</v>
      </c>
      <c r="AN686" s="7" t="str">
        <f t="shared" si="65"/>
        <v>Ok</v>
      </c>
    </row>
    <row r="687" spans="1:40">
      <c r="A687" t="s">
        <v>2138</v>
      </c>
      <c r="B687" s="6">
        <v>45667</v>
      </c>
      <c r="C687" s="4">
        <v>46185</v>
      </c>
      <c r="D687" t="s">
        <v>1804</v>
      </c>
      <c r="E687" t="s">
        <v>79</v>
      </c>
      <c r="F687" t="s">
        <v>90</v>
      </c>
      <c r="G687" t="s">
        <v>63</v>
      </c>
      <c r="H687" t="s">
        <v>190</v>
      </c>
      <c r="I687" t="s">
        <v>191</v>
      </c>
      <c r="J687" t="s">
        <v>28</v>
      </c>
      <c r="K687" t="s">
        <v>48</v>
      </c>
      <c r="L687" t="s">
        <v>2139</v>
      </c>
      <c r="M687" t="s">
        <v>59</v>
      </c>
      <c r="N687">
        <v>9</v>
      </c>
      <c r="O687">
        <v>818.15</v>
      </c>
      <c r="P687">
        <v>0.55000000000000004</v>
      </c>
      <c r="Q687" s="7">
        <f>IF(P687="", 0, P687)</f>
        <v>0.55000000000000004</v>
      </c>
      <c r="R687">
        <v>6627.01</v>
      </c>
      <c r="S687">
        <v>5606.79</v>
      </c>
      <c r="T687" s="7">
        <f>N687*O687*(1-Q687)</f>
        <v>3313.5074999999993</v>
      </c>
      <c r="U687" s="7">
        <f t="shared" si="60"/>
        <v>-2293.2825000000007</v>
      </c>
      <c r="V687">
        <v>1020.22</v>
      </c>
      <c r="W687" s="12">
        <f t="shared" si="61"/>
        <v>-0.69210119488185895</v>
      </c>
      <c r="X687" t="s">
        <v>155</v>
      </c>
      <c r="Y687" t="str">
        <f t="shared" si="62"/>
        <v>Failed</v>
      </c>
      <c r="Z687" t="s">
        <v>68</v>
      </c>
      <c r="AA687">
        <f>C687-B687</f>
        <v>518</v>
      </c>
      <c r="AB687" t="str">
        <f>IF(B687="","Missing Order Date",
IF(C687="","Missing Ship Date","OK"))</f>
        <v>OK</v>
      </c>
      <c r="AC687" s="7" t="str">
        <f>IF(C687&lt;B687, "Invalid", "Valid")</f>
        <v>Valid</v>
      </c>
      <c r="AD687" s="7" t="str">
        <f>IF(COUNTIF($A:$A, A687)&gt;1, "Duplicate", "Unique")</f>
        <v>Unique</v>
      </c>
      <c r="AE687" s="7" t="str">
        <f>IF(G687="","Unknown",G687)</f>
        <v>West</v>
      </c>
      <c r="AF687" s="7" t="str">
        <f>IF(M687="","Unknown",M687)</f>
        <v>Standard Class</v>
      </c>
      <c r="AG687" s="7" t="str">
        <f>IF(P687&lt;0,"Invalid",
IF(P687&gt;1,"Invalid","Valid"))</f>
        <v>Valid</v>
      </c>
      <c r="AH687" s="7" t="str">
        <f>TEXT(B687,"mmmm")</f>
        <v>January</v>
      </c>
      <c r="AI687" s="7">
        <f t="shared" si="63"/>
        <v>2025</v>
      </c>
      <c r="AJ687" s="7" t="str">
        <f>IF(OR(R687&lt;0,C687&lt;B687),"Invalid",
IF(OR(G687="Unknown",M687="Unknown"),"Warning","Clean"))</f>
        <v>Clean</v>
      </c>
      <c r="AK687" s="7" t="str">
        <f>IF(C687&lt;B687,"Ship Before Order","OK")</f>
        <v>OK</v>
      </c>
      <c r="AL687" s="7" t="str">
        <f>IF(ISNUMBER(B687),"Valid","Invalid")</f>
        <v>Valid</v>
      </c>
      <c r="AM687" s="7" t="str">
        <f t="shared" si="64"/>
        <v>Missmatched</v>
      </c>
      <c r="AN687" s="7" t="str">
        <f t="shared" si="65"/>
        <v>Missmatched</v>
      </c>
    </row>
    <row r="688" spans="1:40">
      <c r="A688" t="s">
        <v>2140</v>
      </c>
      <c r="B688" s="6">
        <v>45376</v>
      </c>
      <c r="C688" s="4">
        <v>46186</v>
      </c>
      <c r="D688" t="s">
        <v>2141</v>
      </c>
      <c r="E688" t="s">
        <v>132</v>
      </c>
      <c r="F688" t="s">
        <v>95</v>
      </c>
      <c r="G688" t="s">
        <v>54</v>
      </c>
      <c r="H688" t="s">
        <v>247</v>
      </c>
      <c r="I688" t="s">
        <v>248</v>
      </c>
      <c r="J688" t="s">
        <v>74</v>
      </c>
      <c r="K688" t="s">
        <v>80</v>
      </c>
      <c r="L688" t="s">
        <v>2142</v>
      </c>
      <c r="M688" t="s">
        <v>59</v>
      </c>
      <c r="N688">
        <v>2</v>
      </c>
      <c r="O688">
        <v>2349.13</v>
      </c>
      <c r="P688">
        <v>0</v>
      </c>
      <c r="Q688" s="7">
        <f>IF(P688="", 0, P688)</f>
        <v>0</v>
      </c>
      <c r="R688">
        <v>4698.26</v>
      </c>
      <c r="S688">
        <v>2654.92</v>
      </c>
      <c r="T688" s="7">
        <f>N688*O688*(1-Q688)</f>
        <v>4698.26</v>
      </c>
      <c r="U688" s="7">
        <f t="shared" si="60"/>
        <v>2043.3400000000001</v>
      </c>
      <c r="V688">
        <v>2043.34</v>
      </c>
      <c r="W688" s="12">
        <f t="shared" si="61"/>
        <v>0.43491420227914163</v>
      </c>
      <c r="X688" t="s">
        <v>32</v>
      </c>
      <c r="Y688" t="str">
        <f t="shared" si="62"/>
        <v>Paid</v>
      </c>
      <c r="Z688" t="s">
        <v>33</v>
      </c>
      <c r="AA688">
        <f>C688-B688</f>
        <v>810</v>
      </c>
      <c r="AB688" t="str">
        <f>IF(B688="","Missing Order Date",
IF(C688="","Missing Ship Date","OK"))</f>
        <v>OK</v>
      </c>
      <c r="AC688" s="7" t="str">
        <f>IF(C688&lt;B688, "Invalid", "Valid")</f>
        <v>Valid</v>
      </c>
      <c r="AD688" s="7" t="str">
        <f>IF(COUNTIF($A:$A, A688)&gt;1, "Duplicate", "Unique")</f>
        <v>Unique</v>
      </c>
      <c r="AE688" s="7" t="str">
        <f>IF(G688="","Unknown",G688)</f>
        <v>South</v>
      </c>
      <c r="AF688" s="7" t="str">
        <f>IF(M688="","Unknown",M688)</f>
        <v>Standard Class</v>
      </c>
      <c r="AG688" s="7" t="str">
        <f>IF(P688&lt;0,"Invalid",
IF(P688&gt;1,"Invalid","Valid"))</f>
        <v>Valid</v>
      </c>
      <c r="AH688" s="7" t="str">
        <f>TEXT(B688,"mmmm")</f>
        <v>March</v>
      </c>
      <c r="AI688" s="7">
        <f t="shared" si="63"/>
        <v>2024</v>
      </c>
      <c r="AJ688" s="7" t="str">
        <f>IF(OR(R688&lt;0,C688&lt;B688),"Invalid",
IF(OR(G688="Unknown",M688="Unknown"),"Warning","Clean"))</f>
        <v>Clean</v>
      </c>
      <c r="AK688" s="7" t="str">
        <f>IF(C688&lt;B688,"Ship Before Order","OK")</f>
        <v>OK</v>
      </c>
      <c r="AL688" s="7" t="str">
        <f>IF(ISNUMBER(B688),"Valid","Invalid")</f>
        <v>Valid</v>
      </c>
      <c r="AM688" s="7" t="str">
        <f t="shared" si="64"/>
        <v>Ok</v>
      </c>
      <c r="AN688" s="7" t="str">
        <f t="shared" si="65"/>
        <v>Ok</v>
      </c>
    </row>
    <row r="689" spans="1:40">
      <c r="A689" t="s">
        <v>2143</v>
      </c>
      <c r="B689" s="6">
        <v>45879</v>
      </c>
      <c r="C689" s="4">
        <v>46187</v>
      </c>
      <c r="D689" t="s">
        <v>2144</v>
      </c>
      <c r="E689" t="s">
        <v>36</v>
      </c>
      <c r="F689" t="s">
        <v>95</v>
      </c>
      <c r="G689" t="s">
        <v>25</v>
      </c>
      <c r="H689" t="s">
        <v>122</v>
      </c>
      <c r="I689" t="s">
        <v>123</v>
      </c>
      <c r="J689" t="s">
        <v>41</v>
      </c>
      <c r="K689" t="s">
        <v>42</v>
      </c>
      <c r="L689" t="s">
        <v>2145</v>
      </c>
      <c r="M689" t="s">
        <v>50</v>
      </c>
      <c r="N689">
        <v>4</v>
      </c>
      <c r="O689">
        <v>172.05</v>
      </c>
      <c r="P689">
        <v>0</v>
      </c>
      <c r="Q689" s="7">
        <f>IF(P689="", 0, P689)</f>
        <v>0</v>
      </c>
      <c r="R689">
        <v>688.2</v>
      </c>
      <c r="S689">
        <v>497.68</v>
      </c>
      <c r="T689" s="7">
        <f>N689*O689*(1-Q689)</f>
        <v>688.2</v>
      </c>
      <c r="U689" s="7">
        <f t="shared" si="60"/>
        <v>190.52000000000004</v>
      </c>
      <c r="V689">
        <v>190.52</v>
      </c>
      <c r="W689" s="12">
        <f t="shared" si="61"/>
        <v>0.27683812845103173</v>
      </c>
      <c r="X689" t="s">
        <v>155</v>
      </c>
      <c r="Y689" t="str">
        <f t="shared" si="62"/>
        <v>Failed</v>
      </c>
      <c r="Z689" t="s">
        <v>68</v>
      </c>
      <c r="AA689">
        <f>C689-B689</f>
        <v>308</v>
      </c>
      <c r="AB689" t="str">
        <f>IF(B689="","Missing Order Date",
IF(C689="","Missing Ship Date","OK"))</f>
        <v>OK</v>
      </c>
      <c r="AC689" s="7" t="str">
        <f>IF(C689&lt;B689, "Invalid", "Valid")</f>
        <v>Valid</v>
      </c>
      <c r="AD689" s="7" t="str">
        <f>IF(COUNTIF($A:$A, A689)&gt;1, "Duplicate", "Unique")</f>
        <v>Unique</v>
      </c>
      <c r="AE689" s="7" t="str">
        <f>IF(G689="","Unknown",G689)</f>
        <v>North</v>
      </c>
      <c r="AF689" s="7" t="str">
        <f>IF(M689="","Unknown",M689)</f>
        <v>First Class</v>
      </c>
      <c r="AG689" s="7" t="str">
        <f>IF(P689&lt;0,"Invalid",
IF(P689&gt;1,"Invalid","Valid"))</f>
        <v>Valid</v>
      </c>
      <c r="AH689" s="7" t="str">
        <f>TEXT(B689,"mmmm")</f>
        <v>August</v>
      </c>
      <c r="AI689" s="7">
        <f t="shared" si="63"/>
        <v>2025</v>
      </c>
      <c r="AJ689" s="7" t="str">
        <f>IF(OR(R689&lt;0,C689&lt;B689),"Invalid",
IF(OR(G689="Unknown",M689="Unknown"),"Warning","Clean"))</f>
        <v>Clean</v>
      </c>
      <c r="AK689" s="7" t="str">
        <f>IF(C689&lt;B689,"Ship Before Order","OK")</f>
        <v>OK</v>
      </c>
      <c r="AL689" s="7" t="str">
        <f>IF(ISNUMBER(B689),"Valid","Invalid")</f>
        <v>Valid</v>
      </c>
      <c r="AM689" s="7" t="str">
        <f t="shared" si="64"/>
        <v>Ok</v>
      </c>
      <c r="AN689" s="7" t="str">
        <f t="shared" si="65"/>
        <v>Ok</v>
      </c>
    </row>
    <row r="690" spans="1:40">
      <c r="A690" t="s">
        <v>2146</v>
      </c>
      <c r="B690" s="6">
        <v>45714</v>
      </c>
      <c r="C690" s="4">
        <v>46188</v>
      </c>
      <c r="D690" t="s">
        <v>2147</v>
      </c>
      <c r="E690" t="s">
        <v>79</v>
      </c>
      <c r="F690" t="s">
        <v>95</v>
      </c>
      <c r="G690" t="s">
        <v>25</v>
      </c>
      <c r="H690" t="s">
        <v>236</v>
      </c>
      <c r="I690" t="s">
        <v>237</v>
      </c>
      <c r="J690" t="s">
        <v>28</v>
      </c>
      <c r="K690" t="s">
        <v>48</v>
      </c>
      <c r="L690" t="s">
        <v>2148</v>
      </c>
      <c r="M690" t="s">
        <v>31</v>
      </c>
      <c r="N690">
        <v>6</v>
      </c>
      <c r="O690">
        <v>3037.66</v>
      </c>
      <c r="P690">
        <v>0.15</v>
      </c>
      <c r="Q690" s="7">
        <f>IF(P690="", 0, P690)</f>
        <v>0.15</v>
      </c>
      <c r="R690">
        <v>15492.07</v>
      </c>
      <c r="S690">
        <v>12581.23</v>
      </c>
      <c r="T690" s="7">
        <f>N690*O690*(1-Q690)</f>
        <v>15492.065999999999</v>
      </c>
      <c r="U690" s="7">
        <f t="shared" si="60"/>
        <v>2910.8359999999993</v>
      </c>
      <c r="V690">
        <v>2910.84</v>
      </c>
      <c r="W690" s="12">
        <f t="shared" si="61"/>
        <v>0.18789204745190213</v>
      </c>
      <c r="X690" t="s">
        <v>32</v>
      </c>
      <c r="Y690" t="str">
        <f t="shared" si="62"/>
        <v>Paid</v>
      </c>
      <c r="Z690" t="s">
        <v>33</v>
      </c>
      <c r="AA690">
        <f>C690-B690</f>
        <v>474</v>
      </c>
      <c r="AB690" t="str">
        <f>IF(B690="","Missing Order Date",
IF(C690="","Missing Ship Date","OK"))</f>
        <v>OK</v>
      </c>
      <c r="AC690" s="7" t="str">
        <f>IF(C690&lt;B690, "Invalid", "Valid")</f>
        <v>Valid</v>
      </c>
      <c r="AD690" s="7" t="str">
        <f>IF(COUNTIF($A:$A, A690)&gt;1, "Duplicate", "Unique")</f>
        <v>Unique</v>
      </c>
      <c r="AE690" s="7" t="str">
        <f>IF(G690="","Unknown",G690)</f>
        <v>North</v>
      </c>
      <c r="AF690" s="7" t="str">
        <f>IF(M690="","Unknown",M690)</f>
        <v>Second Class</v>
      </c>
      <c r="AG690" s="7" t="str">
        <f>IF(P690&lt;0,"Invalid",
IF(P690&gt;1,"Invalid","Valid"))</f>
        <v>Valid</v>
      </c>
      <c r="AH690" s="7" t="str">
        <f>TEXT(B690,"mmmm")</f>
        <v>February</v>
      </c>
      <c r="AI690" s="7">
        <f t="shared" si="63"/>
        <v>2025</v>
      </c>
      <c r="AJ690" s="7" t="str">
        <f>IF(OR(R690&lt;0,C690&lt;B690),"Invalid",
IF(OR(G690="Unknown",M690="Unknown"),"Warning","Clean"))</f>
        <v>Clean</v>
      </c>
      <c r="AK690" s="7" t="str">
        <f>IF(C690&lt;B690,"Ship Before Order","OK")</f>
        <v>OK</v>
      </c>
      <c r="AL690" s="7" t="str">
        <f>IF(ISNUMBER(B690),"Valid","Invalid")</f>
        <v>Valid</v>
      </c>
      <c r="AM690" s="7" t="str">
        <f t="shared" si="64"/>
        <v>Missmatched</v>
      </c>
      <c r="AN690" s="7" t="str">
        <f t="shared" si="65"/>
        <v>Missmatched</v>
      </c>
    </row>
    <row r="691" spans="1:40">
      <c r="A691" t="s">
        <v>2149</v>
      </c>
      <c r="B691" s="6">
        <v>45570</v>
      </c>
      <c r="C691" s="4">
        <v>46189</v>
      </c>
      <c r="D691" t="s">
        <v>2150</v>
      </c>
      <c r="E691" t="s">
        <v>141</v>
      </c>
      <c r="F691" t="s">
        <v>37</v>
      </c>
      <c r="G691" t="s">
        <v>25</v>
      </c>
      <c r="H691" t="s">
        <v>122</v>
      </c>
      <c r="I691" t="s">
        <v>123</v>
      </c>
      <c r="J691" t="s">
        <v>41</v>
      </c>
      <c r="K691" t="s">
        <v>42</v>
      </c>
      <c r="L691" t="s">
        <v>2151</v>
      </c>
      <c r="M691" t="s">
        <v>59</v>
      </c>
      <c r="N691">
        <v>9</v>
      </c>
      <c r="O691">
        <v>489.58</v>
      </c>
      <c r="P691">
        <v>0.15</v>
      </c>
      <c r="Q691" s="7">
        <f>IF(P691="", 0, P691)</f>
        <v>0.15</v>
      </c>
      <c r="R691">
        <v>3745.29</v>
      </c>
      <c r="S691">
        <v>2302.65</v>
      </c>
      <c r="T691" s="7">
        <f>N691*O691*(1-Q691)</f>
        <v>3745.2870000000003</v>
      </c>
      <c r="U691" s="7">
        <f t="shared" si="60"/>
        <v>1442.6370000000002</v>
      </c>
      <c r="V691">
        <v>1442.64</v>
      </c>
      <c r="W691" s="12">
        <f t="shared" si="61"/>
        <v>0.38518730340291679</v>
      </c>
      <c r="X691" t="s">
        <v>155</v>
      </c>
      <c r="Y691" t="str">
        <f t="shared" si="62"/>
        <v>Failed</v>
      </c>
      <c r="Z691" t="s">
        <v>68</v>
      </c>
      <c r="AA691">
        <f>C691-B691</f>
        <v>619</v>
      </c>
      <c r="AB691" t="str">
        <f>IF(B691="","Missing Order Date",
IF(C691="","Missing Ship Date","OK"))</f>
        <v>OK</v>
      </c>
      <c r="AC691" s="7" t="str">
        <f>IF(C691&lt;B691, "Invalid", "Valid")</f>
        <v>Valid</v>
      </c>
      <c r="AD691" s="7" t="str">
        <f>IF(COUNTIF($A:$A, A691)&gt;1, "Duplicate", "Unique")</f>
        <v>Unique</v>
      </c>
      <c r="AE691" s="7" t="str">
        <f>IF(G691="","Unknown",G691)</f>
        <v>North</v>
      </c>
      <c r="AF691" s="7" t="str">
        <f>IF(M691="","Unknown",M691)</f>
        <v>Standard Class</v>
      </c>
      <c r="AG691" s="7" t="str">
        <f>IF(P691&lt;0,"Invalid",
IF(P691&gt;1,"Invalid","Valid"))</f>
        <v>Valid</v>
      </c>
      <c r="AH691" s="7" t="str">
        <f>TEXT(B691,"mmmm")</f>
        <v>October</v>
      </c>
      <c r="AI691" s="7">
        <f t="shared" si="63"/>
        <v>2024</v>
      </c>
      <c r="AJ691" s="7" t="str">
        <f>IF(OR(R691&lt;0,C691&lt;B691),"Invalid",
IF(OR(G691="Unknown",M691="Unknown"),"Warning","Clean"))</f>
        <v>Clean</v>
      </c>
      <c r="AK691" s="7" t="str">
        <f>IF(C691&lt;B691,"Ship Before Order","OK")</f>
        <v>OK</v>
      </c>
      <c r="AL691" s="7" t="str">
        <f>IF(ISNUMBER(B691),"Valid","Invalid")</f>
        <v>Valid</v>
      </c>
      <c r="AM691" s="7" t="str">
        <f t="shared" si="64"/>
        <v>Missmatched</v>
      </c>
      <c r="AN691" s="7" t="str">
        <f t="shared" si="65"/>
        <v>Missmatched</v>
      </c>
    </row>
    <row r="692" spans="1:40">
      <c r="A692" t="s">
        <v>2152</v>
      </c>
      <c r="B692" s="6">
        <v>45605</v>
      </c>
      <c r="C692" s="4">
        <v>46190</v>
      </c>
      <c r="D692" t="s">
        <v>2153</v>
      </c>
      <c r="E692" t="s">
        <v>132</v>
      </c>
      <c r="F692" t="s">
        <v>90</v>
      </c>
      <c r="G692" t="s">
        <v>54</v>
      </c>
      <c r="H692" t="s">
        <v>247</v>
      </c>
      <c r="I692" t="s">
        <v>248</v>
      </c>
      <c r="J692" t="s">
        <v>28</v>
      </c>
      <c r="K692" t="s">
        <v>48</v>
      </c>
      <c r="L692" t="s">
        <v>2154</v>
      </c>
      <c r="M692" t="s">
        <v>59</v>
      </c>
      <c r="N692">
        <v>4</v>
      </c>
      <c r="O692">
        <v>865.63</v>
      </c>
      <c r="P692">
        <v>0</v>
      </c>
      <c r="Q692" s="7">
        <f>IF(P692="", 0, P692)</f>
        <v>0</v>
      </c>
      <c r="R692">
        <v>3462.52</v>
      </c>
      <c r="S692">
        <v>2797.29</v>
      </c>
      <c r="T692" s="7">
        <f>N692*O692*(1-Q692)</f>
        <v>3462.52</v>
      </c>
      <c r="U692" s="7">
        <f t="shared" si="60"/>
        <v>665.23</v>
      </c>
      <c r="V692">
        <v>665.23</v>
      </c>
      <c r="W692" s="12">
        <f t="shared" si="61"/>
        <v>0.19212307798944123</v>
      </c>
      <c r="X692" t="s">
        <v>155</v>
      </c>
      <c r="Y692" t="str">
        <f t="shared" si="62"/>
        <v>Failed</v>
      </c>
      <c r="Z692" t="s">
        <v>103</v>
      </c>
      <c r="AA692">
        <f>C692-B692</f>
        <v>585</v>
      </c>
      <c r="AB692" t="str">
        <f>IF(B692="","Missing Order Date",
IF(C692="","Missing Ship Date","OK"))</f>
        <v>OK</v>
      </c>
      <c r="AC692" s="7" t="str">
        <f>IF(C692&lt;B692, "Invalid", "Valid")</f>
        <v>Valid</v>
      </c>
      <c r="AD692" s="7" t="str">
        <f>IF(COUNTIF($A:$A, A692)&gt;1, "Duplicate", "Unique")</f>
        <v>Unique</v>
      </c>
      <c r="AE692" s="7" t="str">
        <f>IF(G692="","Unknown",G692)</f>
        <v>South</v>
      </c>
      <c r="AF692" s="7" t="str">
        <f>IF(M692="","Unknown",M692)</f>
        <v>Standard Class</v>
      </c>
      <c r="AG692" s="7" t="str">
        <f>IF(P692&lt;0,"Invalid",
IF(P692&gt;1,"Invalid","Valid"))</f>
        <v>Valid</v>
      </c>
      <c r="AH692" s="7" t="str">
        <f>TEXT(B692,"mmmm")</f>
        <v>November</v>
      </c>
      <c r="AI692" s="7">
        <f t="shared" si="63"/>
        <v>2024</v>
      </c>
      <c r="AJ692" s="7" t="str">
        <f>IF(OR(R692&lt;0,C692&lt;B692),"Invalid",
IF(OR(G692="Unknown",M692="Unknown"),"Warning","Clean"))</f>
        <v>Clean</v>
      </c>
      <c r="AK692" s="7" t="str">
        <f>IF(C692&lt;B692,"Ship Before Order","OK")</f>
        <v>OK</v>
      </c>
      <c r="AL692" s="7" t="str">
        <f>IF(ISNUMBER(B692),"Valid","Invalid")</f>
        <v>Valid</v>
      </c>
      <c r="AM692" s="7" t="str">
        <f t="shared" si="64"/>
        <v>Ok</v>
      </c>
      <c r="AN692" s="7" t="str">
        <f t="shared" si="65"/>
        <v>Ok</v>
      </c>
    </row>
    <row r="693" spans="1:40">
      <c r="A693" t="s">
        <v>2155</v>
      </c>
      <c r="B693" s="6">
        <v>45641</v>
      </c>
      <c r="C693" s="4">
        <v>46191</v>
      </c>
      <c r="D693" t="s">
        <v>2156</v>
      </c>
      <c r="E693" t="s">
        <v>141</v>
      </c>
      <c r="F693" t="s">
        <v>24</v>
      </c>
      <c r="G693" t="s">
        <v>38</v>
      </c>
      <c r="H693" t="s">
        <v>39</v>
      </c>
      <c r="I693" t="s">
        <v>40</v>
      </c>
      <c r="J693" t="s">
        <v>74</v>
      </c>
      <c r="K693" t="s">
        <v>80</v>
      </c>
      <c r="L693" t="s">
        <v>2157</v>
      </c>
      <c r="M693" t="s">
        <v>31</v>
      </c>
      <c r="N693">
        <v>6</v>
      </c>
      <c r="O693">
        <v>1538.1</v>
      </c>
      <c r="P693">
        <v>0.05</v>
      </c>
      <c r="Q693" s="7">
        <f>IF(P693="", 0, P693)</f>
        <v>0.05</v>
      </c>
      <c r="R693">
        <v>8767.17</v>
      </c>
      <c r="S693">
        <v>5098.2</v>
      </c>
      <c r="T693" s="7">
        <f>N693*O693*(1-Q693)</f>
        <v>8767.1699999999983</v>
      </c>
      <c r="U693" s="7">
        <f t="shared" si="60"/>
        <v>3668.9699999999984</v>
      </c>
      <c r="V693">
        <v>3668.97</v>
      </c>
      <c r="W693" s="12">
        <f t="shared" si="61"/>
        <v>0.41848966085977563</v>
      </c>
      <c r="X693" t="s">
        <v>32</v>
      </c>
      <c r="Y693" t="str">
        <f t="shared" si="62"/>
        <v>Paid</v>
      </c>
      <c r="Z693" t="s">
        <v>33</v>
      </c>
      <c r="AA693">
        <f>C693-B693</f>
        <v>550</v>
      </c>
      <c r="AB693" t="str">
        <f>IF(B693="","Missing Order Date",
IF(C693="","Missing Ship Date","OK"))</f>
        <v>OK</v>
      </c>
      <c r="AC693" s="7" t="str">
        <f>IF(C693&lt;B693, "Invalid", "Valid")</f>
        <v>Valid</v>
      </c>
      <c r="AD693" s="7" t="str">
        <f>IF(COUNTIF($A:$A, A693)&gt;1, "Duplicate", "Unique")</f>
        <v>Unique</v>
      </c>
      <c r="AE693" s="7" t="str">
        <f>IF(G693="","Unknown",G693)</f>
        <v>East</v>
      </c>
      <c r="AF693" s="7" t="str">
        <f>IF(M693="","Unknown",M693)</f>
        <v>Second Class</v>
      </c>
      <c r="AG693" s="7" t="str">
        <f>IF(P693&lt;0,"Invalid",
IF(P693&gt;1,"Invalid","Valid"))</f>
        <v>Valid</v>
      </c>
      <c r="AH693" s="7" t="str">
        <f>TEXT(B693,"mmmm")</f>
        <v>December</v>
      </c>
      <c r="AI693" s="7">
        <f t="shared" si="63"/>
        <v>2024</v>
      </c>
      <c r="AJ693" s="7" t="str">
        <f>IF(OR(R693&lt;0,C693&lt;B693),"Invalid",
IF(OR(G693="Unknown",M693="Unknown"),"Warning","Clean"))</f>
        <v>Clean</v>
      </c>
      <c r="AK693" s="7" t="str">
        <f>IF(C693&lt;B693,"Ship Before Order","OK")</f>
        <v>OK</v>
      </c>
      <c r="AL693" s="7" t="str">
        <f>IF(ISNUMBER(B693),"Valid","Invalid")</f>
        <v>Valid</v>
      </c>
      <c r="AM693" s="7" t="str">
        <f t="shared" si="64"/>
        <v>Ok</v>
      </c>
      <c r="AN693" s="7" t="str">
        <f t="shared" si="65"/>
        <v>Ok</v>
      </c>
    </row>
    <row r="694" spans="1:40">
      <c r="A694" t="s">
        <v>2158</v>
      </c>
      <c r="B694" s="6">
        <v>45935</v>
      </c>
      <c r="C694" s="4">
        <v>46192</v>
      </c>
      <c r="D694" t="s">
        <v>2159</v>
      </c>
      <c r="E694" t="s">
        <v>47</v>
      </c>
      <c r="F694" t="s">
        <v>90</v>
      </c>
      <c r="G694" t="s">
        <v>54</v>
      </c>
      <c r="H694" t="s">
        <v>175</v>
      </c>
      <c r="I694" t="s">
        <v>176</v>
      </c>
      <c r="J694" t="s">
        <v>41</v>
      </c>
      <c r="K694" t="s">
        <v>57</v>
      </c>
      <c r="L694" t="s">
        <v>2160</v>
      </c>
      <c r="M694" t="s">
        <v>31</v>
      </c>
      <c r="N694">
        <v>4</v>
      </c>
      <c r="O694">
        <v>2365.6799999999998</v>
      </c>
      <c r="P694">
        <v>0.1</v>
      </c>
      <c r="Q694" s="7">
        <f>IF(P694="", 0, P694)</f>
        <v>0.1</v>
      </c>
      <c r="R694">
        <v>8516.4500000000007</v>
      </c>
      <c r="S694">
        <v>5903.81</v>
      </c>
      <c r="T694" s="7">
        <f>N694*O694*(1-Q694)</f>
        <v>8516.4480000000003</v>
      </c>
      <c r="U694" s="7">
        <f t="shared" si="60"/>
        <v>2612.6379999999999</v>
      </c>
      <c r="V694">
        <v>2612.64</v>
      </c>
      <c r="W694" s="12">
        <f t="shared" si="61"/>
        <v>0.30677554774009069</v>
      </c>
      <c r="X694" t="s">
        <v>32</v>
      </c>
      <c r="Y694" t="str">
        <f t="shared" si="62"/>
        <v>Paid</v>
      </c>
      <c r="Z694" t="s">
        <v>33</v>
      </c>
      <c r="AA694">
        <f>C694-B694</f>
        <v>257</v>
      </c>
      <c r="AB694" t="str">
        <f>IF(B694="","Missing Order Date",
IF(C694="","Missing Ship Date","OK"))</f>
        <v>OK</v>
      </c>
      <c r="AC694" s="7" t="str">
        <f>IF(C694&lt;B694, "Invalid", "Valid")</f>
        <v>Valid</v>
      </c>
      <c r="AD694" s="7" t="str">
        <f>IF(COUNTIF($A:$A, A694)&gt;1, "Duplicate", "Unique")</f>
        <v>Unique</v>
      </c>
      <c r="AE694" s="7" t="str">
        <f>IF(G694="","Unknown",G694)</f>
        <v>South</v>
      </c>
      <c r="AF694" s="7" t="str">
        <f>IF(M694="","Unknown",M694)</f>
        <v>Second Class</v>
      </c>
      <c r="AG694" s="7" t="str">
        <f>IF(P694&lt;0,"Invalid",
IF(P694&gt;1,"Invalid","Valid"))</f>
        <v>Valid</v>
      </c>
      <c r="AH694" s="7" t="str">
        <f>TEXT(B694,"mmmm")</f>
        <v>October</v>
      </c>
      <c r="AI694" s="7">
        <f t="shared" si="63"/>
        <v>2025</v>
      </c>
      <c r="AJ694" s="7" t="str">
        <f>IF(OR(R694&lt;0,C694&lt;B694),"Invalid",
IF(OR(G694="Unknown",M694="Unknown"),"Warning","Clean"))</f>
        <v>Clean</v>
      </c>
      <c r="AK694" s="7" t="str">
        <f>IF(C694&lt;B694,"Ship Before Order","OK")</f>
        <v>OK</v>
      </c>
      <c r="AL694" s="7" t="str">
        <f>IF(ISNUMBER(B694),"Valid","Invalid")</f>
        <v>Valid</v>
      </c>
      <c r="AM694" s="7" t="str">
        <f t="shared" si="64"/>
        <v>Missmatched</v>
      </c>
      <c r="AN694" s="7" t="str">
        <f t="shared" si="65"/>
        <v>Missmatched</v>
      </c>
    </row>
    <row r="695" spans="1:40">
      <c r="A695" t="s">
        <v>2161</v>
      </c>
      <c r="B695" s="6">
        <v>45750</v>
      </c>
      <c r="C695" s="4">
        <v>46193</v>
      </c>
      <c r="D695" t="s">
        <v>2162</v>
      </c>
      <c r="E695" t="s">
        <v>53</v>
      </c>
      <c r="F695" t="s">
        <v>24</v>
      </c>
      <c r="G695" t="s">
        <v>54</v>
      </c>
      <c r="H695" t="s">
        <v>247</v>
      </c>
      <c r="I695" t="s">
        <v>248</v>
      </c>
      <c r="J695" t="s">
        <v>41</v>
      </c>
      <c r="K695" t="s">
        <v>158</v>
      </c>
      <c r="L695" t="s">
        <v>2163</v>
      </c>
      <c r="M695" t="s">
        <v>31</v>
      </c>
      <c r="N695">
        <v>3</v>
      </c>
      <c r="O695">
        <v>4149.7700000000004</v>
      </c>
      <c r="P695">
        <v>0.05</v>
      </c>
      <c r="Q695" s="7">
        <f>IF(P695="", 0, P695)</f>
        <v>0.05</v>
      </c>
      <c r="R695">
        <v>11826.84</v>
      </c>
      <c r="S695">
        <v>8035.96</v>
      </c>
      <c r="T695" s="7">
        <f>N695*O695*(1-Q695)</f>
        <v>11826.844500000001</v>
      </c>
      <c r="U695" s="7">
        <f t="shared" si="60"/>
        <v>3790.884500000001</v>
      </c>
      <c r="V695">
        <v>3790.88</v>
      </c>
      <c r="W695" s="12">
        <f t="shared" si="61"/>
        <v>0.32053220112938835</v>
      </c>
      <c r="X695" t="s">
        <v>32</v>
      </c>
      <c r="Y695" t="str">
        <f t="shared" si="62"/>
        <v>Paid</v>
      </c>
      <c r="Z695" t="s">
        <v>33</v>
      </c>
      <c r="AA695">
        <f>C695-B695</f>
        <v>443</v>
      </c>
      <c r="AB695" t="str">
        <f>IF(B695="","Missing Order Date",
IF(C695="","Missing Ship Date","OK"))</f>
        <v>OK</v>
      </c>
      <c r="AC695" s="7" t="str">
        <f>IF(C695&lt;B695, "Invalid", "Valid")</f>
        <v>Valid</v>
      </c>
      <c r="AD695" s="7" t="str">
        <f>IF(COUNTIF($A:$A, A695)&gt;1, "Duplicate", "Unique")</f>
        <v>Unique</v>
      </c>
      <c r="AE695" s="7" t="str">
        <f>IF(G695="","Unknown",G695)</f>
        <v>South</v>
      </c>
      <c r="AF695" s="7" t="str">
        <f>IF(M695="","Unknown",M695)</f>
        <v>Second Class</v>
      </c>
      <c r="AG695" s="7" t="str">
        <f>IF(P695&lt;0,"Invalid",
IF(P695&gt;1,"Invalid","Valid"))</f>
        <v>Valid</v>
      </c>
      <c r="AH695" s="7" t="str">
        <f>TEXT(B695,"mmmm")</f>
        <v>April</v>
      </c>
      <c r="AI695" s="7">
        <f t="shared" si="63"/>
        <v>2025</v>
      </c>
      <c r="AJ695" s="7" t="str">
        <f>IF(OR(R695&lt;0,C695&lt;B695),"Invalid",
IF(OR(G695="Unknown",M695="Unknown"),"Warning","Clean"))</f>
        <v>Clean</v>
      </c>
      <c r="AK695" s="7" t="str">
        <f>IF(C695&lt;B695,"Ship Before Order","OK")</f>
        <v>OK</v>
      </c>
      <c r="AL695" s="7" t="str">
        <f>IF(ISNUMBER(B695),"Valid","Invalid")</f>
        <v>Valid</v>
      </c>
      <c r="AM695" s="7" t="str">
        <f t="shared" si="64"/>
        <v>Missmatched</v>
      </c>
      <c r="AN695" s="7" t="str">
        <f t="shared" si="65"/>
        <v>Missmatched</v>
      </c>
    </row>
    <row r="696" spans="1:40">
      <c r="A696" t="s">
        <v>2164</v>
      </c>
      <c r="B696" s="6">
        <v>45870</v>
      </c>
      <c r="C696" s="4">
        <v>46194</v>
      </c>
      <c r="D696" t="s">
        <v>1137</v>
      </c>
      <c r="E696" t="s">
        <v>47</v>
      </c>
      <c r="F696" t="s">
        <v>24</v>
      </c>
      <c r="G696" t="s">
        <v>54</v>
      </c>
      <c r="H696" t="s">
        <v>84</v>
      </c>
      <c r="I696" t="s">
        <v>85</v>
      </c>
      <c r="J696" t="s">
        <v>28</v>
      </c>
      <c r="K696" t="s">
        <v>124</v>
      </c>
      <c r="L696" t="s">
        <v>2165</v>
      </c>
      <c r="M696" t="s">
        <v>50</v>
      </c>
      <c r="N696">
        <v>5</v>
      </c>
      <c r="O696">
        <v>2736.24</v>
      </c>
      <c r="P696">
        <v>0.15</v>
      </c>
      <c r="Q696" s="7">
        <f>IF(P696="", 0, P696)</f>
        <v>0.15</v>
      </c>
      <c r="R696">
        <v>11629.02</v>
      </c>
      <c r="S696">
        <v>9627.2099999999991</v>
      </c>
      <c r="T696" s="7">
        <f>N696*O696*(1-Q696)</f>
        <v>11629.019999999999</v>
      </c>
      <c r="U696" s="7">
        <f t="shared" si="60"/>
        <v>2001.8099999999995</v>
      </c>
      <c r="V696">
        <v>2001.81</v>
      </c>
      <c r="W696" s="12">
        <f t="shared" si="61"/>
        <v>0.17213918283741877</v>
      </c>
      <c r="X696" t="s">
        <v>32</v>
      </c>
      <c r="Y696" t="str">
        <f t="shared" si="62"/>
        <v>Paid</v>
      </c>
      <c r="Z696" t="s">
        <v>33</v>
      </c>
      <c r="AA696">
        <f>C696-B696</f>
        <v>324</v>
      </c>
      <c r="AB696" t="str">
        <f>IF(B696="","Missing Order Date",
IF(C696="","Missing Ship Date","OK"))</f>
        <v>OK</v>
      </c>
      <c r="AC696" s="7" t="str">
        <f>IF(C696&lt;B696, "Invalid", "Valid")</f>
        <v>Valid</v>
      </c>
      <c r="AD696" s="7" t="str">
        <f>IF(COUNTIF($A:$A, A696)&gt;1, "Duplicate", "Unique")</f>
        <v>Duplicate</v>
      </c>
      <c r="AE696" s="7" t="str">
        <f>IF(G696="","Unknown",G696)</f>
        <v>South</v>
      </c>
      <c r="AF696" s="7" t="str">
        <f>IF(M696="","Unknown",M696)</f>
        <v>First Class</v>
      </c>
      <c r="AG696" s="7" t="str">
        <f>IF(P696&lt;0,"Invalid",
IF(P696&gt;1,"Invalid","Valid"))</f>
        <v>Valid</v>
      </c>
      <c r="AH696" s="7" t="str">
        <f>TEXT(B696,"mmmm")</f>
        <v>August</v>
      </c>
      <c r="AI696" s="7">
        <f t="shared" si="63"/>
        <v>2025</v>
      </c>
      <c r="AJ696" s="7" t="str">
        <f>IF(OR(R696&lt;0,C696&lt;B696),"Invalid",
IF(OR(G696="Unknown",M696="Unknown"),"Warning","Clean"))</f>
        <v>Clean</v>
      </c>
      <c r="AK696" s="7" t="str">
        <f>IF(C696&lt;B696,"Ship Before Order","OK")</f>
        <v>OK</v>
      </c>
      <c r="AL696" s="7" t="str">
        <f>IF(ISNUMBER(B696),"Valid","Invalid")</f>
        <v>Valid</v>
      </c>
      <c r="AM696" s="7" t="str">
        <f t="shared" si="64"/>
        <v>Ok</v>
      </c>
      <c r="AN696" s="7" t="str">
        <f t="shared" si="65"/>
        <v>Ok</v>
      </c>
    </row>
    <row r="697" spans="1:40">
      <c r="A697" t="s">
        <v>2166</v>
      </c>
      <c r="B697" s="6">
        <v>45298</v>
      </c>
      <c r="C697" s="4">
        <v>46195</v>
      </c>
      <c r="D697" t="s">
        <v>2167</v>
      </c>
      <c r="E697" t="s">
        <v>128</v>
      </c>
      <c r="F697" t="s">
        <v>24</v>
      </c>
      <c r="G697" t="s">
        <v>63</v>
      </c>
      <c r="H697" t="s">
        <v>72</v>
      </c>
      <c r="I697" t="s">
        <v>73</v>
      </c>
      <c r="J697" t="s">
        <v>74</v>
      </c>
      <c r="K697" t="s">
        <v>274</v>
      </c>
      <c r="L697" t="s">
        <v>2168</v>
      </c>
      <c r="M697" t="s">
        <v>59</v>
      </c>
      <c r="N697">
        <v>4</v>
      </c>
      <c r="O697">
        <v>257.39</v>
      </c>
      <c r="P697">
        <v>0</v>
      </c>
      <c r="Q697" s="7">
        <f>IF(P697="", 0, P697)</f>
        <v>0</v>
      </c>
      <c r="R697">
        <v>1029.56</v>
      </c>
      <c r="S697">
        <v>626.33000000000004</v>
      </c>
      <c r="T697" s="7">
        <f>N697*O697*(1-Q697)</f>
        <v>1029.56</v>
      </c>
      <c r="U697" s="7">
        <f t="shared" si="60"/>
        <v>403.2299999999999</v>
      </c>
      <c r="V697">
        <v>403.23</v>
      </c>
      <c r="W697" s="12">
        <f t="shared" si="61"/>
        <v>0.39165274486188267</v>
      </c>
      <c r="X697" t="s">
        <v>32</v>
      </c>
      <c r="Y697" t="str">
        <f t="shared" si="62"/>
        <v>Paid</v>
      </c>
      <c r="Z697" t="s">
        <v>33</v>
      </c>
      <c r="AA697">
        <f>C697-B697</f>
        <v>897</v>
      </c>
      <c r="AB697" t="str">
        <f>IF(B697="","Missing Order Date",
IF(C697="","Missing Ship Date","OK"))</f>
        <v>OK</v>
      </c>
      <c r="AC697" s="7" t="str">
        <f>IF(C697&lt;B697, "Invalid", "Valid")</f>
        <v>Valid</v>
      </c>
      <c r="AD697" s="7" t="str">
        <f>IF(COUNTIF($A:$A, A697)&gt;1, "Duplicate", "Unique")</f>
        <v>Unique</v>
      </c>
      <c r="AE697" s="7" t="str">
        <f>IF(G697="","Unknown",G697)</f>
        <v>West</v>
      </c>
      <c r="AF697" s="7" t="str">
        <f>IF(M697="","Unknown",M697)</f>
        <v>Standard Class</v>
      </c>
      <c r="AG697" s="7" t="str">
        <f>IF(P697&lt;0,"Invalid",
IF(P697&gt;1,"Invalid","Valid"))</f>
        <v>Valid</v>
      </c>
      <c r="AH697" s="7" t="str">
        <f>TEXT(B697,"mmmm")</f>
        <v>January</v>
      </c>
      <c r="AI697" s="7">
        <f t="shared" si="63"/>
        <v>2024</v>
      </c>
      <c r="AJ697" s="7" t="str">
        <f>IF(OR(R697&lt;0,C697&lt;B697),"Invalid",
IF(OR(G697="Unknown",M697="Unknown"),"Warning","Clean"))</f>
        <v>Clean</v>
      </c>
      <c r="AK697" s="7" t="str">
        <f>IF(C697&lt;B697,"Ship Before Order","OK")</f>
        <v>OK</v>
      </c>
      <c r="AL697" s="7" t="str">
        <f>IF(ISNUMBER(B697),"Valid","Invalid")</f>
        <v>Valid</v>
      </c>
      <c r="AM697" s="7" t="str">
        <f t="shared" si="64"/>
        <v>Ok</v>
      </c>
      <c r="AN697" s="7" t="str">
        <f t="shared" si="65"/>
        <v>Ok</v>
      </c>
    </row>
    <row r="698" spans="1:40">
      <c r="A698" t="s">
        <v>2169</v>
      </c>
      <c r="B698" s="6">
        <v>45922</v>
      </c>
      <c r="C698" s="4">
        <v>46196</v>
      </c>
      <c r="D698" t="s">
        <v>2170</v>
      </c>
      <c r="E698" t="s">
        <v>47</v>
      </c>
      <c r="F698" t="s">
        <v>37</v>
      </c>
      <c r="G698" t="s">
        <v>54</v>
      </c>
      <c r="H698" t="s">
        <v>185</v>
      </c>
      <c r="I698" t="s">
        <v>186</v>
      </c>
      <c r="J698" t="s">
        <v>74</v>
      </c>
      <c r="K698" t="s">
        <v>171</v>
      </c>
      <c r="L698" t="s">
        <v>2171</v>
      </c>
      <c r="M698" t="s">
        <v>2785</v>
      </c>
      <c r="N698">
        <v>4</v>
      </c>
      <c r="O698">
        <v>1178.8399999999999</v>
      </c>
      <c r="P698">
        <v>0.25</v>
      </c>
      <c r="Q698" s="7">
        <f>IF(P698="", 0, P698)</f>
        <v>0.25</v>
      </c>
      <c r="R698">
        <v>3536.52</v>
      </c>
      <c r="S698">
        <v>2102.41</v>
      </c>
      <c r="T698" s="7">
        <f>N698*O698*(1-Q698)</f>
        <v>3536.5199999999995</v>
      </c>
      <c r="U698" s="7">
        <f t="shared" si="60"/>
        <v>1434.1099999999997</v>
      </c>
      <c r="V698">
        <v>1363.28</v>
      </c>
      <c r="W698" s="12">
        <f t="shared" si="61"/>
        <v>0.40551446054313278</v>
      </c>
      <c r="X698" t="s">
        <v>32</v>
      </c>
      <c r="Y698" t="str">
        <f t="shared" si="62"/>
        <v>Paid</v>
      </c>
      <c r="Z698" t="s">
        <v>33</v>
      </c>
      <c r="AA698">
        <f>C698-B698</f>
        <v>274</v>
      </c>
      <c r="AB698" t="str">
        <f>IF(B698="","Missing Order Date",
IF(C698="","Missing Ship Date","OK"))</f>
        <v>OK</v>
      </c>
      <c r="AC698" s="7" t="str">
        <f>IF(C698&lt;B698, "Invalid", "Valid")</f>
        <v>Valid</v>
      </c>
      <c r="AD698" s="7" t="str">
        <f>IF(COUNTIF($A:$A, A698)&gt;1, "Duplicate", "Unique")</f>
        <v>Unique</v>
      </c>
      <c r="AE698" s="7" t="str">
        <f>IF(G698="","Unknown",G698)</f>
        <v>South</v>
      </c>
      <c r="AF698" s="7" t="str">
        <f>IF(M698="","Unknown",M698)</f>
        <v>Unknown</v>
      </c>
      <c r="AG698" s="7" t="str">
        <f>IF(P698&lt;0,"Invalid",
IF(P698&gt;1,"Invalid","Valid"))</f>
        <v>Valid</v>
      </c>
      <c r="AH698" s="7" t="str">
        <f>TEXT(B698,"mmmm")</f>
        <v>September</v>
      </c>
      <c r="AI698" s="7">
        <f t="shared" si="63"/>
        <v>2025</v>
      </c>
      <c r="AJ698" s="7" t="str">
        <f>IF(OR(R698&lt;0,C698&lt;B698),"Invalid",
IF(OR(G698="Unknown",M698="Unknown"),"Warning","Clean"))</f>
        <v>Clean</v>
      </c>
      <c r="AK698" s="7" t="str">
        <f>IF(C698&lt;B698,"Ship Before Order","OK")</f>
        <v>OK</v>
      </c>
      <c r="AL698" s="7" t="str">
        <f>IF(ISNUMBER(B698),"Valid","Invalid")</f>
        <v>Valid</v>
      </c>
      <c r="AM698" s="7" t="str">
        <f t="shared" si="64"/>
        <v>Ok</v>
      </c>
      <c r="AN698" s="7" t="str">
        <f t="shared" si="65"/>
        <v>Missmatched</v>
      </c>
    </row>
    <row r="699" spans="1:40">
      <c r="A699" t="s">
        <v>2172</v>
      </c>
      <c r="B699" s="6">
        <v>45660</v>
      </c>
      <c r="C699" s="4">
        <v>46197</v>
      </c>
      <c r="D699" t="s">
        <v>2173</v>
      </c>
      <c r="E699" t="s">
        <v>53</v>
      </c>
      <c r="F699" t="s">
        <v>90</v>
      </c>
      <c r="G699" t="s">
        <v>54</v>
      </c>
      <c r="H699" t="s">
        <v>84</v>
      </c>
      <c r="I699" t="s">
        <v>85</v>
      </c>
      <c r="J699" t="s">
        <v>28</v>
      </c>
      <c r="K699" t="s">
        <v>91</v>
      </c>
      <c r="L699" t="s">
        <v>2174</v>
      </c>
      <c r="M699" t="s">
        <v>50</v>
      </c>
      <c r="N699">
        <v>7</v>
      </c>
      <c r="O699">
        <v>567.15</v>
      </c>
      <c r="Q699" s="7">
        <f>IF(P699="", 0, P699)</f>
        <v>0</v>
      </c>
      <c r="R699">
        <v>2977.54</v>
      </c>
      <c r="S699">
        <v>1849.3</v>
      </c>
      <c r="T699" s="7">
        <f>N699*O699*(1-Q699)</f>
        <v>3970.0499999999997</v>
      </c>
      <c r="U699" s="7">
        <f t="shared" si="60"/>
        <v>2120.75</v>
      </c>
      <c r="V699">
        <v>1128.24</v>
      </c>
      <c r="W699" s="12">
        <f t="shared" si="61"/>
        <v>0.53418722686112274</v>
      </c>
      <c r="X699" t="s">
        <v>102</v>
      </c>
      <c r="Y699" t="str">
        <f t="shared" si="62"/>
        <v>Refunded</v>
      </c>
      <c r="Z699" t="s">
        <v>103</v>
      </c>
      <c r="AA699">
        <f>C699-B699</f>
        <v>537</v>
      </c>
      <c r="AB699" t="str">
        <f>IF(B699="","Missing Order Date",
IF(C699="","Missing Ship Date","OK"))</f>
        <v>OK</v>
      </c>
      <c r="AC699" s="7" t="str">
        <f>IF(C699&lt;B699, "Invalid", "Valid")</f>
        <v>Valid</v>
      </c>
      <c r="AD699" s="7" t="str">
        <f>IF(COUNTIF($A:$A, A699)&gt;1, "Duplicate", "Unique")</f>
        <v>Unique</v>
      </c>
      <c r="AE699" s="7" t="str">
        <f>IF(G699="","Unknown",G699)</f>
        <v>South</v>
      </c>
      <c r="AF699" s="7" t="str">
        <f>IF(M699="","Unknown",M699)</f>
        <v>First Class</v>
      </c>
      <c r="AG699" s="7" t="str">
        <f>IF(P699&lt;0,"Invalid",
IF(P699&gt;1,"Invalid","Valid"))</f>
        <v>Valid</v>
      </c>
      <c r="AH699" s="7" t="str">
        <f>TEXT(B699,"mmmm")</f>
        <v>January</v>
      </c>
      <c r="AI699" s="7">
        <f t="shared" si="63"/>
        <v>2025</v>
      </c>
      <c r="AJ699" s="7" t="str">
        <f>IF(OR(R699&lt;0,C699&lt;B699),"Invalid",
IF(OR(G699="Unknown",M699="Unknown"),"Warning","Clean"))</f>
        <v>Clean</v>
      </c>
      <c r="AK699" s="7" t="str">
        <f>IF(C699&lt;B699,"Ship Before Order","OK")</f>
        <v>OK</v>
      </c>
      <c r="AL699" s="7" t="str">
        <f>IF(ISNUMBER(B699),"Valid","Invalid")</f>
        <v>Valid</v>
      </c>
      <c r="AM699" s="7" t="str">
        <f t="shared" si="64"/>
        <v>Missmatched</v>
      </c>
      <c r="AN699" s="7" t="str">
        <f t="shared" si="65"/>
        <v>Missmatched</v>
      </c>
    </row>
    <row r="700" spans="1:40">
      <c r="A700" t="s">
        <v>2175</v>
      </c>
      <c r="B700" s="6">
        <v>45549</v>
      </c>
      <c r="C700" s="4">
        <v>46198</v>
      </c>
      <c r="D700" t="s">
        <v>2176</v>
      </c>
      <c r="E700" t="s">
        <v>36</v>
      </c>
      <c r="F700" t="s">
        <v>90</v>
      </c>
      <c r="G700" t="s">
        <v>25</v>
      </c>
      <c r="H700" t="s">
        <v>26</v>
      </c>
      <c r="I700" t="s">
        <v>27</v>
      </c>
      <c r="J700" t="s">
        <v>74</v>
      </c>
      <c r="K700" t="s">
        <v>274</v>
      </c>
      <c r="L700" t="s">
        <v>2177</v>
      </c>
      <c r="M700" t="s">
        <v>59</v>
      </c>
      <c r="N700">
        <v>8</v>
      </c>
      <c r="O700">
        <v>4081.66</v>
      </c>
      <c r="P700">
        <v>0.15</v>
      </c>
      <c r="Q700" s="7">
        <f>IF(P700="", 0, P700)</f>
        <v>0.15</v>
      </c>
      <c r="R700">
        <v>28208.1</v>
      </c>
      <c r="S700">
        <v>23751.91</v>
      </c>
      <c r="T700" s="7">
        <f>N700*O700*(1-Q700)</f>
        <v>27755.287999999997</v>
      </c>
      <c r="U700" s="7">
        <f t="shared" si="60"/>
        <v>4003.377999999997</v>
      </c>
      <c r="V700">
        <v>4003.38</v>
      </c>
      <c r="W700" s="12">
        <f t="shared" si="61"/>
        <v>0.14423838801456493</v>
      </c>
      <c r="X700" t="s">
        <v>32</v>
      </c>
      <c r="Y700" t="str">
        <f t="shared" si="62"/>
        <v>Paid</v>
      </c>
      <c r="Z700" t="s">
        <v>103</v>
      </c>
      <c r="AA700">
        <f>C700-B700</f>
        <v>649</v>
      </c>
      <c r="AB700" t="str">
        <f>IF(B700="","Missing Order Date",
IF(C700="","Missing Ship Date","OK"))</f>
        <v>OK</v>
      </c>
      <c r="AC700" s="7" t="str">
        <f>IF(C700&lt;B700, "Invalid", "Valid")</f>
        <v>Valid</v>
      </c>
      <c r="AD700" s="7" t="str">
        <f>IF(COUNTIF($A:$A, A700)&gt;1, "Duplicate", "Unique")</f>
        <v>Unique</v>
      </c>
      <c r="AE700" s="7" t="str">
        <f>IF(G700="","Unknown",G700)</f>
        <v>North</v>
      </c>
      <c r="AF700" s="7" t="str">
        <f>IF(M700="","Unknown",M700)</f>
        <v>Standard Class</v>
      </c>
      <c r="AG700" s="7" t="str">
        <f>IF(P700&lt;0,"Invalid",
IF(P700&gt;1,"Invalid","Valid"))</f>
        <v>Valid</v>
      </c>
      <c r="AH700" s="7" t="str">
        <f>TEXT(B700,"mmmm")</f>
        <v>September</v>
      </c>
      <c r="AI700" s="7">
        <f t="shared" si="63"/>
        <v>2024</v>
      </c>
      <c r="AJ700" s="7" t="str">
        <f>IF(OR(R700&lt;0,C700&lt;B700),"Invalid",
IF(OR(G700="Unknown",M700="Unknown"),"Warning","Clean"))</f>
        <v>Clean</v>
      </c>
      <c r="AK700" s="7" t="str">
        <f>IF(C700&lt;B700,"Ship Before Order","OK")</f>
        <v>OK</v>
      </c>
      <c r="AL700" s="7" t="str">
        <f>IF(ISNUMBER(B700),"Valid","Invalid")</f>
        <v>Valid</v>
      </c>
      <c r="AM700" s="7" t="str">
        <f t="shared" si="64"/>
        <v>Missmatched</v>
      </c>
      <c r="AN700" s="7" t="str">
        <f t="shared" si="65"/>
        <v>Missmatched</v>
      </c>
    </row>
    <row r="701" spans="1:40">
      <c r="A701" t="s">
        <v>2178</v>
      </c>
      <c r="B701" s="6">
        <v>45602</v>
      </c>
      <c r="C701" s="4">
        <v>46199</v>
      </c>
      <c r="D701" t="s">
        <v>2179</v>
      </c>
      <c r="E701" t="s">
        <v>53</v>
      </c>
      <c r="F701" t="s">
        <v>37</v>
      </c>
      <c r="G701" t="s">
        <v>54</v>
      </c>
      <c r="H701" t="s">
        <v>175</v>
      </c>
      <c r="I701" t="s">
        <v>176</v>
      </c>
      <c r="J701" t="s">
        <v>41</v>
      </c>
      <c r="K701" t="s">
        <v>158</v>
      </c>
      <c r="L701" t="s">
        <v>2180</v>
      </c>
      <c r="M701" t="s">
        <v>59</v>
      </c>
      <c r="N701">
        <v>9</v>
      </c>
      <c r="O701">
        <v>1400.11</v>
      </c>
      <c r="P701">
        <v>0.25</v>
      </c>
      <c r="Q701" s="7">
        <f>IF(P701="", 0, P701)</f>
        <v>0.25</v>
      </c>
      <c r="R701">
        <v>9450.74</v>
      </c>
      <c r="S701">
        <v>7798.56</v>
      </c>
      <c r="T701" s="7">
        <f>N701*O701*(1-Q701)</f>
        <v>9450.7425000000003</v>
      </c>
      <c r="U701" s="7">
        <f t="shared" si="60"/>
        <v>1652.1824999999999</v>
      </c>
      <c r="V701">
        <v>1652.18</v>
      </c>
      <c r="W701" s="12">
        <f t="shared" si="61"/>
        <v>0.17482039109625511</v>
      </c>
      <c r="X701" t="s">
        <v>32</v>
      </c>
      <c r="Y701" t="str">
        <f t="shared" si="62"/>
        <v>Paid</v>
      </c>
      <c r="Z701" t="s">
        <v>33</v>
      </c>
      <c r="AA701">
        <f>C701-B701</f>
        <v>597</v>
      </c>
      <c r="AB701" t="str">
        <f>IF(B701="","Missing Order Date",
IF(C701="","Missing Ship Date","OK"))</f>
        <v>OK</v>
      </c>
      <c r="AC701" s="7" t="str">
        <f>IF(C701&lt;B701, "Invalid", "Valid")</f>
        <v>Valid</v>
      </c>
      <c r="AD701" s="7" t="str">
        <f>IF(COUNTIF($A:$A, A701)&gt;1, "Duplicate", "Unique")</f>
        <v>Unique</v>
      </c>
      <c r="AE701" s="7" t="str">
        <f>IF(G701="","Unknown",G701)</f>
        <v>South</v>
      </c>
      <c r="AF701" s="7" t="str">
        <f>IF(M701="","Unknown",M701)</f>
        <v>Standard Class</v>
      </c>
      <c r="AG701" s="7" t="str">
        <f>IF(P701&lt;0,"Invalid",
IF(P701&gt;1,"Invalid","Valid"))</f>
        <v>Valid</v>
      </c>
      <c r="AH701" s="7" t="str">
        <f>TEXT(B701,"mmmm")</f>
        <v>November</v>
      </c>
      <c r="AI701" s="7">
        <f t="shared" si="63"/>
        <v>2024</v>
      </c>
      <c r="AJ701" s="7" t="str">
        <f>IF(OR(R701&lt;0,C701&lt;B701),"Invalid",
IF(OR(G701="Unknown",M701="Unknown"),"Warning","Clean"))</f>
        <v>Clean</v>
      </c>
      <c r="AK701" s="7" t="str">
        <f>IF(C701&lt;B701,"Ship Before Order","OK")</f>
        <v>OK</v>
      </c>
      <c r="AL701" s="7" t="str">
        <f>IF(ISNUMBER(B701),"Valid","Invalid")</f>
        <v>Valid</v>
      </c>
      <c r="AM701" s="7" t="str">
        <f t="shared" si="64"/>
        <v>Missmatched</v>
      </c>
      <c r="AN701" s="7" t="str">
        <f t="shared" si="65"/>
        <v>Missmatched</v>
      </c>
    </row>
    <row r="702" spans="1:40">
      <c r="A702" t="s">
        <v>2181</v>
      </c>
      <c r="B702" s="6">
        <v>45553</v>
      </c>
      <c r="C702" s="4">
        <v>46200</v>
      </c>
      <c r="D702" t="s">
        <v>2182</v>
      </c>
      <c r="E702" t="s">
        <v>79</v>
      </c>
      <c r="F702" t="s">
        <v>90</v>
      </c>
      <c r="G702" t="s">
        <v>38</v>
      </c>
      <c r="H702" t="s">
        <v>99</v>
      </c>
      <c r="I702" t="s">
        <v>100</v>
      </c>
      <c r="J702" t="s">
        <v>74</v>
      </c>
      <c r="K702" t="s">
        <v>274</v>
      </c>
      <c r="L702" t="s">
        <v>2183</v>
      </c>
      <c r="M702" t="s">
        <v>59</v>
      </c>
      <c r="N702">
        <v>3</v>
      </c>
      <c r="O702">
        <v>3055.9</v>
      </c>
      <c r="P702">
        <v>0.15</v>
      </c>
      <c r="Q702" s="7">
        <f>IF(P702="", 0, P702)</f>
        <v>0.15</v>
      </c>
      <c r="R702">
        <v>7792.55</v>
      </c>
      <c r="S702">
        <v>4691.7299999999996</v>
      </c>
      <c r="T702" s="7">
        <f>N702*O702*(1-Q702)</f>
        <v>7792.5450000000001</v>
      </c>
      <c r="U702" s="7">
        <f t="shared" si="60"/>
        <v>3100.8150000000005</v>
      </c>
      <c r="V702">
        <v>3100.82</v>
      </c>
      <c r="W702" s="12">
        <f t="shared" si="61"/>
        <v>0.39792070498149201</v>
      </c>
      <c r="X702" t="s">
        <v>32</v>
      </c>
      <c r="Y702" t="str">
        <f t="shared" si="62"/>
        <v>Paid</v>
      </c>
      <c r="Z702" t="s">
        <v>33</v>
      </c>
      <c r="AA702">
        <f>C702-B702</f>
        <v>647</v>
      </c>
      <c r="AB702" t="str">
        <f>IF(B702="","Missing Order Date",
IF(C702="","Missing Ship Date","OK"))</f>
        <v>OK</v>
      </c>
      <c r="AC702" s="7" t="str">
        <f>IF(C702&lt;B702, "Invalid", "Valid")</f>
        <v>Valid</v>
      </c>
      <c r="AD702" s="7" t="str">
        <f>IF(COUNTIF($A:$A, A702)&gt;1, "Duplicate", "Unique")</f>
        <v>Unique</v>
      </c>
      <c r="AE702" s="7" t="str">
        <f>IF(G702="","Unknown",G702)</f>
        <v>East</v>
      </c>
      <c r="AF702" s="7" t="str">
        <f>IF(M702="","Unknown",M702)</f>
        <v>Standard Class</v>
      </c>
      <c r="AG702" s="7" t="str">
        <f>IF(P702&lt;0,"Invalid",
IF(P702&gt;1,"Invalid","Valid"))</f>
        <v>Valid</v>
      </c>
      <c r="AH702" s="7" t="str">
        <f>TEXT(B702,"mmmm")</f>
        <v>September</v>
      </c>
      <c r="AI702" s="7">
        <f t="shared" si="63"/>
        <v>2024</v>
      </c>
      <c r="AJ702" s="7" t="str">
        <f>IF(OR(R702&lt;0,C702&lt;B702),"Invalid",
IF(OR(G702="Unknown",M702="Unknown"),"Warning","Clean"))</f>
        <v>Clean</v>
      </c>
      <c r="AK702" s="7" t="str">
        <f>IF(C702&lt;B702,"Ship Before Order","OK")</f>
        <v>OK</v>
      </c>
      <c r="AL702" s="7" t="str">
        <f>IF(ISNUMBER(B702),"Valid","Invalid")</f>
        <v>Valid</v>
      </c>
      <c r="AM702" s="7" t="str">
        <f t="shared" si="64"/>
        <v>Missmatched</v>
      </c>
      <c r="AN702" s="7" t="str">
        <f t="shared" si="65"/>
        <v>Missmatched</v>
      </c>
    </row>
    <row r="703" spans="1:40">
      <c r="A703" t="s">
        <v>2184</v>
      </c>
      <c r="B703" s="6">
        <v>45412</v>
      </c>
      <c r="C703" s="4">
        <v>46201</v>
      </c>
      <c r="D703" t="s">
        <v>2185</v>
      </c>
      <c r="E703" t="s">
        <v>141</v>
      </c>
      <c r="F703" t="s">
        <v>37</v>
      </c>
      <c r="G703" t="s">
        <v>63</v>
      </c>
      <c r="H703" t="s">
        <v>180</v>
      </c>
      <c r="I703" t="s">
        <v>181</v>
      </c>
      <c r="J703" t="s">
        <v>28</v>
      </c>
      <c r="K703" t="s">
        <v>48</v>
      </c>
      <c r="L703" t="s">
        <v>2186</v>
      </c>
      <c r="M703" t="s">
        <v>44</v>
      </c>
      <c r="N703">
        <v>7</v>
      </c>
      <c r="O703">
        <v>1224.94</v>
      </c>
      <c r="P703">
        <v>0</v>
      </c>
      <c r="Q703" s="7">
        <f>IF(P703="", 0, P703)</f>
        <v>0</v>
      </c>
      <c r="R703">
        <v>8574.58</v>
      </c>
      <c r="S703">
        <v>6685.81</v>
      </c>
      <c r="T703" s="7">
        <f>N703*O703*(1-Q703)</f>
        <v>8574.58</v>
      </c>
      <c r="U703" s="7">
        <f t="shared" si="60"/>
        <v>1888.7699999999995</v>
      </c>
      <c r="V703">
        <v>1888.77</v>
      </c>
      <c r="W703" s="12">
        <f t="shared" si="61"/>
        <v>0.22027551203674112</v>
      </c>
      <c r="X703" t="s">
        <v>32</v>
      </c>
      <c r="Y703" t="str">
        <f t="shared" si="62"/>
        <v>Paid</v>
      </c>
      <c r="Z703" t="s">
        <v>103</v>
      </c>
      <c r="AA703">
        <f>C703-B703</f>
        <v>789</v>
      </c>
      <c r="AB703" t="str">
        <f>IF(B703="","Missing Order Date",
IF(C703="","Missing Ship Date","OK"))</f>
        <v>OK</v>
      </c>
      <c r="AC703" s="7" t="str">
        <f>IF(C703&lt;B703, "Invalid", "Valid")</f>
        <v>Valid</v>
      </c>
      <c r="AD703" s="7" t="str">
        <f>IF(COUNTIF($A:$A, A703)&gt;1, "Duplicate", "Unique")</f>
        <v>Unique</v>
      </c>
      <c r="AE703" s="7" t="str">
        <f>IF(G703="","Unknown",G703)</f>
        <v>West</v>
      </c>
      <c r="AF703" s="7" t="str">
        <f>IF(M703="","Unknown",M703)</f>
        <v>Same Day</v>
      </c>
      <c r="AG703" s="7" t="str">
        <f>IF(P703&lt;0,"Invalid",
IF(P703&gt;1,"Invalid","Valid"))</f>
        <v>Valid</v>
      </c>
      <c r="AH703" s="7" t="str">
        <f>TEXT(B703,"mmmm")</f>
        <v>April</v>
      </c>
      <c r="AI703" s="7">
        <f t="shared" si="63"/>
        <v>2024</v>
      </c>
      <c r="AJ703" s="7" t="str">
        <f>IF(OR(R703&lt;0,C703&lt;B703),"Invalid",
IF(OR(G703="Unknown",M703="Unknown"),"Warning","Clean"))</f>
        <v>Clean</v>
      </c>
      <c r="AK703" s="7" t="str">
        <f>IF(C703&lt;B703,"Ship Before Order","OK")</f>
        <v>OK</v>
      </c>
      <c r="AL703" s="7" t="str">
        <f>IF(ISNUMBER(B703),"Valid","Invalid")</f>
        <v>Valid</v>
      </c>
      <c r="AM703" s="7" t="str">
        <f t="shared" si="64"/>
        <v>Ok</v>
      </c>
      <c r="AN703" s="7" t="str">
        <f t="shared" si="65"/>
        <v>Ok</v>
      </c>
    </row>
    <row r="704" spans="1:40">
      <c r="A704" t="s">
        <v>2187</v>
      </c>
      <c r="B704" s="6">
        <v>45690</v>
      </c>
      <c r="C704" s="4">
        <v>46202</v>
      </c>
      <c r="D704" t="s">
        <v>2188</v>
      </c>
      <c r="E704" t="s">
        <v>23</v>
      </c>
      <c r="F704" t="s">
        <v>37</v>
      </c>
      <c r="G704" t="s">
        <v>63</v>
      </c>
      <c r="H704" t="s">
        <v>26</v>
      </c>
      <c r="I704" t="s">
        <v>109</v>
      </c>
      <c r="J704" t="s">
        <v>41</v>
      </c>
      <c r="K704" t="s">
        <v>42</v>
      </c>
      <c r="L704" t="s">
        <v>2189</v>
      </c>
      <c r="M704" t="s">
        <v>31</v>
      </c>
      <c r="N704">
        <v>3</v>
      </c>
      <c r="O704">
        <v>997.34</v>
      </c>
      <c r="P704">
        <v>0.1</v>
      </c>
      <c r="Q704" s="7">
        <f>IF(P704="", 0, P704)</f>
        <v>0.1</v>
      </c>
      <c r="R704">
        <v>2692.82</v>
      </c>
      <c r="S704">
        <v>1820.08</v>
      </c>
      <c r="T704" s="7">
        <f>N704*O704*(1-Q704)</f>
        <v>2692.8180000000002</v>
      </c>
      <c r="U704" s="7">
        <f t="shared" si="60"/>
        <v>872.73800000000028</v>
      </c>
      <c r="V704">
        <v>872.74</v>
      </c>
      <c r="W704" s="12">
        <f t="shared" si="61"/>
        <v>0.32409839803506968</v>
      </c>
      <c r="X704" t="s">
        <v>32</v>
      </c>
      <c r="Y704" t="str">
        <f t="shared" si="62"/>
        <v>Paid</v>
      </c>
      <c r="Z704" t="s">
        <v>33</v>
      </c>
      <c r="AA704">
        <f>C704-B704</f>
        <v>512</v>
      </c>
      <c r="AB704" t="str">
        <f>IF(B704="","Missing Order Date",
IF(C704="","Missing Ship Date","OK"))</f>
        <v>OK</v>
      </c>
      <c r="AC704" s="7" t="str">
        <f>IF(C704&lt;B704, "Invalid", "Valid")</f>
        <v>Valid</v>
      </c>
      <c r="AD704" s="7" t="str">
        <f>IF(COUNTIF($A:$A, A704)&gt;1, "Duplicate", "Unique")</f>
        <v>Unique</v>
      </c>
      <c r="AE704" s="7" t="str">
        <f>IF(G704="","Unknown",G704)</f>
        <v>West</v>
      </c>
      <c r="AF704" s="7" t="str">
        <f>IF(M704="","Unknown",M704)</f>
        <v>Second Class</v>
      </c>
      <c r="AG704" s="7" t="str">
        <f>IF(P704&lt;0,"Invalid",
IF(P704&gt;1,"Invalid","Valid"))</f>
        <v>Valid</v>
      </c>
      <c r="AH704" s="7" t="str">
        <f>TEXT(B704,"mmmm")</f>
        <v>February</v>
      </c>
      <c r="AI704" s="7">
        <f t="shared" si="63"/>
        <v>2025</v>
      </c>
      <c r="AJ704" s="7" t="str">
        <f>IF(OR(R704&lt;0,C704&lt;B704),"Invalid",
IF(OR(G704="Unknown",M704="Unknown"),"Warning","Clean"))</f>
        <v>Clean</v>
      </c>
      <c r="AK704" s="7" t="str">
        <f>IF(C704&lt;B704,"Ship Before Order","OK")</f>
        <v>OK</v>
      </c>
      <c r="AL704" s="7" t="str">
        <f>IF(ISNUMBER(B704),"Valid","Invalid")</f>
        <v>Valid</v>
      </c>
      <c r="AM704" s="7" t="str">
        <f t="shared" si="64"/>
        <v>Missmatched</v>
      </c>
      <c r="AN704" s="7" t="str">
        <f t="shared" si="65"/>
        <v>Missmatched</v>
      </c>
    </row>
    <row r="705" spans="1:40">
      <c r="A705" t="s">
        <v>2190</v>
      </c>
      <c r="B705" s="6">
        <v>45584</v>
      </c>
      <c r="C705" s="4">
        <v>46203</v>
      </c>
      <c r="D705" t="s">
        <v>2191</v>
      </c>
      <c r="E705" t="s">
        <v>89</v>
      </c>
      <c r="F705" t="s">
        <v>90</v>
      </c>
      <c r="G705" t="s">
        <v>25</v>
      </c>
      <c r="H705" t="s">
        <v>26</v>
      </c>
      <c r="I705" t="s">
        <v>27</v>
      </c>
      <c r="J705" t="s">
        <v>41</v>
      </c>
      <c r="K705" t="s">
        <v>42</v>
      </c>
      <c r="L705" t="s">
        <v>2192</v>
      </c>
      <c r="M705" t="s">
        <v>50</v>
      </c>
      <c r="N705">
        <v>1</v>
      </c>
      <c r="O705">
        <v>1150.03</v>
      </c>
      <c r="P705">
        <v>0.1</v>
      </c>
      <c r="Q705" s="7">
        <f>IF(P705="", 0, P705)</f>
        <v>0.1</v>
      </c>
      <c r="R705">
        <v>1035.03</v>
      </c>
      <c r="S705">
        <v>854.35</v>
      </c>
      <c r="T705" s="7">
        <f>N705*O705*(1-Q705)</f>
        <v>1035.027</v>
      </c>
      <c r="U705" s="7">
        <f t="shared" si="60"/>
        <v>180.67700000000002</v>
      </c>
      <c r="V705">
        <v>180.68</v>
      </c>
      <c r="W705" s="12">
        <f t="shared" si="61"/>
        <v>0.1745625959516032</v>
      </c>
      <c r="X705" t="s">
        <v>32</v>
      </c>
      <c r="Y705" t="str">
        <f t="shared" si="62"/>
        <v>Paid</v>
      </c>
      <c r="Z705" t="s">
        <v>33</v>
      </c>
      <c r="AA705">
        <f>C705-B705</f>
        <v>619</v>
      </c>
      <c r="AB705" t="str">
        <f>IF(B705="","Missing Order Date",
IF(C705="","Missing Ship Date","OK"))</f>
        <v>OK</v>
      </c>
      <c r="AC705" s="7" t="str">
        <f>IF(C705&lt;B705, "Invalid", "Valid")</f>
        <v>Valid</v>
      </c>
      <c r="AD705" s="7" t="str">
        <f>IF(COUNTIF($A:$A, A705)&gt;1, "Duplicate", "Unique")</f>
        <v>Unique</v>
      </c>
      <c r="AE705" s="7" t="str">
        <f>IF(G705="","Unknown",G705)</f>
        <v>North</v>
      </c>
      <c r="AF705" s="7" t="str">
        <f>IF(M705="","Unknown",M705)</f>
        <v>First Class</v>
      </c>
      <c r="AG705" s="7" t="str">
        <f>IF(P705&lt;0,"Invalid",
IF(P705&gt;1,"Invalid","Valid"))</f>
        <v>Valid</v>
      </c>
      <c r="AH705" s="7" t="str">
        <f>TEXT(B705,"mmmm")</f>
        <v>October</v>
      </c>
      <c r="AI705" s="7">
        <f t="shared" si="63"/>
        <v>2024</v>
      </c>
      <c r="AJ705" s="7" t="str">
        <f>IF(OR(R705&lt;0,C705&lt;B705),"Invalid",
IF(OR(G705="Unknown",M705="Unknown"),"Warning","Clean"))</f>
        <v>Clean</v>
      </c>
      <c r="AK705" s="7" t="str">
        <f>IF(C705&lt;B705,"Ship Before Order","OK")</f>
        <v>OK</v>
      </c>
      <c r="AL705" s="7" t="str">
        <f>IF(ISNUMBER(B705),"Valid","Invalid")</f>
        <v>Valid</v>
      </c>
      <c r="AM705" s="7" t="str">
        <f t="shared" si="64"/>
        <v>Missmatched</v>
      </c>
      <c r="AN705" s="7" t="str">
        <f t="shared" si="65"/>
        <v>Missmatched</v>
      </c>
    </row>
    <row r="706" spans="1:40">
      <c r="A706" t="s">
        <v>2193</v>
      </c>
      <c r="B706" s="6">
        <v>45364</v>
      </c>
      <c r="C706" s="4">
        <v>46204</v>
      </c>
      <c r="D706" t="s">
        <v>2194</v>
      </c>
      <c r="E706" t="s">
        <v>114</v>
      </c>
      <c r="F706" t="s">
        <v>95</v>
      </c>
      <c r="G706" t="s">
        <v>54</v>
      </c>
      <c r="H706" t="s">
        <v>247</v>
      </c>
      <c r="I706" t="s">
        <v>248</v>
      </c>
      <c r="J706" t="s">
        <v>41</v>
      </c>
      <c r="K706" t="s">
        <v>158</v>
      </c>
      <c r="L706" t="s">
        <v>2195</v>
      </c>
      <c r="M706" t="s">
        <v>2785</v>
      </c>
      <c r="N706">
        <v>1</v>
      </c>
      <c r="O706">
        <v>2825.63</v>
      </c>
      <c r="P706">
        <v>0.15</v>
      </c>
      <c r="Q706" s="7">
        <f>IF(P706="", 0, P706)</f>
        <v>0.15</v>
      </c>
      <c r="R706">
        <v>2401.79</v>
      </c>
      <c r="S706">
        <v>1820.34</v>
      </c>
      <c r="T706" s="7">
        <f>N706*O706*(1-Q706)</f>
        <v>2401.7855</v>
      </c>
      <c r="U706" s="7">
        <f t="shared" ref="U706:U769" si="66">T706-S706</f>
        <v>581.44550000000004</v>
      </c>
      <c r="V706">
        <v>581.45000000000005</v>
      </c>
      <c r="W706" s="12">
        <f t="shared" ref="W706:W769" si="67">IF(T706=0,0,U706/T706)</f>
        <v>0.24208885431276025</v>
      </c>
      <c r="X706" t="s">
        <v>32</v>
      </c>
      <c r="Y706" t="str">
        <f t="shared" ref="Y706:Y769" si="68">PROPER(TRIM(X706))</f>
        <v>Paid</v>
      </c>
      <c r="Z706" t="s">
        <v>33</v>
      </c>
      <c r="AA706">
        <f>C706-B706</f>
        <v>840</v>
      </c>
      <c r="AB706" t="str">
        <f>IF(B706="","Missing Order Date",
IF(C706="","Missing Ship Date","OK"))</f>
        <v>OK</v>
      </c>
      <c r="AC706" s="7" t="str">
        <f>IF(C706&lt;B706, "Invalid", "Valid")</f>
        <v>Valid</v>
      </c>
      <c r="AD706" s="7" t="str">
        <f>IF(COUNTIF($A:$A, A706)&gt;1, "Duplicate", "Unique")</f>
        <v>Duplicate</v>
      </c>
      <c r="AE706" s="7" t="str">
        <f>IF(G706="","Unknown",G706)</f>
        <v>South</v>
      </c>
      <c r="AF706" s="7" t="str">
        <f>IF(M706="","Unknown",M706)</f>
        <v>Unknown</v>
      </c>
      <c r="AG706" s="7" t="str">
        <f>IF(P706&lt;0,"Invalid",
IF(P706&gt;1,"Invalid","Valid"))</f>
        <v>Valid</v>
      </c>
      <c r="AH706" s="7" t="str">
        <f>TEXT(B706,"mmmm")</f>
        <v>March</v>
      </c>
      <c r="AI706" s="7">
        <f t="shared" ref="AI706:AI769" si="69">YEAR(B706)</f>
        <v>2024</v>
      </c>
      <c r="AJ706" s="7" t="str">
        <f>IF(OR(R706&lt;0,C706&lt;B706),"Invalid",
IF(OR(G706="Unknown",M706="Unknown"),"Warning","Clean"))</f>
        <v>Clean</v>
      </c>
      <c r="AK706" s="7" t="str">
        <f>IF(C706&lt;B706,"Ship Before Order","OK")</f>
        <v>OK</v>
      </c>
      <c r="AL706" s="7" t="str">
        <f>IF(ISNUMBER(B706),"Valid","Invalid")</f>
        <v>Valid</v>
      </c>
      <c r="AM706" s="7" t="str">
        <f t="shared" ref="AM706:AM769" si="70">IF(R706&lt;&gt;T706, "Missmatched", "Ok")</f>
        <v>Missmatched</v>
      </c>
      <c r="AN706" s="7" t="str">
        <f t="shared" ref="AN706:AN769" si="71">IF(V706&lt;&gt;U706, "Missmatched", "Ok")</f>
        <v>Missmatched</v>
      </c>
    </row>
    <row r="707" spans="1:40">
      <c r="A707" t="s">
        <v>2196</v>
      </c>
      <c r="B707" s="6">
        <v>45513</v>
      </c>
      <c r="C707" s="4">
        <v>46205</v>
      </c>
      <c r="D707" t="s">
        <v>2197</v>
      </c>
      <c r="E707" t="s">
        <v>141</v>
      </c>
      <c r="F707" t="s">
        <v>24</v>
      </c>
      <c r="G707" t="s">
        <v>25</v>
      </c>
      <c r="H707" t="s">
        <v>26</v>
      </c>
      <c r="I707" t="s">
        <v>27</v>
      </c>
      <c r="J707" t="s">
        <v>28</v>
      </c>
      <c r="K707" t="s">
        <v>153</v>
      </c>
      <c r="L707" t="s">
        <v>2198</v>
      </c>
      <c r="M707" t="s">
        <v>59</v>
      </c>
      <c r="N707">
        <v>5</v>
      </c>
      <c r="O707">
        <v>3371.75</v>
      </c>
      <c r="P707">
        <v>0.05</v>
      </c>
      <c r="Q707" s="7">
        <f>IF(P707="", 0, P707)</f>
        <v>0.05</v>
      </c>
      <c r="R707">
        <v>16015.81</v>
      </c>
      <c r="S707">
        <v>11352.38</v>
      </c>
      <c r="T707" s="7">
        <f>N707*O707*(1-Q707)</f>
        <v>16015.8125</v>
      </c>
      <c r="U707" s="7">
        <f t="shared" si="66"/>
        <v>4663.4325000000008</v>
      </c>
      <c r="V707">
        <v>4663.43</v>
      </c>
      <c r="W707" s="12">
        <f t="shared" si="67"/>
        <v>0.29117676671102394</v>
      </c>
      <c r="X707" t="s">
        <v>32</v>
      </c>
      <c r="Y707" t="str">
        <f t="shared" si="68"/>
        <v>Paid</v>
      </c>
      <c r="Z707" t="s">
        <v>33</v>
      </c>
      <c r="AA707">
        <f>C707-B707</f>
        <v>692</v>
      </c>
      <c r="AB707" t="str">
        <f>IF(B707="","Missing Order Date",
IF(C707="","Missing Ship Date","OK"))</f>
        <v>OK</v>
      </c>
      <c r="AC707" s="7" t="str">
        <f>IF(C707&lt;B707, "Invalid", "Valid")</f>
        <v>Valid</v>
      </c>
      <c r="AD707" s="7" t="str">
        <f>IF(COUNTIF($A:$A, A707)&gt;1, "Duplicate", "Unique")</f>
        <v>Unique</v>
      </c>
      <c r="AE707" s="7" t="str">
        <f>IF(G707="","Unknown",G707)</f>
        <v>North</v>
      </c>
      <c r="AF707" s="7" t="str">
        <f>IF(M707="","Unknown",M707)</f>
        <v>Standard Class</v>
      </c>
      <c r="AG707" s="7" t="str">
        <f>IF(P707&lt;0,"Invalid",
IF(P707&gt;1,"Invalid","Valid"))</f>
        <v>Valid</v>
      </c>
      <c r="AH707" s="7" t="str">
        <f>TEXT(B707,"mmmm")</f>
        <v>August</v>
      </c>
      <c r="AI707" s="7">
        <f t="shared" si="69"/>
        <v>2024</v>
      </c>
      <c r="AJ707" s="7" t="str">
        <f>IF(OR(R707&lt;0,C707&lt;B707),"Invalid",
IF(OR(G707="Unknown",M707="Unknown"),"Warning","Clean"))</f>
        <v>Clean</v>
      </c>
      <c r="AK707" s="7" t="str">
        <f>IF(C707&lt;B707,"Ship Before Order","OK")</f>
        <v>OK</v>
      </c>
      <c r="AL707" s="7" t="str">
        <f>IF(ISNUMBER(B707),"Valid","Invalid")</f>
        <v>Valid</v>
      </c>
      <c r="AM707" s="7" t="str">
        <f t="shared" si="70"/>
        <v>Missmatched</v>
      </c>
      <c r="AN707" s="7" t="str">
        <f t="shared" si="71"/>
        <v>Missmatched</v>
      </c>
    </row>
    <row r="708" spans="1:40">
      <c r="A708" t="s">
        <v>2199</v>
      </c>
      <c r="B708" s="6">
        <v>45467</v>
      </c>
      <c r="C708" s="4">
        <v>46206</v>
      </c>
      <c r="D708" t="s">
        <v>2200</v>
      </c>
      <c r="E708" t="s">
        <v>47</v>
      </c>
      <c r="F708" t="s">
        <v>37</v>
      </c>
      <c r="G708" t="s">
        <v>38</v>
      </c>
      <c r="H708" t="s">
        <v>39</v>
      </c>
      <c r="I708" t="s">
        <v>40</v>
      </c>
      <c r="J708" t="s">
        <v>28</v>
      </c>
      <c r="K708" t="s">
        <v>29</v>
      </c>
      <c r="L708" t="s">
        <v>2201</v>
      </c>
      <c r="M708" t="s">
        <v>44</v>
      </c>
      <c r="N708">
        <v>1</v>
      </c>
      <c r="O708">
        <v>2112.75</v>
      </c>
      <c r="P708">
        <v>0.1</v>
      </c>
      <c r="Q708" s="7">
        <f>IF(P708="", 0, P708)</f>
        <v>0.1</v>
      </c>
      <c r="R708">
        <v>1901.48</v>
      </c>
      <c r="S708">
        <v>1354.28</v>
      </c>
      <c r="T708" s="7">
        <f>N708*O708*(1-Q708)</f>
        <v>1901.4750000000001</v>
      </c>
      <c r="U708" s="7">
        <f t="shared" si="66"/>
        <v>547.19500000000016</v>
      </c>
      <c r="V708">
        <v>547.20000000000005</v>
      </c>
      <c r="W708" s="12">
        <f t="shared" si="67"/>
        <v>0.28777396494826391</v>
      </c>
      <c r="X708" t="s">
        <v>32</v>
      </c>
      <c r="Y708" t="str">
        <f t="shared" si="68"/>
        <v>Paid</v>
      </c>
      <c r="Z708" t="s">
        <v>33</v>
      </c>
      <c r="AA708">
        <f>C708-B708</f>
        <v>739</v>
      </c>
      <c r="AB708" t="str">
        <f>IF(B708="","Missing Order Date",
IF(C708="","Missing Ship Date","OK"))</f>
        <v>OK</v>
      </c>
      <c r="AC708" s="7" t="str">
        <f>IF(C708&lt;B708, "Invalid", "Valid")</f>
        <v>Valid</v>
      </c>
      <c r="AD708" s="7" t="str">
        <f>IF(COUNTIF($A:$A, A708)&gt;1, "Duplicate", "Unique")</f>
        <v>Unique</v>
      </c>
      <c r="AE708" s="7" t="str">
        <f>IF(G708="","Unknown",G708)</f>
        <v>East</v>
      </c>
      <c r="AF708" s="7" t="str">
        <f>IF(M708="","Unknown",M708)</f>
        <v>Same Day</v>
      </c>
      <c r="AG708" s="7" t="str">
        <f>IF(P708&lt;0,"Invalid",
IF(P708&gt;1,"Invalid","Valid"))</f>
        <v>Valid</v>
      </c>
      <c r="AH708" s="7" t="str">
        <f>TEXT(B708,"mmmm")</f>
        <v>June</v>
      </c>
      <c r="AI708" s="7">
        <f t="shared" si="69"/>
        <v>2024</v>
      </c>
      <c r="AJ708" s="7" t="str">
        <f>IF(OR(R708&lt;0,C708&lt;B708),"Invalid",
IF(OR(G708="Unknown",M708="Unknown"),"Warning","Clean"))</f>
        <v>Clean</v>
      </c>
      <c r="AK708" s="7" t="str">
        <f>IF(C708&lt;B708,"Ship Before Order","OK")</f>
        <v>OK</v>
      </c>
      <c r="AL708" s="7" t="str">
        <f>IF(ISNUMBER(B708),"Valid","Invalid")</f>
        <v>Valid</v>
      </c>
      <c r="AM708" s="7" t="str">
        <f t="shared" si="70"/>
        <v>Missmatched</v>
      </c>
      <c r="AN708" s="7" t="str">
        <f t="shared" si="71"/>
        <v>Missmatched</v>
      </c>
    </row>
    <row r="709" spans="1:40">
      <c r="A709" t="s">
        <v>2202</v>
      </c>
      <c r="B709" s="6">
        <v>45832</v>
      </c>
      <c r="C709" s="4">
        <v>46207</v>
      </c>
      <c r="D709" t="s">
        <v>2203</v>
      </c>
      <c r="E709" t="s">
        <v>71</v>
      </c>
      <c r="F709" t="s">
        <v>24</v>
      </c>
      <c r="G709" t="s">
        <v>25</v>
      </c>
      <c r="H709" t="s">
        <v>26</v>
      </c>
      <c r="I709" t="s">
        <v>27</v>
      </c>
      <c r="J709" t="s">
        <v>74</v>
      </c>
      <c r="K709" t="s">
        <v>75</v>
      </c>
      <c r="L709" t="s">
        <v>2204</v>
      </c>
      <c r="M709" t="s">
        <v>44</v>
      </c>
      <c r="N709">
        <v>5</v>
      </c>
      <c r="O709">
        <v>3722.66</v>
      </c>
      <c r="P709">
        <v>0.55000000000000004</v>
      </c>
      <c r="Q709" s="7">
        <f>IF(P709="", 0, P709)</f>
        <v>0.55000000000000004</v>
      </c>
      <c r="R709">
        <v>16751.97</v>
      </c>
      <c r="S709">
        <v>11678.32</v>
      </c>
      <c r="T709" s="7">
        <f>N709*O709*(1-Q709)</f>
        <v>8375.9849999999988</v>
      </c>
      <c r="U709" s="7">
        <f t="shared" si="66"/>
        <v>-3302.3350000000009</v>
      </c>
      <c r="V709">
        <v>5073.6499999999996</v>
      </c>
      <c r="W709" s="12">
        <f t="shared" si="67"/>
        <v>-0.39426228676388525</v>
      </c>
      <c r="X709" t="s">
        <v>32</v>
      </c>
      <c r="Y709" t="str">
        <f t="shared" si="68"/>
        <v>Paid</v>
      </c>
      <c r="Z709" t="s">
        <v>33</v>
      </c>
      <c r="AA709">
        <f>C709-B709</f>
        <v>375</v>
      </c>
      <c r="AB709" t="str">
        <f>IF(B709="","Missing Order Date",
IF(C709="","Missing Ship Date","OK"))</f>
        <v>OK</v>
      </c>
      <c r="AC709" s="7" t="str">
        <f>IF(C709&lt;B709, "Invalid", "Valid")</f>
        <v>Valid</v>
      </c>
      <c r="AD709" s="7" t="str">
        <f>IF(COUNTIF($A:$A, A709)&gt;1, "Duplicate", "Unique")</f>
        <v>Unique</v>
      </c>
      <c r="AE709" s="7" t="str">
        <f>IF(G709="","Unknown",G709)</f>
        <v>North</v>
      </c>
      <c r="AF709" s="7" t="str">
        <f>IF(M709="","Unknown",M709)</f>
        <v>Same Day</v>
      </c>
      <c r="AG709" s="7" t="str">
        <f>IF(P709&lt;0,"Invalid",
IF(P709&gt;1,"Invalid","Valid"))</f>
        <v>Valid</v>
      </c>
      <c r="AH709" s="7" t="str">
        <f>TEXT(B709,"mmmm")</f>
        <v>June</v>
      </c>
      <c r="AI709" s="7">
        <f t="shared" si="69"/>
        <v>2025</v>
      </c>
      <c r="AJ709" s="7" t="str">
        <f>IF(OR(R709&lt;0,C709&lt;B709),"Invalid",
IF(OR(G709="Unknown",M709="Unknown"),"Warning","Clean"))</f>
        <v>Clean</v>
      </c>
      <c r="AK709" s="7" t="str">
        <f>IF(C709&lt;B709,"Ship Before Order","OK")</f>
        <v>OK</v>
      </c>
      <c r="AL709" s="7" t="str">
        <f>IF(ISNUMBER(B709),"Valid","Invalid")</f>
        <v>Valid</v>
      </c>
      <c r="AM709" s="7" t="str">
        <f t="shared" si="70"/>
        <v>Missmatched</v>
      </c>
      <c r="AN709" s="7" t="str">
        <f t="shared" si="71"/>
        <v>Missmatched</v>
      </c>
    </row>
    <row r="710" spans="1:40">
      <c r="A710" t="s">
        <v>2205</v>
      </c>
      <c r="B710" s="6">
        <v>45736</v>
      </c>
      <c r="C710" s="4">
        <v>46208</v>
      </c>
      <c r="D710" t="s">
        <v>2206</v>
      </c>
      <c r="E710" t="s">
        <v>132</v>
      </c>
      <c r="F710" t="s">
        <v>24</v>
      </c>
      <c r="G710" t="s">
        <v>38</v>
      </c>
      <c r="H710" t="s">
        <v>166</v>
      </c>
      <c r="I710" t="s">
        <v>167</v>
      </c>
      <c r="J710" t="s">
        <v>41</v>
      </c>
      <c r="K710" t="s">
        <v>158</v>
      </c>
      <c r="L710" t="s">
        <v>2207</v>
      </c>
      <c r="M710" t="s">
        <v>50</v>
      </c>
      <c r="N710">
        <v>4</v>
      </c>
      <c r="O710">
        <v>4357.66</v>
      </c>
      <c r="P710">
        <v>0.05</v>
      </c>
      <c r="Q710" s="7">
        <f>IF(P710="", 0, P710)</f>
        <v>0.05</v>
      </c>
      <c r="R710">
        <v>16559.11</v>
      </c>
      <c r="S710">
        <v>13233.79</v>
      </c>
      <c r="T710" s="7">
        <f>N710*O710*(1-Q710)</f>
        <v>16559.108</v>
      </c>
      <c r="U710" s="7">
        <f t="shared" si="66"/>
        <v>3325.3179999999993</v>
      </c>
      <c r="V710">
        <v>3325.32</v>
      </c>
      <c r="W710" s="12">
        <f t="shared" si="67"/>
        <v>0.20081504390212318</v>
      </c>
      <c r="X710" t="s">
        <v>32</v>
      </c>
      <c r="Y710" t="str">
        <f t="shared" si="68"/>
        <v>Paid</v>
      </c>
      <c r="Z710" t="s">
        <v>33</v>
      </c>
      <c r="AA710">
        <f>C710-B710</f>
        <v>472</v>
      </c>
      <c r="AB710" t="str">
        <f>IF(B710="","Missing Order Date",
IF(C710="","Missing Ship Date","OK"))</f>
        <v>OK</v>
      </c>
      <c r="AC710" s="7" t="str">
        <f>IF(C710&lt;B710, "Invalid", "Valid")</f>
        <v>Valid</v>
      </c>
      <c r="AD710" s="7" t="str">
        <f>IF(COUNTIF($A:$A, A710)&gt;1, "Duplicate", "Unique")</f>
        <v>Unique</v>
      </c>
      <c r="AE710" s="7" t="str">
        <f>IF(G710="","Unknown",G710)</f>
        <v>East</v>
      </c>
      <c r="AF710" s="7" t="str">
        <f>IF(M710="","Unknown",M710)</f>
        <v>First Class</v>
      </c>
      <c r="AG710" s="7" t="str">
        <f>IF(P710&lt;0,"Invalid",
IF(P710&gt;1,"Invalid","Valid"))</f>
        <v>Valid</v>
      </c>
      <c r="AH710" s="7" t="str">
        <f>TEXT(B710,"mmmm")</f>
        <v>March</v>
      </c>
      <c r="AI710" s="7">
        <f t="shared" si="69"/>
        <v>2025</v>
      </c>
      <c r="AJ710" s="7" t="str">
        <f>IF(OR(R710&lt;0,C710&lt;B710),"Invalid",
IF(OR(G710="Unknown",M710="Unknown"),"Warning","Clean"))</f>
        <v>Clean</v>
      </c>
      <c r="AK710" s="7" t="str">
        <f>IF(C710&lt;B710,"Ship Before Order","OK")</f>
        <v>OK</v>
      </c>
      <c r="AL710" s="7" t="str">
        <f>IF(ISNUMBER(B710),"Valid","Invalid")</f>
        <v>Valid</v>
      </c>
      <c r="AM710" s="7" t="str">
        <f t="shared" si="70"/>
        <v>Missmatched</v>
      </c>
      <c r="AN710" s="7" t="str">
        <f t="shared" si="71"/>
        <v>Missmatched</v>
      </c>
    </row>
    <row r="711" spans="1:40">
      <c r="A711" t="s">
        <v>2208</v>
      </c>
      <c r="B711" s="6">
        <v>45676</v>
      </c>
      <c r="C711" s="4">
        <v>46209</v>
      </c>
      <c r="D711" t="s">
        <v>2209</v>
      </c>
      <c r="E711" t="s">
        <v>264</v>
      </c>
      <c r="F711" t="s">
        <v>95</v>
      </c>
      <c r="G711" t="s">
        <v>25</v>
      </c>
      <c r="H711" t="s">
        <v>122</v>
      </c>
      <c r="I711" t="s">
        <v>123</v>
      </c>
      <c r="J711" t="s">
        <v>74</v>
      </c>
      <c r="K711" t="s">
        <v>171</v>
      </c>
      <c r="L711" t="s">
        <v>2210</v>
      </c>
      <c r="M711" t="s">
        <v>44</v>
      </c>
      <c r="N711">
        <v>7</v>
      </c>
      <c r="O711">
        <v>1363.04</v>
      </c>
      <c r="P711">
        <v>0.15</v>
      </c>
      <c r="Q711" s="7">
        <f>IF(P711="", 0, P711)</f>
        <v>0.15</v>
      </c>
      <c r="R711">
        <v>8110.09</v>
      </c>
      <c r="S711">
        <v>6417.32</v>
      </c>
      <c r="T711" s="7">
        <f>N711*O711*(1-Q711)</f>
        <v>8110.0879999999988</v>
      </c>
      <c r="U711" s="7">
        <f t="shared" si="66"/>
        <v>1692.7679999999991</v>
      </c>
      <c r="V711">
        <v>1692.77</v>
      </c>
      <c r="W711" s="12">
        <f t="shared" si="67"/>
        <v>0.2087237524426368</v>
      </c>
      <c r="X711" t="s">
        <v>32</v>
      </c>
      <c r="Y711" t="str">
        <f t="shared" si="68"/>
        <v>Paid</v>
      </c>
      <c r="Z711" t="s">
        <v>68</v>
      </c>
      <c r="AA711">
        <f>C711-B711</f>
        <v>533</v>
      </c>
      <c r="AB711" t="str">
        <f>IF(B711="","Missing Order Date",
IF(C711="","Missing Ship Date","OK"))</f>
        <v>OK</v>
      </c>
      <c r="AC711" s="7" t="str">
        <f>IF(C711&lt;B711, "Invalid", "Valid")</f>
        <v>Valid</v>
      </c>
      <c r="AD711" s="7" t="str">
        <f>IF(COUNTIF($A:$A, A711)&gt;1, "Duplicate", "Unique")</f>
        <v>Unique</v>
      </c>
      <c r="AE711" s="7" t="str">
        <f>IF(G711="","Unknown",G711)</f>
        <v>North</v>
      </c>
      <c r="AF711" s="7" t="str">
        <f>IF(M711="","Unknown",M711)</f>
        <v>Same Day</v>
      </c>
      <c r="AG711" s="7" t="str">
        <f>IF(P711&lt;0,"Invalid",
IF(P711&gt;1,"Invalid","Valid"))</f>
        <v>Valid</v>
      </c>
      <c r="AH711" s="7" t="str">
        <f>TEXT(B711,"mmmm")</f>
        <v>January</v>
      </c>
      <c r="AI711" s="7">
        <f t="shared" si="69"/>
        <v>2025</v>
      </c>
      <c r="AJ711" s="7" t="str">
        <f>IF(OR(R711&lt;0,C711&lt;B711),"Invalid",
IF(OR(G711="Unknown",M711="Unknown"),"Warning","Clean"))</f>
        <v>Clean</v>
      </c>
      <c r="AK711" s="7" t="str">
        <f>IF(C711&lt;B711,"Ship Before Order","OK")</f>
        <v>OK</v>
      </c>
      <c r="AL711" s="7" t="str">
        <f>IF(ISNUMBER(B711),"Valid","Invalid")</f>
        <v>Valid</v>
      </c>
      <c r="AM711" s="7" t="str">
        <f t="shared" si="70"/>
        <v>Missmatched</v>
      </c>
      <c r="AN711" s="7" t="str">
        <f t="shared" si="71"/>
        <v>Missmatched</v>
      </c>
    </row>
    <row r="712" spans="1:40">
      <c r="A712" t="s">
        <v>2211</v>
      </c>
      <c r="B712" s="6">
        <v>45633</v>
      </c>
      <c r="C712" s="4">
        <v>46210</v>
      </c>
      <c r="D712" t="s">
        <v>2212</v>
      </c>
      <c r="E712" t="s">
        <v>71</v>
      </c>
      <c r="F712" t="s">
        <v>90</v>
      </c>
      <c r="G712" t="s">
        <v>25</v>
      </c>
      <c r="H712" t="s">
        <v>122</v>
      </c>
      <c r="I712" t="s">
        <v>123</v>
      </c>
      <c r="J712" t="s">
        <v>28</v>
      </c>
      <c r="K712" t="s">
        <v>48</v>
      </c>
      <c r="L712" t="s">
        <v>2213</v>
      </c>
      <c r="M712" t="s">
        <v>31</v>
      </c>
      <c r="N712">
        <v>5</v>
      </c>
      <c r="O712">
        <v>1559.16</v>
      </c>
      <c r="P712">
        <v>0.05</v>
      </c>
      <c r="Q712" s="7">
        <f>IF(P712="", 0, P712)</f>
        <v>0.05</v>
      </c>
      <c r="R712">
        <v>7406.01</v>
      </c>
      <c r="S712">
        <v>5941.74</v>
      </c>
      <c r="T712" s="7">
        <f>N712*O712*(1-Q712)</f>
        <v>7406.01</v>
      </c>
      <c r="U712" s="7">
        <f t="shared" si="66"/>
        <v>1464.2700000000004</v>
      </c>
      <c r="V712">
        <v>1464.27</v>
      </c>
      <c r="W712" s="12">
        <f t="shared" si="67"/>
        <v>0.19771374869869207</v>
      </c>
      <c r="X712" t="s">
        <v>32</v>
      </c>
      <c r="Y712" t="str">
        <f t="shared" si="68"/>
        <v>Paid</v>
      </c>
      <c r="Z712" t="s">
        <v>33</v>
      </c>
      <c r="AA712">
        <f>C712-B712</f>
        <v>577</v>
      </c>
      <c r="AB712" t="str">
        <f>IF(B712="","Missing Order Date",
IF(C712="","Missing Ship Date","OK"))</f>
        <v>OK</v>
      </c>
      <c r="AC712" s="7" t="str">
        <f>IF(C712&lt;B712, "Invalid", "Valid")</f>
        <v>Valid</v>
      </c>
      <c r="AD712" s="7" t="str">
        <f>IF(COUNTIF($A:$A, A712)&gt;1, "Duplicate", "Unique")</f>
        <v>Unique</v>
      </c>
      <c r="AE712" s="7" t="str">
        <f>IF(G712="","Unknown",G712)</f>
        <v>North</v>
      </c>
      <c r="AF712" s="7" t="str">
        <f>IF(M712="","Unknown",M712)</f>
        <v>Second Class</v>
      </c>
      <c r="AG712" s="7" t="str">
        <f>IF(P712&lt;0,"Invalid",
IF(P712&gt;1,"Invalid","Valid"))</f>
        <v>Valid</v>
      </c>
      <c r="AH712" s="7" t="str">
        <f>TEXT(B712,"mmmm")</f>
        <v>December</v>
      </c>
      <c r="AI712" s="7">
        <f t="shared" si="69"/>
        <v>2024</v>
      </c>
      <c r="AJ712" s="7" t="str">
        <f>IF(OR(R712&lt;0,C712&lt;B712),"Invalid",
IF(OR(G712="Unknown",M712="Unknown"),"Warning","Clean"))</f>
        <v>Clean</v>
      </c>
      <c r="AK712" s="7" t="str">
        <f>IF(C712&lt;B712,"Ship Before Order","OK")</f>
        <v>OK</v>
      </c>
      <c r="AL712" s="7" t="str">
        <f>IF(ISNUMBER(B712),"Valid","Invalid")</f>
        <v>Valid</v>
      </c>
      <c r="AM712" s="7" t="str">
        <f t="shared" si="70"/>
        <v>Ok</v>
      </c>
      <c r="AN712" s="7" t="str">
        <f t="shared" si="71"/>
        <v>Ok</v>
      </c>
    </row>
    <row r="713" spans="1:40">
      <c r="A713" t="s">
        <v>2214</v>
      </c>
      <c r="B713" s="6">
        <v>45690</v>
      </c>
      <c r="C713" s="4">
        <v>46211</v>
      </c>
      <c r="D713" t="s">
        <v>2215</v>
      </c>
      <c r="E713" t="s">
        <v>264</v>
      </c>
      <c r="F713" t="s">
        <v>90</v>
      </c>
      <c r="G713" t="s">
        <v>38</v>
      </c>
      <c r="H713" t="s">
        <v>99</v>
      </c>
      <c r="I713" t="s">
        <v>100</v>
      </c>
      <c r="J713" t="s">
        <v>74</v>
      </c>
      <c r="K713" t="s">
        <v>274</v>
      </c>
      <c r="L713" t="s">
        <v>2216</v>
      </c>
      <c r="M713" t="s">
        <v>50</v>
      </c>
      <c r="N713">
        <v>1</v>
      </c>
      <c r="O713">
        <v>4326.75</v>
      </c>
      <c r="P713">
        <v>0.05</v>
      </c>
      <c r="Q713" s="7">
        <f>IF(P713="", 0, P713)</f>
        <v>0.05</v>
      </c>
      <c r="R713">
        <v>4110.41</v>
      </c>
      <c r="S713">
        <v>2394.14</v>
      </c>
      <c r="T713" s="7">
        <f>N713*O713*(1-Q713)</f>
        <v>4110.4124999999995</v>
      </c>
      <c r="U713" s="7">
        <f t="shared" si="66"/>
        <v>1716.2724999999996</v>
      </c>
      <c r="V713">
        <v>1716.27</v>
      </c>
      <c r="W713" s="12">
        <f t="shared" si="67"/>
        <v>0.41754264322619683</v>
      </c>
      <c r="X713" t="s">
        <v>111</v>
      </c>
      <c r="Y713" t="str">
        <f t="shared" si="68"/>
        <v>Pending</v>
      </c>
      <c r="Z713" t="s">
        <v>103</v>
      </c>
      <c r="AA713">
        <f>C713-B713</f>
        <v>521</v>
      </c>
      <c r="AB713" t="str">
        <f>IF(B713="","Missing Order Date",
IF(C713="","Missing Ship Date","OK"))</f>
        <v>OK</v>
      </c>
      <c r="AC713" s="7" t="str">
        <f>IF(C713&lt;B713, "Invalid", "Valid")</f>
        <v>Valid</v>
      </c>
      <c r="AD713" s="7" t="str">
        <f>IF(COUNTIF($A:$A, A713)&gt;1, "Duplicate", "Unique")</f>
        <v>Unique</v>
      </c>
      <c r="AE713" s="7" t="str">
        <f>IF(G713="","Unknown",G713)</f>
        <v>East</v>
      </c>
      <c r="AF713" s="7" t="str">
        <f>IF(M713="","Unknown",M713)</f>
        <v>First Class</v>
      </c>
      <c r="AG713" s="7" t="str">
        <f>IF(P713&lt;0,"Invalid",
IF(P713&gt;1,"Invalid","Valid"))</f>
        <v>Valid</v>
      </c>
      <c r="AH713" s="7" t="str">
        <f>TEXT(B713,"mmmm")</f>
        <v>February</v>
      </c>
      <c r="AI713" s="7">
        <f t="shared" si="69"/>
        <v>2025</v>
      </c>
      <c r="AJ713" s="7" t="str">
        <f>IF(OR(R713&lt;0,C713&lt;B713),"Invalid",
IF(OR(G713="Unknown",M713="Unknown"),"Warning","Clean"))</f>
        <v>Clean</v>
      </c>
      <c r="AK713" s="7" t="str">
        <f>IF(C713&lt;B713,"Ship Before Order","OK")</f>
        <v>OK</v>
      </c>
      <c r="AL713" s="7" t="str">
        <f>IF(ISNUMBER(B713),"Valid","Invalid")</f>
        <v>Valid</v>
      </c>
      <c r="AM713" s="7" t="str">
        <f t="shared" si="70"/>
        <v>Missmatched</v>
      </c>
      <c r="AN713" s="7" t="str">
        <f t="shared" si="71"/>
        <v>Missmatched</v>
      </c>
    </row>
    <row r="714" spans="1:40">
      <c r="A714" t="s">
        <v>2217</v>
      </c>
      <c r="B714" s="6">
        <v>45567</v>
      </c>
      <c r="C714" s="4">
        <v>46212</v>
      </c>
      <c r="D714" t="s">
        <v>2218</v>
      </c>
      <c r="E714" t="s">
        <v>47</v>
      </c>
      <c r="F714" t="s">
        <v>95</v>
      </c>
      <c r="G714" t="s">
        <v>63</v>
      </c>
      <c r="H714" t="s">
        <v>72</v>
      </c>
      <c r="I714" t="s">
        <v>73</v>
      </c>
      <c r="J714" t="s">
        <v>41</v>
      </c>
      <c r="K714" t="s">
        <v>66</v>
      </c>
      <c r="L714" t="s">
        <v>2219</v>
      </c>
      <c r="M714" t="s">
        <v>50</v>
      </c>
      <c r="N714">
        <v>7</v>
      </c>
      <c r="O714">
        <v>1382.86</v>
      </c>
      <c r="P714">
        <v>0</v>
      </c>
      <c r="Q714" s="7">
        <f>IF(P714="", 0, P714)</f>
        <v>0</v>
      </c>
      <c r="R714">
        <v>9680.02</v>
      </c>
      <c r="S714">
        <v>6876.66</v>
      </c>
      <c r="T714" s="7">
        <f>N714*O714*(1-Q714)</f>
        <v>9680.0199999999986</v>
      </c>
      <c r="U714" s="7">
        <f t="shared" si="66"/>
        <v>2803.3599999999988</v>
      </c>
      <c r="V714">
        <v>2803.36</v>
      </c>
      <c r="W714" s="12">
        <f t="shared" si="67"/>
        <v>0.28960270743242256</v>
      </c>
      <c r="X714" t="s">
        <v>32</v>
      </c>
      <c r="Y714" t="str">
        <f t="shared" si="68"/>
        <v>Paid</v>
      </c>
      <c r="Z714" t="s">
        <v>33</v>
      </c>
      <c r="AA714">
        <f>C714-B714</f>
        <v>645</v>
      </c>
      <c r="AB714" t="str">
        <f>IF(B714="","Missing Order Date",
IF(C714="","Missing Ship Date","OK"))</f>
        <v>OK</v>
      </c>
      <c r="AC714" s="7" t="str">
        <f>IF(C714&lt;B714, "Invalid", "Valid")</f>
        <v>Valid</v>
      </c>
      <c r="AD714" s="7" t="str">
        <f>IF(COUNTIF($A:$A, A714)&gt;1, "Duplicate", "Unique")</f>
        <v>Duplicate</v>
      </c>
      <c r="AE714" s="7" t="str">
        <f>IF(G714="","Unknown",G714)</f>
        <v>West</v>
      </c>
      <c r="AF714" s="7" t="str">
        <f>IF(M714="","Unknown",M714)</f>
        <v>First Class</v>
      </c>
      <c r="AG714" s="7" t="str">
        <f>IF(P714&lt;0,"Invalid",
IF(P714&gt;1,"Invalid","Valid"))</f>
        <v>Valid</v>
      </c>
      <c r="AH714" s="7" t="str">
        <f>TEXT(B714,"mmmm")</f>
        <v>October</v>
      </c>
      <c r="AI714" s="7">
        <f t="shared" si="69"/>
        <v>2024</v>
      </c>
      <c r="AJ714" s="7" t="str">
        <f>IF(OR(R714&lt;0,C714&lt;B714),"Invalid",
IF(OR(G714="Unknown",M714="Unknown"),"Warning","Clean"))</f>
        <v>Clean</v>
      </c>
      <c r="AK714" s="7" t="str">
        <f>IF(C714&lt;B714,"Ship Before Order","OK")</f>
        <v>OK</v>
      </c>
      <c r="AL714" s="7" t="str">
        <f>IF(ISNUMBER(B714),"Valid","Invalid")</f>
        <v>Valid</v>
      </c>
      <c r="AM714" s="7" t="str">
        <f t="shared" si="70"/>
        <v>Ok</v>
      </c>
      <c r="AN714" s="7" t="str">
        <f t="shared" si="71"/>
        <v>Ok</v>
      </c>
    </row>
    <row r="715" spans="1:40">
      <c r="A715" t="s">
        <v>2220</v>
      </c>
      <c r="B715" s="6">
        <v>45814</v>
      </c>
      <c r="C715" s="4">
        <v>46213</v>
      </c>
      <c r="D715" t="s">
        <v>599</v>
      </c>
      <c r="E715" t="s">
        <v>36</v>
      </c>
      <c r="F715" t="s">
        <v>24</v>
      </c>
      <c r="G715" t="s">
        <v>63</v>
      </c>
      <c r="H715" t="s">
        <v>26</v>
      </c>
      <c r="I715" t="s">
        <v>109</v>
      </c>
      <c r="J715" t="s">
        <v>74</v>
      </c>
      <c r="K715" t="s">
        <v>274</v>
      </c>
      <c r="L715" t="s">
        <v>2221</v>
      </c>
      <c r="M715" t="s">
        <v>31</v>
      </c>
      <c r="N715">
        <v>1</v>
      </c>
      <c r="O715">
        <v>289.97000000000003</v>
      </c>
      <c r="P715">
        <v>0.25</v>
      </c>
      <c r="Q715" s="7">
        <f>IF(P715="", 0, P715)</f>
        <v>0.25</v>
      </c>
      <c r="R715">
        <v>217.48</v>
      </c>
      <c r="S715">
        <v>132.13</v>
      </c>
      <c r="T715" s="7">
        <f>N715*O715*(1-Q715)</f>
        <v>217.47750000000002</v>
      </c>
      <c r="U715" s="7">
        <f t="shared" si="66"/>
        <v>85.347500000000025</v>
      </c>
      <c r="V715">
        <v>85.35</v>
      </c>
      <c r="W715" s="12">
        <f t="shared" si="67"/>
        <v>0.39244289639158081</v>
      </c>
      <c r="X715" t="s">
        <v>32</v>
      </c>
      <c r="Y715" t="str">
        <f t="shared" si="68"/>
        <v>Paid</v>
      </c>
      <c r="Z715" t="s">
        <v>33</v>
      </c>
      <c r="AA715">
        <f>C715-B715</f>
        <v>399</v>
      </c>
      <c r="AB715" t="str">
        <f>IF(B715="","Missing Order Date",
IF(C715="","Missing Ship Date","OK"))</f>
        <v>OK</v>
      </c>
      <c r="AC715" s="7" t="str">
        <f>IF(C715&lt;B715, "Invalid", "Valid")</f>
        <v>Valid</v>
      </c>
      <c r="AD715" s="7" t="str">
        <f>IF(COUNTIF($A:$A, A715)&gt;1, "Duplicate", "Unique")</f>
        <v>Unique</v>
      </c>
      <c r="AE715" s="7" t="str">
        <f>IF(G715="","Unknown",G715)</f>
        <v>West</v>
      </c>
      <c r="AF715" s="7" t="str">
        <f>IF(M715="","Unknown",M715)</f>
        <v>Second Class</v>
      </c>
      <c r="AG715" s="7" t="str">
        <f>IF(P715&lt;0,"Invalid",
IF(P715&gt;1,"Invalid","Valid"))</f>
        <v>Valid</v>
      </c>
      <c r="AH715" s="7" t="str">
        <f>TEXT(B715,"mmmm")</f>
        <v>June</v>
      </c>
      <c r="AI715" s="7">
        <f t="shared" si="69"/>
        <v>2025</v>
      </c>
      <c r="AJ715" s="7" t="str">
        <f>IF(OR(R715&lt;0,C715&lt;B715),"Invalid",
IF(OR(G715="Unknown",M715="Unknown"),"Warning","Clean"))</f>
        <v>Clean</v>
      </c>
      <c r="AK715" s="7" t="str">
        <f>IF(C715&lt;B715,"Ship Before Order","OK")</f>
        <v>OK</v>
      </c>
      <c r="AL715" s="7" t="str">
        <f>IF(ISNUMBER(B715),"Valid","Invalid")</f>
        <v>Valid</v>
      </c>
      <c r="AM715" s="7" t="str">
        <f t="shared" si="70"/>
        <v>Missmatched</v>
      </c>
      <c r="AN715" s="7" t="str">
        <f t="shared" si="71"/>
        <v>Missmatched</v>
      </c>
    </row>
    <row r="716" spans="1:40">
      <c r="A716" t="s">
        <v>2222</v>
      </c>
      <c r="B716" s="6">
        <v>45738</v>
      </c>
      <c r="C716" s="4">
        <v>46214</v>
      </c>
      <c r="D716" t="s">
        <v>2223</v>
      </c>
      <c r="E716" t="s">
        <v>23</v>
      </c>
      <c r="F716" t="s">
        <v>95</v>
      </c>
      <c r="G716" t="s">
        <v>25</v>
      </c>
      <c r="H716" t="s">
        <v>350</v>
      </c>
      <c r="I716" t="s">
        <v>351</v>
      </c>
      <c r="J716" t="s">
        <v>74</v>
      </c>
      <c r="K716" t="s">
        <v>80</v>
      </c>
      <c r="L716" t="s">
        <v>2224</v>
      </c>
      <c r="M716" t="s">
        <v>59</v>
      </c>
      <c r="N716">
        <v>9</v>
      </c>
      <c r="O716">
        <v>2075.02</v>
      </c>
      <c r="P716">
        <v>0</v>
      </c>
      <c r="Q716" s="7">
        <f>IF(P716="", 0, P716)</f>
        <v>0</v>
      </c>
      <c r="R716">
        <v>18675.18</v>
      </c>
      <c r="S716">
        <v>13974.7</v>
      </c>
      <c r="T716" s="7">
        <f>N716*O716*(1-Q716)</f>
        <v>18675.18</v>
      </c>
      <c r="U716" s="7">
        <f t="shared" si="66"/>
        <v>4700.4799999999996</v>
      </c>
      <c r="V716">
        <v>4700.4799999999996</v>
      </c>
      <c r="W716" s="12">
        <f t="shared" si="67"/>
        <v>0.25169663692665878</v>
      </c>
      <c r="X716" t="s">
        <v>32</v>
      </c>
      <c r="Y716" t="str">
        <f t="shared" si="68"/>
        <v>Paid</v>
      </c>
      <c r="Z716" t="s">
        <v>33</v>
      </c>
      <c r="AA716">
        <f>C716-B716</f>
        <v>476</v>
      </c>
      <c r="AB716" t="str">
        <f>IF(B716="","Missing Order Date",
IF(C716="","Missing Ship Date","OK"))</f>
        <v>OK</v>
      </c>
      <c r="AC716" s="7" t="str">
        <f>IF(C716&lt;B716, "Invalid", "Valid")</f>
        <v>Valid</v>
      </c>
      <c r="AD716" s="7" t="str">
        <f>IF(COUNTIF($A:$A, A716)&gt;1, "Duplicate", "Unique")</f>
        <v>Unique</v>
      </c>
      <c r="AE716" s="7" t="str">
        <f>IF(G716="","Unknown",G716)</f>
        <v>North</v>
      </c>
      <c r="AF716" s="7" t="str">
        <f>IF(M716="","Unknown",M716)</f>
        <v>Standard Class</v>
      </c>
      <c r="AG716" s="7" t="str">
        <f>IF(P716&lt;0,"Invalid",
IF(P716&gt;1,"Invalid","Valid"))</f>
        <v>Valid</v>
      </c>
      <c r="AH716" s="7" t="str">
        <f>TEXT(B716,"mmmm")</f>
        <v>March</v>
      </c>
      <c r="AI716" s="7">
        <f t="shared" si="69"/>
        <v>2025</v>
      </c>
      <c r="AJ716" s="7" t="str">
        <f>IF(OR(R716&lt;0,C716&lt;B716),"Invalid",
IF(OR(G716="Unknown",M716="Unknown"),"Warning","Clean"))</f>
        <v>Clean</v>
      </c>
      <c r="AK716" s="7" t="str">
        <f>IF(C716&lt;B716,"Ship Before Order","OK")</f>
        <v>OK</v>
      </c>
      <c r="AL716" s="7" t="str">
        <f>IF(ISNUMBER(B716),"Valid","Invalid")</f>
        <v>Valid</v>
      </c>
      <c r="AM716" s="7" t="str">
        <f t="shared" si="70"/>
        <v>Ok</v>
      </c>
      <c r="AN716" s="7" t="str">
        <f t="shared" si="71"/>
        <v>Ok</v>
      </c>
    </row>
    <row r="717" spans="1:40">
      <c r="A717" t="s">
        <v>2225</v>
      </c>
      <c r="B717" s="6">
        <v>45891</v>
      </c>
      <c r="C717" s="4">
        <v>46215</v>
      </c>
      <c r="D717" t="s">
        <v>2226</v>
      </c>
      <c r="E717" t="s">
        <v>114</v>
      </c>
      <c r="F717" t="s">
        <v>24</v>
      </c>
      <c r="G717" t="s">
        <v>25</v>
      </c>
      <c r="H717" t="s">
        <v>236</v>
      </c>
      <c r="I717" t="s">
        <v>237</v>
      </c>
      <c r="J717" t="s">
        <v>41</v>
      </c>
      <c r="K717" t="s">
        <v>66</v>
      </c>
      <c r="L717" t="s">
        <v>2227</v>
      </c>
      <c r="M717" t="s">
        <v>31</v>
      </c>
      <c r="N717">
        <v>7</v>
      </c>
      <c r="O717">
        <v>2843.09</v>
      </c>
      <c r="P717">
        <v>0</v>
      </c>
      <c r="Q717" s="7">
        <f>IF(P717="", 0, P717)</f>
        <v>0</v>
      </c>
      <c r="R717">
        <v>19901.63</v>
      </c>
      <c r="S717">
        <v>15492.03</v>
      </c>
      <c r="T717" s="7">
        <f>N717*O717*(1-Q717)</f>
        <v>19901.63</v>
      </c>
      <c r="U717" s="7">
        <f t="shared" si="66"/>
        <v>4409.6000000000004</v>
      </c>
      <c r="V717">
        <v>4409.6000000000004</v>
      </c>
      <c r="W717" s="12">
        <f t="shared" si="67"/>
        <v>0.22156979101711771</v>
      </c>
      <c r="X717" t="s">
        <v>102</v>
      </c>
      <c r="Y717" t="str">
        <f t="shared" si="68"/>
        <v>Refunded</v>
      </c>
      <c r="Z717" t="s">
        <v>68</v>
      </c>
      <c r="AA717">
        <f>C717-B717</f>
        <v>324</v>
      </c>
      <c r="AB717" t="str">
        <f>IF(B717="","Missing Order Date",
IF(C717="","Missing Ship Date","OK"))</f>
        <v>OK</v>
      </c>
      <c r="AC717" s="7" t="str">
        <f>IF(C717&lt;B717, "Invalid", "Valid")</f>
        <v>Valid</v>
      </c>
      <c r="AD717" s="7" t="str">
        <f>IF(COUNTIF($A:$A, A717)&gt;1, "Duplicate", "Unique")</f>
        <v>Unique</v>
      </c>
      <c r="AE717" s="7" t="str">
        <f>IF(G717="","Unknown",G717)</f>
        <v>North</v>
      </c>
      <c r="AF717" s="7" t="str">
        <f>IF(M717="","Unknown",M717)</f>
        <v>Second Class</v>
      </c>
      <c r="AG717" s="7" t="str">
        <f>IF(P717&lt;0,"Invalid",
IF(P717&gt;1,"Invalid","Valid"))</f>
        <v>Valid</v>
      </c>
      <c r="AH717" s="7" t="str">
        <f>TEXT(B717,"mmmm")</f>
        <v>August</v>
      </c>
      <c r="AI717" s="7">
        <f t="shared" si="69"/>
        <v>2025</v>
      </c>
      <c r="AJ717" s="7" t="str">
        <f>IF(OR(R717&lt;0,C717&lt;B717),"Invalid",
IF(OR(G717="Unknown",M717="Unknown"),"Warning","Clean"))</f>
        <v>Clean</v>
      </c>
      <c r="AK717" s="7" t="str">
        <f>IF(C717&lt;B717,"Ship Before Order","OK")</f>
        <v>OK</v>
      </c>
      <c r="AL717" s="7" t="str">
        <f>IF(ISNUMBER(B717),"Valid","Invalid")</f>
        <v>Valid</v>
      </c>
      <c r="AM717" s="7" t="str">
        <f t="shared" si="70"/>
        <v>Ok</v>
      </c>
      <c r="AN717" s="7" t="str">
        <f t="shared" si="71"/>
        <v>Ok</v>
      </c>
    </row>
    <row r="718" spans="1:40">
      <c r="A718" t="s">
        <v>2228</v>
      </c>
      <c r="B718" s="6">
        <v>45895</v>
      </c>
      <c r="C718" s="4">
        <v>46216</v>
      </c>
      <c r="D718" t="s">
        <v>2229</v>
      </c>
      <c r="E718" t="s">
        <v>162</v>
      </c>
      <c r="F718" t="s">
        <v>37</v>
      </c>
      <c r="G718" t="s">
        <v>25</v>
      </c>
      <c r="H718" t="s">
        <v>236</v>
      </c>
      <c r="I718" t="s">
        <v>237</v>
      </c>
      <c r="J718" t="s">
        <v>74</v>
      </c>
      <c r="K718" t="s">
        <v>171</v>
      </c>
      <c r="L718" t="s">
        <v>2230</v>
      </c>
      <c r="M718" t="s">
        <v>50</v>
      </c>
      <c r="N718">
        <v>1</v>
      </c>
      <c r="O718">
        <v>3388.02</v>
      </c>
      <c r="P718">
        <v>0.15</v>
      </c>
      <c r="Q718" s="7">
        <f>IF(P718="", 0, P718)</f>
        <v>0.15</v>
      </c>
      <c r="R718">
        <v>2879.82</v>
      </c>
      <c r="S718">
        <v>1824.88</v>
      </c>
      <c r="T718" s="7">
        <f>N718*O718*(1-Q718)</f>
        <v>2879.817</v>
      </c>
      <c r="U718" s="7">
        <f t="shared" si="66"/>
        <v>1054.9369999999999</v>
      </c>
      <c r="V718">
        <v>1054.94</v>
      </c>
      <c r="W718" s="12">
        <f t="shared" si="67"/>
        <v>0.3663208460815392</v>
      </c>
      <c r="X718" t="s">
        <v>32</v>
      </c>
      <c r="Y718" t="str">
        <f t="shared" si="68"/>
        <v>Paid</v>
      </c>
      <c r="Z718" t="s">
        <v>33</v>
      </c>
      <c r="AA718">
        <f>C718-B718</f>
        <v>321</v>
      </c>
      <c r="AB718" t="str">
        <f>IF(B718="","Missing Order Date",
IF(C718="","Missing Ship Date","OK"))</f>
        <v>OK</v>
      </c>
      <c r="AC718" s="7" t="str">
        <f>IF(C718&lt;B718, "Invalid", "Valid")</f>
        <v>Valid</v>
      </c>
      <c r="AD718" s="7" t="str">
        <f>IF(COUNTIF($A:$A, A718)&gt;1, "Duplicate", "Unique")</f>
        <v>Unique</v>
      </c>
      <c r="AE718" s="7" t="str">
        <f>IF(G718="","Unknown",G718)</f>
        <v>North</v>
      </c>
      <c r="AF718" s="7" t="str">
        <f>IF(M718="","Unknown",M718)</f>
        <v>First Class</v>
      </c>
      <c r="AG718" s="7" t="str">
        <f>IF(P718&lt;0,"Invalid",
IF(P718&gt;1,"Invalid","Valid"))</f>
        <v>Valid</v>
      </c>
      <c r="AH718" s="7" t="str">
        <f>TEXT(B718,"mmmm")</f>
        <v>August</v>
      </c>
      <c r="AI718" s="7">
        <f t="shared" si="69"/>
        <v>2025</v>
      </c>
      <c r="AJ718" s="7" t="str">
        <f>IF(OR(R718&lt;0,C718&lt;B718),"Invalid",
IF(OR(G718="Unknown",M718="Unknown"),"Warning","Clean"))</f>
        <v>Clean</v>
      </c>
      <c r="AK718" s="7" t="str">
        <f>IF(C718&lt;B718,"Ship Before Order","OK")</f>
        <v>OK</v>
      </c>
      <c r="AL718" s="7" t="str">
        <f>IF(ISNUMBER(B718),"Valid","Invalid")</f>
        <v>Valid</v>
      </c>
      <c r="AM718" s="7" t="str">
        <f t="shared" si="70"/>
        <v>Missmatched</v>
      </c>
      <c r="AN718" s="7" t="str">
        <f t="shared" si="71"/>
        <v>Missmatched</v>
      </c>
    </row>
    <row r="719" spans="1:40">
      <c r="A719" t="s">
        <v>2231</v>
      </c>
      <c r="B719" s="6">
        <v>45942</v>
      </c>
      <c r="C719" s="4">
        <v>46217</v>
      </c>
      <c r="D719" t="s">
        <v>2232</v>
      </c>
      <c r="E719" t="s">
        <v>264</v>
      </c>
      <c r="F719" t="s">
        <v>37</v>
      </c>
      <c r="G719" t="s">
        <v>25</v>
      </c>
      <c r="H719" t="s">
        <v>236</v>
      </c>
      <c r="I719" t="s">
        <v>237</v>
      </c>
      <c r="J719" t="s">
        <v>74</v>
      </c>
      <c r="K719" t="s">
        <v>274</v>
      </c>
      <c r="L719" t="s">
        <v>2233</v>
      </c>
      <c r="M719" t="s">
        <v>59</v>
      </c>
      <c r="N719">
        <v>9</v>
      </c>
      <c r="O719">
        <v>2598.92</v>
      </c>
      <c r="P719">
        <v>0.2</v>
      </c>
      <c r="Q719" s="7">
        <f>IF(P719="", 0, P719)</f>
        <v>0.2</v>
      </c>
      <c r="R719">
        <v>18712.22</v>
      </c>
      <c r="S719">
        <v>11852.22</v>
      </c>
      <c r="T719" s="7">
        <f>N719*O719*(1-Q719)</f>
        <v>18712.223999999998</v>
      </c>
      <c r="U719" s="7">
        <f t="shared" si="66"/>
        <v>6860.003999999999</v>
      </c>
      <c r="V719">
        <v>6860</v>
      </c>
      <c r="W719" s="12">
        <f t="shared" si="67"/>
        <v>0.3666054874075898</v>
      </c>
      <c r="X719" t="s">
        <v>111</v>
      </c>
      <c r="Y719" t="str">
        <f t="shared" si="68"/>
        <v>Pending</v>
      </c>
      <c r="Z719" t="s">
        <v>68</v>
      </c>
      <c r="AA719">
        <f>C719-B719</f>
        <v>275</v>
      </c>
      <c r="AB719" t="str">
        <f>IF(B719="","Missing Order Date",
IF(C719="","Missing Ship Date","OK"))</f>
        <v>OK</v>
      </c>
      <c r="AC719" s="7" t="str">
        <f>IF(C719&lt;B719, "Invalid", "Valid")</f>
        <v>Valid</v>
      </c>
      <c r="AD719" s="7" t="str">
        <f>IF(COUNTIF($A:$A, A719)&gt;1, "Duplicate", "Unique")</f>
        <v>Unique</v>
      </c>
      <c r="AE719" s="7" t="str">
        <f>IF(G719="","Unknown",G719)</f>
        <v>North</v>
      </c>
      <c r="AF719" s="7" t="str">
        <f>IF(M719="","Unknown",M719)</f>
        <v>Standard Class</v>
      </c>
      <c r="AG719" s="7" t="str">
        <f>IF(P719&lt;0,"Invalid",
IF(P719&gt;1,"Invalid","Valid"))</f>
        <v>Valid</v>
      </c>
      <c r="AH719" s="7" t="str">
        <f>TEXT(B719,"mmmm")</f>
        <v>October</v>
      </c>
      <c r="AI719" s="7">
        <f t="shared" si="69"/>
        <v>2025</v>
      </c>
      <c r="AJ719" s="7" t="str">
        <f>IF(OR(R719&lt;0,C719&lt;B719),"Invalid",
IF(OR(G719="Unknown",M719="Unknown"),"Warning","Clean"))</f>
        <v>Clean</v>
      </c>
      <c r="AK719" s="7" t="str">
        <f>IF(C719&lt;B719,"Ship Before Order","OK")</f>
        <v>OK</v>
      </c>
      <c r="AL719" s="7" t="str">
        <f>IF(ISNUMBER(B719),"Valid","Invalid")</f>
        <v>Valid</v>
      </c>
      <c r="AM719" s="7" t="str">
        <f t="shared" si="70"/>
        <v>Missmatched</v>
      </c>
      <c r="AN719" s="7" t="str">
        <f t="shared" si="71"/>
        <v>Missmatched</v>
      </c>
    </row>
    <row r="720" spans="1:40">
      <c r="A720" t="s">
        <v>2234</v>
      </c>
      <c r="B720" s="6">
        <v>45452</v>
      </c>
      <c r="C720" s="4">
        <v>46218</v>
      </c>
      <c r="D720" t="s">
        <v>2235</v>
      </c>
      <c r="E720" t="s">
        <v>36</v>
      </c>
      <c r="F720" t="s">
        <v>24</v>
      </c>
      <c r="G720" t="s">
        <v>63</v>
      </c>
      <c r="H720" t="s">
        <v>64</v>
      </c>
      <c r="I720" t="s">
        <v>65</v>
      </c>
      <c r="J720" t="s">
        <v>28</v>
      </c>
      <c r="K720" t="s">
        <v>48</v>
      </c>
      <c r="L720" t="s">
        <v>2236</v>
      </c>
      <c r="M720" t="s">
        <v>44</v>
      </c>
      <c r="N720">
        <v>3</v>
      </c>
      <c r="O720">
        <v>1972.27</v>
      </c>
      <c r="P720">
        <v>0.2</v>
      </c>
      <c r="Q720" s="7">
        <f>IF(P720="", 0, P720)</f>
        <v>0.2</v>
      </c>
      <c r="R720">
        <v>4733.45</v>
      </c>
      <c r="S720">
        <v>3672.32</v>
      </c>
      <c r="T720" s="7">
        <f>N720*O720*(1-Q720)</f>
        <v>4733.4479999999994</v>
      </c>
      <c r="U720" s="7">
        <f t="shared" si="66"/>
        <v>1061.1279999999992</v>
      </c>
      <c r="V720">
        <v>1061.1300000000001</v>
      </c>
      <c r="W720" s="12">
        <f t="shared" si="67"/>
        <v>0.22417654107534282</v>
      </c>
      <c r="X720" t="s">
        <v>32</v>
      </c>
      <c r="Y720" t="str">
        <f t="shared" si="68"/>
        <v>Paid</v>
      </c>
      <c r="Z720" t="s">
        <v>33</v>
      </c>
      <c r="AA720">
        <f>C720-B720</f>
        <v>766</v>
      </c>
      <c r="AB720" t="str">
        <f>IF(B720="","Missing Order Date",
IF(C720="","Missing Ship Date","OK"))</f>
        <v>OK</v>
      </c>
      <c r="AC720" s="7" t="str">
        <f>IF(C720&lt;B720, "Invalid", "Valid")</f>
        <v>Valid</v>
      </c>
      <c r="AD720" s="7" t="str">
        <f>IF(COUNTIF($A:$A, A720)&gt;1, "Duplicate", "Unique")</f>
        <v>Unique</v>
      </c>
      <c r="AE720" s="7" t="str">
        <f>IF(G720="","Unknown",G720)</f>
        <v>West</v>
      </c>
      <c r="AF720" s="7" t="str">
        <f>IF(M720="","Unknown",M720)</f>
        <v>Same Day</v>
      </c>
      <c r="AG720" s="7" t="str">
        <f>IF(P720&lt;0,"Invalid",
IF(P720&gt;1,"Invalid","Valid"))</f>
        <v>Valid</v>
      </c>
      <c r="AH720" s="7" t="str">
        <f>TEXT(B720,"mmmm")</f>
        <v>June</v>
      </c>
      <c r="AI720" s="7">
        <f t="shared" si="69"/>
        <v>2024</v>
      </c>
      <c r="AJ720" s="7" t="str">
        <f>IF(OR(R720&lt;0,C720&lt;B720),"Invalid",
IF(OR(G720="Unknown",M720="Unknown"),"Warning","Clean"))</f>
        <v>Clean</v>
      </c>
      <c r="AK720" s="7" t="str">
        <f>IF(C720&lt;B720,"Ship Before Order","OK")</f>
        <v>OK</v>
      </c>
      <c r="AL720" s="7" t="str">
        <f>IF(ISNUMBER(B720),"Valid","Invalid")</f>
        <v>Valid</v>
      </c>
      <c r="AM720" s="7" t="str">
        <f t="shared" si="70"/>
        <v>Missmatched</v>
      </c>
      <c r="AN720" s="7" t="str">
        <f t="shared" si="71"/>
        <v>Missmatched</v>
      </c>
    </row>
    <row r="721" spans="1:40">
      <c r="A721" t="s">
        <v>2237</v>
      </c>
      <c r="B721" s="6">
        <v>45878</v>
      </c>
      <c r="C721" s="4">
        <v>46219</v>
      </c>
      <c r="D721" t="s">
        <v>144</v>
      </c>
      <c r="E721" t="s">
        <v>264</v>
      </c>
      <c r="F721" t="s">
        <v>90</v>
      </c>
      <c r="G721" t="s">
        <v>63</v>
      </c>
      <c r="H721" t="s">
        <v>180</v>
      </c>
      <c r="I721" t="s">
        <v>181</v>
      </c>
      <c r="J721" t="s">
        <v>28</v>
      </c>
      <c r="K721" t="s">
        <v>48</v>
      </c>
      <c r="L721" t="s">
        <v>2238</v>
      </c>
      <c r="M721" t="s">
        <v>44</v>
      </c>
      <c r="N721">
        <v>2</v>
      </c>
      <c r="O721">
        <v>2372.41</v>
      </c>
      <c r="P721">
        <v>0.2</v>
      </c>
      <c r="Q721" s="7">
        <f>IF(P721="", 0, P721)</f>
        <v>0.2</v>
      </c>
      <c r="R721">
        <v>3795.86</v>
      </c>
      <c r="S721">
        <v>2264.92</v>
      </c>
      <c r="T721" s="7">
        <f>N721*O721*(1-Q721)</f>
        <v>3795.8559999999998</v>
      </c>
      <c r="U721" s="7">
        <f t="shared" si="66"/>
        <v>1530.9359999999997</v>
      </c>
      <c r="V721">
        <v>1530.94</v>
      </c>
      <c r="W721" s="12">
        <f t="shared" si="67"/>
        <v>0.40331772332775528</v>
      </c>
      <c r="X721" t="s">
        <v>32</v>
      </c>
      <c r="Y721" t="str">
        <f t="shared" si="68"/>
        <v>Paid</v>
      </c>
      <c r="Z721" t="s">
        <v>33</v>
      </c>
      <c r="AA721">
        <f>C721-B721</f>
        <v>341</v>
      </c>
      <c r="AB721" t="str">
        <f>IF(B721="","Missing Order Date",
IF(C721="","Missing Ship Date","OK"))</f>
        <v>OK</v>
      </c>
      <c r="AC721" s="7" t="str">
        <f>IF(C721&lt;B721, "Invalid", "Valid")</f>
        <v>Valid</v>
      </c>
      <c r="AD721" s="7" t="str">
        <f>IF(COUNTIF($A:$A, A721)&gt;1, "Duplicate", "Unique")</f>
        <v>Duplicate</v>
      </c>
      <c r="AE721" s="7" t="str">
        <f>IF(G721="","Unknown",G721)</f>
        <v>West</v>
      </c>
      <c r="AF721" s="7" t="str">
        <f>IF(M721="","Unknown",M721)</f>
        <v>Same Day</v>
      </c>
      <c r="AG721" s="7" t="str">
        <f>IF(P721&lt;0,"Invalid",
IF(P721&gt;1,"Invalid","Valid"))</f>
        <v>Valid</v>
      </c>
      <c r="AH721" s="7" t="str">
        <f>TEXT(B721,"mmmm")</f>
        <v>August</v>
      </c>
      <c r="AI721" s="7">
        <f t="shared" si="69"/>
        <v>2025</v>
      </c>
      <c r="AJ721" s="7" t="str">
        <f>IF(OR(R721&lt;0,C721&lt;B721),"Invalid",
IF(OR(G721="Unknown",M721="Unknown"),"Warning","Clean"))</f>
        <v>Clean</v>
      </c>
      <c r="AK721" s="7" t="str">
        <f>IF(C721&lt;B721,"Ship Before Order","OK")</f>
        <v>OK</v>
      </c>
      <c r="AL721" s="7" t="str">
        <f>IF(ISNUMBER(B721),"Valid","Invalid")</f>
        <v>Valid</v>
      </c>
      <c r="AM721" s="7" t="str">
        <f t="shared" si="70"/>
        <v>Missmatched</v>
      </c>
      <c r="AN721" s="7" t="str">
        <f t="shared" si="71"/>
        <v>Missmatched</v>
      </c>
    </row>
    <row r="722" spans="1:40">
      <c r="A722" t="s">
        <v>2239</v>
      </c>
      <c r="B722" s="6">
        <v>45489</v>
      </c>
      <c r="C722" s="4">
        <v>46220</v>
      </c>
      <c r="D722" t="s">
        <v>2240</v>
      </c>
      <c r="E722" t="s">
        <v>89</v>
      </c>
      <c r="F722" t="s">
        <v>95</v>
      </c>
      <c r="G722" t="s">
        <v>63</v>
      </c>
      <c r="H722" t="s">
        <v>72</v>
      </c>
      <c r="I722" t="s">
        <v>73</v>
      </c>
      <c r="J722" t="s">
        <v>74</v>
      </c>
      <c r="K722" t="s">
        <v>80</v>
      </c>
      <c r="L722" t="s">
        <v>2241</v>
      </c>
      <c r="M722" t="s">
        <v>44</v>
      </c>
      <c r="N722">
        <v>4</v>
      </c>
      <c r="O722">
        <v>4479.92</v>
      </c>
      <c r="P722">
        <v>0.15</v>
      </c>
      <c r="Q722" s="7">
        <f>IF(P722="", 0, P722)</f>
        <v>0.15</v>
      </c>
      <c r="R722">
        <v>15231.73</v>
      </c>
      <c r="S722">
        <v>12451.46</v>
      </c>
      <c r="T722" s="7">
        <f>N722*O722*(1-Q722)</f>
        <v>15231.727999999999</v>
      </c>
      <c r="U722" s="7">
        <f t="shared" si="66"/>
        <v>2780.268</v>
      </c>
      <c r="V722">
        <v>2780.27</v>
      </c>
      <c r="W722" s="12">
        <f t="shared" si="67"/>
        <v>0.1825313582280356</v>
      </c>
      <c r="X722" t="s">
        <v>32</v>
      </c>
      <c r="Y722" t="str">
        <f t="shared" si="68"/>
        <v>Paid</v>
      </c>
      <c r="Z722" t="s">
        <v>33</v>
      </c>
      <c r="AA722">
        <f>C722-B722</f>
        <v>731</v>
      </c>
      <c r="AB722" t="str">
        <f>IF(B722="","Missing Order Date",
IF(C722="","Missing Ship Date","OK"))</f>
        <v>OK</v>
      </c>
      <c r="AC722" s="7" t="str">
        <f>IF(C722&lt;B722, "Invalid", "Valid")</f>
        <v>Valid</v>
      </c>
      <c r="AD722" s="7" t="str">
        <f>IF(COUNTIF($A:$A, A722)&gt;1, "Duplicate", "Unique")</f>
        <v>Unique</v>
      </c>
      <c r="AE722" s="7" t="str">
        <f>IF(G722="","Unknown",G722)</f>
        <v>West</v>
      </c>
      <c r="AF722" s="7" t="str">
        <f>IF(M722="","Unknown",M722)</f>
        <v>Same Day</v>
      </c>
      <c r="AG722" s="7" t="str">
        <f>IF(P722&lt;0,"Invalid",
IF(P722&gt;1,"Invalid","Valid"))</f>
        <v>Valid</v>
      </c>
      <c r="AH722" s="7" t="str">
        <f>TEXT(B722,"mmmm")</f>
        <v>July</v>
      </c>
      <c r="AI722" s="7">
        <f t="shared" si="69"/>
        <v>2024</v>
      </c>
      <c r="AJ722" s="7" t="str">
        <f>IF(OR(R722&lt;0,C722&lt;B722),"Invalid",
IF(OR(G722="Unknown",M722="Unknown"),"Warning","Clean"))</f>
        <v>Clean</v>
      </c>
      <c r="AK722" s="7" t="str">
        <f>IF(C722&lt;B722,"Ship Before Order","OK")</f>
        <v>OK</v>
      </c>
      <c r="AL722" s="7" t="str">
        <f>IF(ISNUMBER(B722),"Valid","Invalid")</f>
        <v>Valid</v>
      </c>
      <c r="AM722" s="7" t="str">
        <f t="shared" si="70"/>
        <v>Missmatched</v>
      </c>
      <c r="AN722" s="7" t="str">
        <f t="shared" si="71"/>
        <v>Missmatched</v>
      </c>
    </row>
    <row r="723" spans="1:40">
      <c r="A723" t="s">
        <v>2242</v>
      </c>
      <c r="B723" s="6">
        <v>45827</v>
      </c>
      <c r="C723" s="4">
        <v>46221</v>
      </c>
      <c r="D723" t="s">
        <v>2243</v>
      </c>
      <c r="E723" t="s">
        <v>132</v>
      </c>
      <c r="F723" t="s">
        <v>24</v>
      </c>
      <c r="G723" t="s">
        <v>54</v>
      </c>
      <c r="H723" t="s">
        <v>175</v>
      </c>
      <c r="I723" t="s">
        <v>176</v>
      </c>
      <c r="J723" t="s">
        <v>74</v>
      </c>
      <c r="K723" t="s">
        <v>80</v>
      </c>
      <c r="L723" t="s">
        <v>2244</v>
      </c>
      <c r="M723" t="s">
        <v>50</v>
      </c>
      <c r="N723">
        <v>5</v>
      </c>
      <c r="O723">
        <v>2729.95</v>
      </c>
      <c r="P723">
        <v>0</v>
      </c>
      <c r="Q723" s="7">
        <f>IF(P723="", 0, P723)</f>
        <v>0</v>
      </c>
      <c r="R723">
        <v>13649.75</v>
      </c>
      <c r="S723">
        <v>10288.030000000001</v>
      </c>
      <c r="T723" s="7">
        <f>N723*O723*(1-Q723)</f>
        <v>13649.75</v>
      </c>
      <c r="U723" s="7">
        <f t="shared" si="66"/>
        <v>3361.7199999999993</v>
      </c>
      <c r="V723">
        <v>3361.72</v>
      </c>
      <c r="W723" s="12">
        <f t="shared" si="67"/>
        <v>0.24628436418249414</v>
      </c>
      <c r="X723" t="s">
        <v>32</v>
      </c>
      <c r="Y723" t="str">
        <f t="shared" si="68"/>
        <v>Paid</v>
      </c>
      <c r="Z723" t="s">
        <v>33</v>
      </c>
      <c r="AA723">
        <f>C723-B723</f>
        <v>394</v>
      </c>
      <c r="AB723" t="str">
        <f>IF(B723="","Missing Order Date",
IF(C723="","Missing Ship Date","OK"))</f>
        <v>OK</v>
      </c>
      <c r="AC723" s="7" t="str">
        <f>IF(C723&lt;B723, "Invalid", "Valid")</f>
        <v>Valid</v>
      </c>
      <c r="AD723" s="7" t="str">
        <f>IF(COUNTIF($A:$A, A723)&gt;1, "Duplicate", "Unique")</f>
        <v>Unique</v>
      </c>
      <c r="AE723" s="7" t="str">
        <f>IF(G723="","Unknown",G723)</f>
        <v>South</v>
      </c>
      <c r="AF723" s="7" t="str">
        <f>IF(M723="","Unknown",M723)</f>
        <v>First Class</v>
      </c>
      <c r="AG723" s="7" t="str">
        <f>IF(P723&lt;0,"Invalid",
IF(P723&gt;1,"Invalid","Valid"))</f>
        <v>Valid</v>
      </c>
      <c r="AH723" s="7" t="str">
        <f>TEXT(B723,"mmmm")</f>
        <v>June</v>
      </c>
      <c r="AI723" s="7">
        <f t="shared" si="69"/>
        <v>2025</v>
      </c>
      <c r="AJ723" s="7" t="str">
        <f>IF(OR(R723&lt;0,C723&lt;B723),"Invalid",
IF(OR(G723="Unknown",M723="Unknown"),"Warning","Clean"))</f>
        <v>Clean</v>
      </c>
      <c r="AK723" s="7" t="str">
        <f>IF(C723&lt;B723,"Ship Before Order","OK")</f>
        <v>OK</v>
      </c>
      <c r="AL723" s="7" t="str">
        <f>IF(ISNUMBER(B723),"Valid","Invalid")</f>
        <v>Valid</v>
      </c>
      <c r="AM723" s="7" t="str">
        <f t="shared" si="70"/>
        <v>Ok</v>
      </c>
      <c r="AN723" s="7" t="str">
        <f t="shared" si="71"/>
        <v>Ok</v>
      </c>
    </row>
    <row r="724" spans="1:40">
      <c r="A724" t="s">
        <v>2245</v>
      </c>
      <c r="B724" s="6">
        <v>45483</v>
      </c>
      <c r="C724" s="4">
        <v>46222</v>
      </c>
      <c r="D724" t="s">
        <v>2246</v>
      </c>
      <c r="E724" t="s">
        <v>71</v>
      </c>
      <c r="F724" t="s">
        <v>24</v>
      </c>
      <c r="G724" t="s">
        <v>38</v>
      </c>
      <c r="H724" t="s">
        <v>99</v>
      </c>
      <c r="I724" t="s">
        <v>100</v>
      </c>
      <c r="J724" t="s">
        <v>41</v>
      </c>
      <c r="K724" t="s">
        <v>66</v>
      </c>
      <c r="L724" t="s">
        <v>2247</v>
      </c>
      <c r="M724" t="s">
        <v>31</v>
      </c>
      <c r="N724">
        <v>9</v>
      </c>
      <c r="O724">
        <v>481.51</v>
      </c>
      <c r="Q724" s="7">
        <f>IF(P724="", 0, P724)</f>
        <v>0</v>
      </c>
      <c r="R724">
        <v>4333.59</v>
      </c>
      <c r="S724">
        <v>2533.59</v>
      </c>
      <c r="T724" s="7">
        <f>N724*O724*(1-Q724)</f>
        <v>4333.59</v>
      </c>
      <c r="U724" s="7">
        <f t="shared" si="66"/>
        <v>1800</v>
      </c>
      <c r="V724">
        <v>1800</v>
      </c>
      <c r="W724" s="12">
        <f t="shared" si="67"/>
        <v>0.41536001329152039</v>
      </c>
      <c r="X724" t="s">
        <v>102</v>
      </c>
      <c r="Y724" t="str">
        <f t="shared" si="68"/>
        <v>Refunded</v>
      </c>
      <c r="Z724" t="s">
        <v>68</v>
      </c>
      <c r="AA724">
        <f>C724-B724</f>
        <v>739</v>
      </c>
      <c r="AB724" t="str">
        <f>IF(B724="","Missing Order Date",
IF(C724="","Missing Ship Date","OK"))</f>
        <v>OK</v>
      </c>
      <c r="AC724" s="7" t="str">
        <f>IF(C724&lt;B724, "Invalid", "Valid")</f>
        <v>Valid</v>
      </c>
      <c r="AD724" s="7" t="str">
        <f>IF(COUNTIF($A:$A, A724)&gt;1, "Duplicate", "Unique")</f>
        <v>Unique</v>
      </c>
      <c r="AE724" s="7" t="str">
        <f>IF(G724="","Unknown",G724)</f>
        <v>East</v>
      </c>
      <c r="AF724" s="7" t="str">
        <f>IF(M724="","Unknown",M724)</f>
        <v>Second Class</v>
      </c>
      <c r="AG724" s="7" t="str">
        <f>IF(P724&lt;0,"Invalid",
IF(P724&gt;1,"Invalid","Valid"))</f>
        <v>Valid</v>
      </c>
      <c r="AH724" s="7" t="str">
        <f>TEXT(B724,"mmmm")</f>
        <v>July</v>
      </c>
      <c r="AI724" s="7">
        <f t="shared" si="69"/>
        <v>2024</v>
      </c>
      <c r="AJ724" s="7" t="str">
        <f>IF(OR(R724&lt;0,C724&lt;B724),"Invalid",
IF(OR(G724="Unknown",M724="Unknown"),"Warning","Clean"))</f>
        <v>Clean</v>
      </c>
      <c r="AK724" s="7" t="str">
        <f>IF(C724&lt;B724,"Ship Before Order","OK")</f>
        <v>OK</v>
      </c>
      <c r="AL724" s="7" t="str">
        <f>IF(ISNUMBER(B724),"Valid","Invalid")</f>
        <v>Valid</v>
      </c>
      <c r="AM724" s="7" t="str">
        <f t="shared" si="70"/>
        <v>Ok</v>
      </c>
      <c r="AN724" s="7" t="str">
        <f t="shared" si="71"/>
        <v>Ok</v>
      </c>
    </row>
    <row r="725" spans="1:40">
      <c r="A725" t="s">
        <v>2248</v>
      </c>
      <c r="B725" s="6">
        <v>45818</v>
      </c>
      <c r="C725" s="4">
        <v>46223</v>
      </c>
      <c r="D725" t="s">
        <v>2249</v>
      </c>
      <c r="E725" t="s">
        <v>264</v>
      </c>
      <c r="F725" t="s">
        <v>95</v>
      </c>
      <c r="G725" t="s">
        <v>38</v>
      </c>
      <c r="H725" t="s">
        <v>228</v>
      </c>
      <c r="I725" t="s">
        <v>229</v>
      </c>
      <c r="J725" t="s">
        <v>74</v>
      </c>
      <c r="K725" t="s">
        <v>75</v>
      </c>
      <c r="L725" t="s">
        <v>2250</v>
      </c>
      <c r="M725" t="s">
        <v>59</v>
      </c>
      <c r="N725">
        <v>6</v>
      </c>
      <c r="O725">
        <v>2391.9299999999998</v>
      </c>
      <c r="P725">
        <v>0.05</v>
      </c>
      <c r="Q725" s="7">
        <f>IF(P725="", 0, P725)</f>
        <v>0.05</v>
      </c>
      <c r="R725">
        <v>13634</v>
      </c>
      <c r="S725">
        <v>9589.81</v>
      </c>
      <c r="T725" s="7">
        <f>N725*O725*(1-Q725)</f>
        <v>13634.000999999998</v>
      </c>
      <c r="U725" s="7">
        <f t="shared" si="66"/>
        <v>4044.1909999999989</v>
      </c>
      <c r="V725">
        <v>4044.19</v>
      </c>
      <c r="W725" s="12">
        <f t="shared" si="67"/>
        <v>0.29662539998346776</v>
      </c>
      <c r="X725" t="s">
        <v>155</v>
      </c>
      <c r="Y725" t="str">
        <f t="shared" si="68"/>
        <v>Failed</v>
      </c>
      <c r="Z725" t="s">
        <v>103</v>
      </c>
      <c r="AA725">
        <f>C725-B725</f>
        <v>405</v>
      </c>
      <c r="AB725" t="str">
        <f>IF(B725="","Missing Order Date",
IF(C725="","Missing Ship Date","OK"))</f>
        <v>OK</v>
      </c>
      <c r="AC725" s="7" t="str">
        <f>IF(C725&lt;B725, "Invalid", "Valid")</f>
        <v>Valid</v>
      </c>
      <c r="AD725" s="7" t="str">
        <f>IF(COUNTIF($A:$A, A725)&gt;1, "Duplicate", "Unique")</f>
        <v>Unique</v>
      </c>
      <c r="AE725" s="7" t="str">
        <f>IF(G725="","Unknown",G725)</f>
        <v>East</v>
      </c>
      <c r="AF725" s="7" t="str">
        <f>IF(M725="","Unknown",M725)</f>
        <v>Standard Class</v>
      </c>
      <c r="AG725" s="7" t="str">
        <f>IF(P725&lt;0,"Invalid",
IF(P725&gt;1,"Invalid","Valid"))</f>
        <v>Valid</v>
      </c>
      <c r="AH725" s="7" t="str">
        <f>TEXT(B725,"mmmm")</f>
        <v>June</v>
      </c>
      <c r="AI725" s="7">
        <f t="shared" si="69"/>
        <v>2025</v>
      </c>
      <c r="AJ725" s="7" t="str">
        <f>IF(OR(R725&lt;0,C725&lt;B725),"Invalid",
IF(OR(G725="Unknown",M725="Unknown"),"Warning","Clean"))</f>
        <v>Clean</v>
      </c>
      <c r="AK725" s="7" t="str">
        <f>IF(C725&lt;B725,"Ship Before Order","OK")</f>
        <v>OK</v>
      </c>
      <c r="AL725" s="7" t="str">
        <f>IF(ISNUMBER(B725),"Valid","Invalid")</f>
        <v>Valid</v>
      </c>
      <c r="AM725" s="7" t="str">
        <f t="shared" si="70"/>
        <v>Missmatched</v>
      </c>
      <c r="AN725" s="7" t="str">
        <f t="shared" si="71"/>
        <v>Missmatched</v>
      </c>
    </row>
    <row r="726" spans="1:40">
      <c r="A726" t="s">
        <v>2251</v>
      </c>
      <c r="B726" s="6">
        <v>45567</v>
      </c>
      <c r="C726" s="4">
        <v>46224</v>
      </c>
      <c r="D726" t="s">
        <v>2252</v>
      </c>
      <c r="E726" t="s">
        <v>23</v>
      </c>
      <c r="F726" t="s">
        <v>24</v>
      </c>
      <c r="G726" t="s">
        <v>63</v>
      </c>
      <c r="H726" t="s">
        <v>190</v>
      </c>
      <c r="I726" t="s">
        <v>191</v>
      </c>
      <c r="J726" t="s">
        <v>41</v>
      </c>
      <c r="K726" t="s">
        <v>57</v>
      </c>
      <c r="L726" t="s">
        <v>2253</v>
      </c>
      <c r="M726" t="s">
        <v>31</v>
      </c>
      <c r="N726">
        <v>3</v>
      </c>
      <c r="O726">
        <v>253.43</v>
      </c>
      <c r="P726">
        <v>0</v>
      </c>
      <c r="Q726" s="7">
        <f>IF(P726="", 0, P726)</f>
        <v>0</v>
      </c>
      <c r="R726">
        <v>760.29</v>
      </c>
      <c r="S726">
        <v>497.77</v>
      </c>
      <c r="T726" s="7">
        <f>N726*O726*(1-Q726)</f>
        <v>760.29</v>
      </c>
      <c r="U726" s="7">
        <f t="shared" si="66"/>
        <v>262.52</v>
      </c>
      <c r="V726">
        <v>262.52</v>
      </c>
      <c r="W726" s="12">
        <f t="shared" si="67"/>
        <v>0.34528929750489945</v>
      </c>
      <c r="X726" t="s">
        <v>32</v>
      </c>
      <c r="Y726" t="str">
        <f t="shared" si="68"/>
        <v>Paid</v>
      </c>
      <c r="Z726" t="s">
        <v>33</v>
      </c>
      <c r="AA726">
        <f>C726-B726</f>
        <v>657</v>
      </c>
      <c r="AB726" t="str">
        <f>IF(B726="","Missing Order Date",
IF(C726="","Missing Ship Date","OK"))</f>
        <v>OK</v>
      </c>
      <c r="AC726" s="7" t="str">
        <f>IF(C726&lt;B726, "Invalid", "Valid")</f>
        <v>Valid</v>
      </c>
      <c r="AD726" s="7" t="str">
        <f>IF(COUNTIF($A:$A, A726)&gt;1, "Duplicate", "Unique")</f>
        <v>Unique</v>
      </c>
      <c r="AE726" s="7" t="str">
        <f>IF(G726="","Unknown",G726)</f>
        <v>West</v>
      </c>
      <c r="AF726" s="7" t="str">
        <f>IF(M726="","Unknown",M726)</f>
        <v>Second Class</v>
      </c>
      <c r="AG726" s="7" t="str">
        <f>IF(P726&lt;0,"Invalid",
IF(P726&gt;1,"Invalid","Valid"))</f>
        <v>Valid</v>
      </c>
      <c r="AH726" s="7" t="str">
        <f>TEXT(B726,"mmmm")</f>
        <v>October</v>
      </c>
      <c r="AI726" s="7">
        <f t="shared" si="69"/>
        <v>2024</v>
      </c>
      <c r="AJ726" s="7" t="str">
        <f>IF(OR(R726&lt;0,C726&lt;B726),"Invalid",
IF(OR(G726="Unknown",M726="Unknown"),"Warning","Clean"))</f>
        <v>Clean</v>
      </c>
      <c r="AK726" s="7" t="str">
        <f>IF(C726&lt;B726,"Ship Before Order","OK")</f>
        <v>OK</v>
      </c>
      <c r="AL726" s="7" t="str">
        <f>IF(ISNUMBER(B726),"Valid","Invalid")</f>
        <v>Valid</v>
      </c>
      <c r="AM726" s="7" t="str">
        <f t="shared" si="70"/>
        <v>Ok</v>
      </c>
      <c r="AN726" s="7" t="str">
        <f t="shared" si="71"/>
        <v>Ok</v>
      </c>
    </row>
    <row r="727" spans="1:40">
      <c r="A727" t="s">
        <v>2254</v>
      </c>
      <c r="B727" s="6">
        <v>45787</v>
      </c>
      <c r="C727" s="4">
        <v>46225</v>
      </c>
      <c r="D727" t="s">
        <v>2255</v>
      </c>
      <c r="E727" t="s">
        <v>114</v>
      </c>
      <c r="F727" t="s">
        <v>90</v>
      </c>
      <c r="G727" t="s">
        <v>54</v>
      </c>
      <c r="H727" t="s">
        <v>175</v>
      </c>
      <c r="I727" t="s">
        <v>176</v>
      </c>
      <c r="J727" t="s">
        <v>41</v>
      </c>
      <c r="K727" t="s">
        <v>42</v>
      </c>
      <c r="L727" t="s">
        <v>2256</v>
      </c>
      <c r="M727" t="s">
        <v>31</v>
      </c>
      <c r="N727">
        <v>7</v>
      </c>
      <c r="O727">
        <v>2134.73</v>
      </c>
      <c r="P727">
        <v>0</v>
      </c>
      <c r="Q727" s="7">
        <f>IF(P727="", 0, P727)</f>
        <v>0</v>
      </c>
      <c r="R727">
        <v>14943.11</v>
      </c>
      <c r="S727">
        <v>8521.5</v>
      </c>
      <c r="T727" s="7">
        <f>N727*O727*(1-Q727)</f>
        <v>14943.11</v>
      </c>
      <c r="U727" s="7">
        <f t="shared" si="66"/>
        <v>6421.6100000000006</v>
      </c>
      <c r="V727">
        <v>6421.61</v>
      </c>
      <c r="W727" s="12">
        <f t="shared" si="67"/>
        <v>0.42973718322357263</v>
      </c>
      <c r="X727" t="s">
        <v>32</v>
      </c>
      <c r="Y727" t="str">
        <f t="shared" si="68"/>
        <v>Paid</v>
      </c>
      <c r="Z727" t="s">
        <v>33</v>
      </c>
      <c r="AA727">
        <f>C727-B727</f>
        <v>438</v>
      </c>
      <c r="AB727" t="str">
        <f>IF(B727="","Missing Order Date",
IF(C727="","Missing Ship Date","OK"))</f>
        <v>OK</v>
      </c>
      <c r="AC727" s="7" t="str">
        <f>IF(C727&lt;B727, "Invalid", "Valid")</f>
        <v>Valid</v>
      </c>
      <c r="AD727" s="7" t="str">
        <f>IF(COUNTIF($A:$A, A727)&gt;1, "Duplicate", "Unique")</f>
        <v>Unique</v>
      </c>
      <c r="AE727" s="7" t="str">
        <f>IF(G727="","Unknown",G727)</f>
        <v>South</v>
      </c>
      <c r="AF727" s="7" t="str">
        <f>IF(M727="","Unknown",M727)</f>
        <v>Second Class</v>
      </c>
      <c r="AG727" s="7" t="str">
        <f>IF(P727&lt;0,"Invalid",
IF(P727&gt;1,"Invalid","Valid"))</f>
        <v>Valid</v>
      </c>
      <c r="AH727" s="7" t="str">
        <f>TEXT(B727,"mmmm")</f>
        <v>May</v>
      </c>
      <c r="AI727" s="7">
        <f t="shared" si="69"/>
        <v>2025</v>
      </c>
      <c r="AJ727" s="7" t="str">
        <f>IF(OR(R727&lt;0,C727&lt;B727),"Invalid",
IF(OR(G727="Unknown",M727="Unknown"),"Warning","Clean"))</f>
        <v>Clean</v>
      </c>
      <c r="AK727" s="7" t="str">
        <f>IF(C727&lt;B727,"Ship Before Order","OK")</f>
        <v>OK</v>
      </c>
      <c r="AL727" s="7" t="str">
        <f>IF(ISNUMBER(B727),"Valid","Invalid")</f>
        <v>Valid</v>
      </c>
      <c r="AM727" s="7" t="str">
        <f t="shared" si="70"/>
        <v>Ok</v>
      </c>
      <c r="AN727" s="7" t="str">
        <f t="shared" si="71"/>
        <v>Ok</v>
      </c>
    </row>
    <row r="728" spans="1:40">
      <c r="A728" t="s">
        <v>2257</v>
      </c>
      <c r="B728" s="6">
        <v>45308</v>
      </c>
      <c r="C728" s="4">
        <v>46226</v>
      </c>
      <c r="D728" t="s">
        <v>2258</v>
      </c>
      <c r="E728" t="s">
        <v>264</v>
      </c>
      <c r="F728" t="s">
        <v>95</v>
      </c>
      <c r="G728" t="s">
        <v>63</v>
      </c>
      <c r="H728" t="s">
        <v>180</v>
      </c>
      <c r="I728" t="s">
        <v>181</v>
      </c>
      <c r="J728" t="s">
        <v>74</v>
      </c>
      <c r="K728" t="s">
        <v>171</v>
      </c>
      <c r="L728" t="s">
        <v>2259</v>
      </c>
      <c r="M728" t="s">
        <v>59</v>
      </c>
      <c r="N728">
        <v>5</v>
      </c>
      <c r="O728">
        <v>2018</v>
      </c>
      <c r="P728">
        <v>0.2</v>
      </c>
      <c r="Q728" s="7">
        <f>IF(P728="", 0, P728)</f>
        <v>0.2</v>
      </c>
      <c r="R728">
        <v>8072</v>
      </c>
      <c r="S728">
        <v>5379.22</v>
      </c>
      <c r="T728" s="7">
        <f>N728*O728*(1-Q728)</f>
        <v>8072</v>
      </c>
      <c r="U728" s="7">
        <f t="shared" si="66"/>
        <v>2692.7799999999997</v>
      </c>
      <c r="V728">
        <v>2692.78</v>
      </c>
      <c r="W728" s="12">
        <f t="shared" si="67"/>
        <v>0.33359514370664023</v>
      </c>
      <c r="X728" t="s">
        <v>111</v>
      </c>
      <c r="Y728" t="str">
        <f t="shared" si="68"/>
        <v>Pending</v>
      </c>
      <c r="Z728" t="s">
        <v>103</v>
      </c>
      <c r="AA728">
        <f>C728-B728</f>
        <v>918</v>
      </c>
      <c r="AB728" t="str">
        <f>IF(B728="","Missing Order Date",
IF(C728="","Missing Ship Date","OK"))</f>
        <v>OK</v>
      </c>
      <c r="AC728" s="7" t="str">
        <f>IF(C728&lt;B728, "Invalid", "Valid")</f>
        <v>Valid</v>
      </c>
      <c r="AD728" s="7" t="str">
        <f>IF(COUNTIF($A:$A, A728)&gt;1, "Duplicate", "Unique")</f>
        <v>Unique</v>
      </c>
      <c r="AE728" s="7" t="str">
        <f>IF(G728="","Unknown",G728)</f>
        <v>West</v>
      </c>
      <c r="AF728" s="7" t="str">
        <f>IF(M728="","Unknown",M728)</f>
        <v>Standard Class</v>
      </c>
      <c r="AG728" s="7" t="str">
        <f>IF(P728&lt;0,"Invalid",
IF(P728&gt;1,"Invalid","Valid"))</f>
        <v>Valid</v>
      </c>
      <c r="AH728" s="7" t="str">
        <f>TEXT(B728,"mmmm")</f>
        <v>January</v>
      </c>
      <c r="AI728" s="7">
        <f t="shared" si="69"/>
        <v>2024</v>
      </c>
      <c r="AJ728" s="7" t="str">
        <f>IF(OR(R728&lt;0,C728&lt;B728),"Invalid",
IF(OR(G728="Unknown",M728="Unknown"),"Warning","Clean"))</f>
        <v>Clean</v>
      </c>
      <c r="AK728" s="7" t="str">
        <f>IF(C728&lt;B728,"Ship Before Order","OK")</f>
        <v>OK</v>
      </c>
      <c r="AL728" s="7" t="str">
        <f>IF(ISNUMBER(B728),"Valid","Invalid")</f>
        <v>Valid</v>
      </c>
      <c r="AM728" s="7" t="str">
        <f t="shared" si="70"/>
        <v>Ok</v>
      </c>
      <c r="AN728" s="7" t="str">
        <f t="shared" si="71"/>
        <v>Ok</v>
      </c>
    </row>
    <row r="729" spans="1:40">
      <c r="A729" t="s">
        <v>2260</v>
      </c>
      <c r="B729" s="6">
        <v>45578</v>
      </c>
      <c r="C729" s="4">
        <v>46227</v>
      </c>
      <c r="D729" t="s">
        <v>2261</v>
      </c>
      <c r="E729" t="s">
        <v>128</v>
      </c>
      <c r="F729" t="s">
        <v>37</v>
      </c>
      <c r="G729" t="s">
        <v>38</v>
      </c>
      <c r="H729" t="s">
        <v>166</v>
      </c>
      <c r="I729" t="s">
        <v>167</v>
      </c>
      <c r="J729" t="s">
        <v>74</v>
      </c>
      <c r="K729" t="s">
        <v>75</v>
      </c>
      <c r="L729" t="s">
        <v>2262</v>
      </c>
      <c r="M729" t="s">
        <v>31</v>
      </c>
      <c r="N729">
        <v>8</v>
      </c>
      <c r="O729">
        <v>3730.66</v>
      </c>
      <c r="P729">
        <v>0.05</v>
      </c>
      <c r="Q729" s="7">
        <f>IF(P729="", 0, P729)</f>
        <v>0.05</v>
      </c>
      <c r="R729">
        <v>28353.02</v>
      </c>
      <c r="S729">
        <v>19257.849999999999</v>
      </c>
      <c r="T729" s="7">
        <f>N729*O729*(1-Q729)</f>
        <v>28353.015999999996</v>
      </c>
      <c r="U729" s="7">
        <f t="shared" si="66"/>
        <v>9095.1659999999974</v>
      </c>
      <c r="V729">
        <v>9095.17</v>
      </c>
      <c r="W729" s="12">
        <f t="shared" si="67"/>
        <v>0.3207830165228277</v>
      </c>
      <c r="X729" t="s">
        <v>32</v>
      </c>
      <c r="Y729" t="str">
        <f t="shared" si="68"/>
        <v>Paid</v>
      </c>
      <c r="Z729" t="s">
        <v>33</v>
      </c>
      <c r="AA729">
        <f>C729-B729</f>
        <v>649</v>
      </c>
      <c r="AB729" t="str">
        <f>IF(B729="","Missing Order Date",
IF(C729="","Missing Ship Date","OK"))</f>
        <v>OK</v>
      </c>
      <c r="AC729" s="7" t="str">
        <f>IF(C729&lt;B729, "Invalid", "Valid")</f>
        <v>Valid</v>
      </c>
      <c r="AD729" s="7" t="str">
        <f>IF(COUNTIF($A:$A, A729)&gt;1, "Duplicate", "Unique")</f>
        <v>Unique</v>
      </c>
      <c r="AE729" s="7" t="str">
        <f>IF(G729="","Unknown",G729)</f>
        <v>East</v>
      </c>
      <c r="AF729" s="7" t="str">
        <f>IF(M729="","Unknown",M729)</f>
        <v>Second Class</v>
      </c>
      <c r="AG729" s="7" t="str">
        <f>IF(P729&lt;0,"Invalid",
IF(P729&gt;1,"Invalid","Valid"))</f>
        <v>Valid</v>
      </c>
      <c r="AH729" s="7" t="str">
        <f>TEXT(B729,"mmmm")</f>
        <v>October</v>
      </c>
      <c r="AI729" s="7">
        <f t="shared" si="69"/>
        <v>2024</v>
      </c>
      <c r="AJ729" s="7" t="str">
        <f>IF(OR(R729&lt;0,C729&lt;B729),"Invalid",
IF(OR(G729="Unknown",M729="Unknown"),"Warning","Clean"))</f>
        <v>Clean</v>
      </c>
      <c r="AK729" s="7" t="str">
        <f>IF(C729&lt;B729,"Ship Before Order","OK")</f>
        <v>OK</v>
      </c>
      <c r="AL729" s="7" t="str">
        <f>IF(ISNUMBER(B729),"Valid","Invalid")</f>
        <v>Valid</v>
      </c>
      <c r="AM729" s="7" t="str">
        <f t="shared" si="70"/>
        <v>Missmatched</v>
      </c>
      <c r="AN729" s="7" t="str">
        <f t="shared" si="71"/>
        <v>Missmatched</v>
      </c>
    </row>
    <row r="730" spans="1:40">
      <c r="A730" t="s">
        <v>2263</v>
      </c>
      <c r="B730" s="6">
        <v>45383</v>
      </c>
      <c r="C730" s="4">
        <v>46228</v>
      </c>
      <c r="D730" t="s">
        <v>2264</v>
      </c>
      <c r="E730" t="s">
        <v>132</v>
      </c>
      <c r="F730" t="s">
        <v>37</v>
      </c>
      <c r="G730" t="s">
        <v>54</v>
      </c>
      <c r="H730" t="s">
        <v>175</v>
      </c>
      <c r="I730" t="s">
        <v>176</v>
      </c>
      <c r="J730" t="s">
        <v>74</v>
      </c>
      <c r="K730" t="s">
        <v>274</v>
      </c>
      <c r="L730" t="s">
        <v>2265</v>
      </c>
      <c r="M730" t="s">
        <v>50</v>
      </c>
      <c r="N730">
        <v>1</v>
      </c>
      <c r="O730">
        <v>2363.02</v>
      </c>
      <c r="P730">
        <v>0.15</v>
      </c>
      <c r="Q730" s="7">
        <f>IF(P730="", 0, P730)</f>
        <v>0.15</v>
      </c>
      <c r="R730">
        <v>2008.57</v>
      </c>
      <c r="S730">
        <v>1194.83</v>
      </c>
      <c r="T730" s="7">
        <f>N730*O730*(1-Q730)</f>
        <v>2008.567</v>
      </c>
      <c r="U730" s="7">
        <f t="shared" si="66"/>
        <v>813.73700000000008</v>
      </c>
      <c r="V730">
        <v>813.74</v>
      </c>
      <c r="W730" s="12">
        <f t="shared" si="67"/>
        <v>0.40513311231340554</v>
      </c>
      <c r="X730" t="s">
        <v>32</v>
      </c>
      <c r="Y730" t="str">
        <f t="shared" si="68"/>
        <v>Paid</v>
      </c>
      <c r="Z730" t="s">
        <v>33</v>
      </c>
      <c r="AA730">
        <f>C730-B730</f>
        <v>845</v>
      </c>
      <c r="AB730" t="str">
        <f>IF(B730="","Missing Order Date",
IF(C730="","Missing Ship Date","OK"))</f>
        <v>OK</v>
      </c>
      <c r="AC730" s="7" t="str">
        <f>IF(C730&lt;B730, "Invalid", "Valid")</f>
        <v>Valid</v>
      </c>
      <c r="AD730" s="7" t="str">
        <f>IF(COUNTIF($A:$A, A730)&gt;1, "Duplicate", "Unique")</f>
        <v>Unique</v>
      </c>
      <c r="AE730" s="7" t="str">
        <f>IF(G730="","Unknown",G730)</f>
        <v>South</v>
      </c>
      <c r="AF730" s="7" t="str">
        <f>IF(M730="","Unknown",M730)</f>
        <v>First Class</v>
      </c>
      <c r="AG730" s="7" t="str">
        <f>IF(P730&lt;0,"Invalid",
IF(P730&gt;1,"Invalid","Valid"))</f>
        <v>Valid</v>
      </c>
      <c r="AH730" s="7" t="str">
        <f>TEXT(B730,"mmmm")</f>
        <v>April</v>
      </c>
      <c r="AI730" s="7">
        <f t="shared" si="69"/>
        <v>2024</v>
      </c>
      <c r="AJ730" s="7" t="str">
        <f>IF(OR(R730&lt;0,C730&lt;B730),"Invalid",
IF(OR(G730="Unknown",M730="Unknown"),"Warning","Clean"))</f>
        <v>Clean</v>
      </c>
      <c r="AK730" s="7" t="str">
        <f>IF(C730&lt;B730,"Ship Before Order","OK")</f>
        <v>OK</v>
      </c>
      <c r="AL730" s="7" t="str">
        <f>IF(ISNUMBER(B730),"Valid","Invalid")</f>
        <v>Valid</v>
      </c>
      <c r="AM730" s="7" t="str">
        <f t="shared" si="70"/>
        <v>Missmatched</v>
      </c>
      <c r="AN730" s="7" t="str">
        <f t="shared" si="71"/>
        <v>Missmatched</v>
      </c>
    </row>
    <row r="731" spans="1:40">
      <c r="A731" t="s">
        <v>2266</v>
      </c>
      <c r="B731" s="6">
        <v>45794</v>
      </c>
      <c r="C731" s="4">
        <v>46229</v>
      </c>
      <c r="D731" t="s">
        <v>2267</v>
      </c>
      <c r="E731" t="s">
        <v>62</v>
      </c>
      <c r="F731" t="s">
        <v>90</v>
      </c>
      <c r="G731" t="s">
        <v>54</v>
      </c>
      <c r="H731" t="s">
        <v>247</v>
      </c>
      <c r="I731" t="s">
        <v>248</v>
      </c>
      <c r="J731" t="s">
        <v>74</v>
      </c>
      <c r="K731" t="s">
        <v>274</v>
      </c>
      <c r="L731" t="s">
        <v>2268</v>
      </c>
      <c r="M731" t="s">
        <v>44</v>
      </c>
      <c r="N731">
        <v>6</v>
      </c>
      <c r="O731">
        <v>1810.63</v>
      </c>
      <c r="P731">
        <v>0.15</v>
      </c>
      <c r="Q731" s="7">
        <f>IF(P731="", 0, P731)</f>
        <v>0.15</v>
      </c>
      <c r="R731">
        <v>9234.2099999999991</v>
      </c>
      <c r="S731">
        <v>5516.52</v>
      </c>
      <c r="T731" s="7">
        <f>N731*O731*(1-Q731)</f>
        <v>9234.2129999999997</v>
      </c>
      <c r="U731" s="7">
        <f t="shared" si="66"/>
        <v>3717.6929999999993</v>
      </c>
      <c r="V731">
        <v>3717.69</v>
      </c>
      <c r="W731" s="12">
        <f t="shared" si="67"/>
        <v>0.40259987505161504</v>
      </c>
      <c r="X731" t="s">
        <v>32</v>
      </c>
      <c r="Y731" t="str">
        <f t="shared" si="68"/>
        <v>Paid</v>
      </c>
      <c r="Z731" t="s">
        <v>33</v>
      </c>
      <c r="AA731">
        <f>C731-B731</f>
        <v>435</v>
      </c>
      <c r="AB731" t="str">
        <f>IF(B731="","Missing Order Date",
IF(C731="","Missing Ship Date","OK"))</f>
        <v>OK</v>
      </c>
      <c r="AC731" s="7" t="str">
        <f>IF(C731&lt;B731, "Invalid", "Valid")</f>
        <v>Valid</v>
      </c>
      <c r="AD731" s="7" t="str">
        <f>IF(COUNTIF($A:$A, A731)&gt;1, "Duplicate", "Unique")</f>
        <v>Duplicate</v>
      </c>
      <c r="AE731" s="7" t="str">
        <f>IF(G731="","Unknown",G731)</f>
        <v>South</v>
      </c>
      <c r="AF731" s="7" t="str">
        <f>IF(M731="","Unknown",M731)</f>
        <v>Same Day</v>
      </c>
      <c r="AG731" s="7" t="str">
        <f>IF(P731&lt;0,"Invalid",
IF(P731&gt;1,"Invalid","Valid"))</f>
        <v>Valid</v>
      </c>
      <c r="AH731" s="7" t="str">
        <f>TEXT(B731,"mmmm")</f>
        <v>May</v>
      </c>
      <c r="AI731" s="7">
        <f t="shared" si="69"/>
        <v>2025</v>
      </c>
      <c r="AJ731" s="7" t="str">
        <f>IF(OR(R731&lt;0,C731&lt;B731),"Invalid",
IF(OR(G731="Unknown",M731="Unknown"),"Warning","Clean"))</f>
        <v>Clean</v>
      </c>
      <c r="AK731" s="7" t="str">
        <f>IF(C731&lt;B731,"Ship Before Order","OK")</f>
        <v>OK</v>
      </c>
      <c r="AL731" s="7" t="str">
        <f>IF(ISNUMBER(B731),"Valid","Invalid")</f>
        <v>Valid</v>
      </c>
      <c r="AM731" s="7" t="str">
        <f t="shared" si="70"/>
        <v>Missmatched</v>
      </c>
      <c r="AN731" s="7" t="str">
        <f t="shared" si="71"/>
        <v>Missmatched</v>
      </c>
    </row>
    <row r="732" spans="1:40">
      <c r="A732" t="s">
        <v>2269</v>
      </c>
      <c r="B732" s="6">
        <v>45827</v>
      </c>
      <c r="C732" s="4">
        <v>46230</v>
      </c>
      <c r="D732" t="s">
        <v>2270</v>
      </c>
      <c r="E732" t="s">
        <v>53</v>
      </c>
      <c r="F732" t="s">
        <v>24</v>
      </c>
      <c r="G732" t="s">
        <v>38</v>
      </c>
      <c r="H732" t="s">
        <v>99</v>
      </c>
      <c r="I732" t="s">
        <v>100</v>
      </c>
      <c r="J732" t="s">
        <v>28</v>
      </c>
      <c r="K732" t="s">
        <v>48</v>
      </c>
      <c r="L732" t="s">
        <v>2271</v>
      </c>
      <c r="M732" t="s">
        <v>31</v>
      </c>
      <c r="N732">
        <v>4</v>
      </c>
      <c r="O732">
        <v>782.01</v>
      </c>
      <c r="P732">
        <v>0.15</v>
      </c>
      <c r="Q732" s="7">
        <f>IF(P732="", 0, P732)</f>
        <v>0.15</v>
      </c>
      <c r="R732">
        <v>2658.83</v>
      </c>
      <c r="S732">
        <v>2226.9699999999998</v>
      </c>
      <c r="T732" s="7">
        <f>N732*O732*(1-Q732)</f>
        <v>2658.8339999999998</v>
      </c>
      <c r="U732" s="7">
        <f t="shared" si="66"/>
        <v>431.86400000000003</v>
      </c>
      <c r="V732">
        <v>431.86</v>
      </c>
      <c r="W732" s="12">
        <f t="shared" si="67"/>
        <v>0.16242608602116568</v>
      </c>
      <c r="X732" t="s">
        <v>102</v>
      </c>
      <c r="Y732" t="str">
        <f t="shared" si="68"/>
        <v>Refunded</v>
      </c>
      <c r="Z732" t="s">
        <v>103</v>
      </c>
      <c r="AA732">
        <f>C732-B732</f>
        <v>403</v>
      </c>
      <c r="AB732" t="str">
        <f>IF(B732="","Missing Order Date",
IF(C732="","Missing Ship Date","OK"))</f>
        <v>OK</v>
      </c>
      <c r="AC732" s="7" t="str">
        <f>IF(C732&lt;B732, "Invalid", "Valid")</f>
        <v>Valid</v>
      </c>
      <c r="AD732" s="7" t="str">
        <f>IF(COUNTIF($A:$A, A732)&gt;1, "Duplicate", "Unique")</f>
        <v>Unique</v>
      </c>
      <c r="AE732" s="7" t="str">
        <f>IF(G732="","Unknown",G732)</f>
        <v>East</v>
      </c>
      <c r="AF732" s="7" t="str">
        <f>IF(M732="","Unknown",M732)</f>
        <v>Second Class</v>
      </c>
      <c r="AG732" s="7" t="str">
        <f>IF(P732&lt;0,"Invalid",
IF(P732&gt;1,"Invalid","Valid"))</f>
        <v>Valid</v>
      </c>
      <c r="AH732" s="7" t="str">
        <f>TEXT(B732,"mmmm")</f>
        <v>June</v>
      </c>
      <c r="AI732" s="7">
        <f t="shared" si="69"/>
        <v>2025</v>
      </c>
      <c r="AJ732" s="7" t="str">
        <f>IF(OR(R732&lt;0,C732&lt;B732),"Invalid",
IF(OR(G732="Unknown",M732="Unknown"),"Warning","Clean"))</f>
        <v>Clean</v>
      </c>
      <c r="AK732" s="7" t="str">
        <f>IF(C732&lt;B732,"Ship Before Order","OK")</f>
        <v>OK</v>
      </c>
      <c r="AL732" s="7" t="str">
        <f>IF(ISNUMBER(B732),"Valid","Invalid")</f>
        <v>Valid</v>
      </c>
      <c r="AM732" s="7" t="str">
        <f t="shared" si="70"/>
        <v>Missmatched</v>
      </c>
      <c r="AN732" s="7" t="str">
        <f t="shared" si="71"/>
        <v>Missmatched</v>
      </c>
    </row>
    <row r="733" spans="1:40">
      <c r="A733" t="s">
        <v>2272</v>
      </c>
      <c r="B733" s="6">
        <v>45368</v>
      </c>
      <c r="C733" s="4">
        <v>46231</v>
      </c>
      <c r="D733" t="s">
        <v>2273</v>
      </c>
      <c r="E733" t="s">
        <v>62</v>
      </c>
      <c r="F733" t="s">
        <v>90</v>
      </c>
      <c r="G733" t="s">
        <v>38</v>
      </c>
      <c r="H733" t="s">
        <v>39</v>
      </c>
      <c r="I733" t="s">
        <v>40</v>
      </c>
      <c r="J733" t="s">
        <v>28</v>
      </c>
      <c r="K733" t="s">
        <v>153</v>
      </c>
      <c r="L733" t="s">
        <v>2274</v>
      </c>
      <c r="M733" t="s">
        <v>50</v>
      </c>
      <c r="N733">
        <v>4</v>
      </c>
      <c r="O733">
        <v>4376.68</v>
      </c>
      <c r="P733">
        <v>0.1</v>
      </c>
      <c r="Q733" s="7">
        <f>IF(P733="", 0, P733)</f>
        <v>0.1</v>
      </c>
      <c r="R733">
        <v>15756.05</v>
      </c>
      <c r="S733">
        <v>10245.44</v>
      </c>
      <c r="T733" s="7">
        <f>N733*O733*(1-Q733)</f>
        <v>15756.048000000001</v>
      </c>
      <c r="U733" s="7">
        <f t="shared" si="66"/>
        <v>5510.6080000000002</v>
      </c>
      <c r="V733">
        <v>5510.61</v>
      </c>
      <c r="W733" s="12">
        <f t="shared" si="67"/>
        <v>0.3497455707167178</v>
      </c>
      <c r="X733" t="s">
        <v>32</v>
      </c>
      <c r="Y733" t="str">
        <f t="shared" si="68"/>
        <v>Paid</v>
      </c>
      <c r="Z733" t="s">
        <v>33</v>
      </c>
      <c r="AA733">
        <f>C733-B733</f>
        <v>863</v>
      </c>
      <c r="AB733" t="str">
        <f>IF(B733="","Missing Order Date",
IF(C733="","Missing Ship Date","OK"))</f>
        <v>OK</v>
      </c>
      <c r="AC733" s="7" t="str">
        <f>IF(C733&lt;B733, "Invalid", "Valid")</f>
        <v>Valid</v>
      </c>
      <c r="AD733" s="7" t="str">
        <f>IF(COUNTIF($A:$A, A733)&gt;1, "Duplicate", "Unique")</f>
        <v>Unique</v>
      </c>
      <c r="AE733" s="7" t="str">
        <f>IF(G733="","Unknown",G733)</f>
        <v>East</v>
      </c>
      <c r="AF733" s="7" t="str">
        <f>IF(M733="","Unknown",M733)</f>
        <v>First Class</v>
      </c>
      <c r="AG733" s="7" t="str">
        <f>IF(P733&lt;0,"Invalid",
IF(P733&gt;1,"Invalid","Valid"))</f>
        <v>Valid</v>
      </c>
      <c r="AH733" s="7" t="str">
        <f>TEXT(B733,"mmmm")</f>
        <v>March</v>
      </c>
      <c r="AI733" s="7">
        <f t="shared" si="69"/>
        <v>2024</v>
      </c>
      <c r="AJ733" s="7" t="str">
        <f>IF(OR(R733&lt;0,C733&lt;B733),"Invalid",
IF(OR(G733="Unknown",M733="Unknown"),"Warning","Clean"))</f>
        <v>Clean</v>
      </c>
      <c r="AK733" s="7" t="str">
        <f>IF(C733&lt;B733,"Ship Before Order","OK")</f>
        <v>OK</v>
      </c>
      <c r="AL733" s="7" t="str">
        <f>IF(ISNUMBER(B733),"Valid","Invalid")</f>
        <v>Valid</v>
      </c>
      <c r="AM733" s="7" t="str">
        <f t="shared" si="70"/>
        <v>Missmatched</v>
      </c>
      <c r="AN733" s="7" t="str">
        <f t="shared" si="71"/>
        <v>Missmatched</v>
      </c>
    </row>
    <row r="734" spans="1:40">
      <c r="A734" t="s">
        <v>2275</v>
      </c>
      <c r="B734" s="6">
        <v>45624</v>
      </c>
      <c r="C734" s="4">
        <v>46232</v>
      </c>
      <c r="D734" t="s">
        <v>2276</v>
      </c>
      <c r="E734" t="s">
        <v>53</v>
      </c>
      <c r="F734" t="s">
        <v>37</v>
      </c>
      <c r="G734" t="s">
        <v>25</v>
      </c>
      <c r="H734" t="s">
        <v>122</v>
      </c>
      <c r="I734" t="s">
        <v>123</v>
      </c>
      <c r="J734" t="s">
        <v>74</v>
      </c>
      <c r="K734" t="s">
        <v>171</v>
      </c>
      <c r="L734" t="s">
        <v>2277</v>
      </c>
      <c r="M734" t="s">
        <v>59</v>
      </c>
      <c r="N734">
        <v>6</v>
      </c>
      <c r="O734">
        <v>2464.63</v>
      </c>
      <c r="P734">
        <v>0</v>
      </c>
      <c r="Q734" s="7">
        <f>IF(P734="", 0, P734)</f>
        <v>0</v>
      </c>
      <c r="R734">
        <v>14787.78</v>
      </c>
      <c r="S734">
        <v>8596.65</v>
      </c>
      <c r="T734" s="7">
        <f>N734*O734*(1-Q734)</f>
        <v>14787.78</v>
      </c>
      <c r="U734" s="7">
        <f t="shared" si="66"/>
        <v>6191.130000000001</v>
      </c>
      <c r="V734">
        <v>6191.13</v>
      </c>
      <c r="W734" s="12">
        <f t="shared" si="67"/>
        <v>0.41866527632950995</v>
      </c>
      <c r="X734" t="s">
        <v>32</v>
      </c>
      <c r="Y734" t="str">
        <f t="shared" si="68"/>
        <v>Paid</v>
      </c>
      <c r="Z734" t="s">
        <v>33</v>
      </c>
      <c r="AA734">
        <f>C734-B734</f>
        <v>608</v>
      </c>
      <c r="AB734" t="str">
        <f>IF(B734="","Missing Order Date",
IF(C734="","Missing Ship Date","OK"))</f>
        <v>OK</v>
      </c>
      <c r="AC734" s="7" t="str">
        <f>IF(C734&lt;B734, "Invalid", "Valid")</f>
        <v>Valid</v>
      </c>
      <c r="AD734" s="7" t="str">
        <f>IF(COUNTIF($A:$A, A734)&gt;1, "Duplicate", "Unique")</f>
        <v>Unique</v>
      </c>
      <c r="AE734" s="7" t="str">
        <f>IF(G734="","Unknown",G734)</f>
        <v>North</v>
      </c>
      <c r="AF734" s="7" t="str">
        <f>IF(M734="","Unknown",M734)</f>
        <v>Standard Class</v>
      </c>
      <c r="AG734" s="7" t="str">
        <f>IF(P734&lt;0,"Invalid",
IF(P734&gt;1,"Invalid","Valid"))</f>
        <v>Valid</v>
      </c>
      <c r="AH734" s="7" t="str">
        <f>TEXT(B734,"mmmm")</f>
        <v>November</v>
      </c>
      <c r="AI734" s="7">
        <f t="shared" si="69"/>
        <v>2024</v>
      </c>
      <c r="AJ734" s="7" t="str">
        <f>IF(OR(R734&lt;0,C734&lt;B734),"Invalid",
IF(OR(G734="Unknown",M734="Unknown"),"Warning","Clean"))</f>
        <v>Clean</v>
      </c>
      <c r="AK734" s="7" t="str">
        <f>IF(C734&lt;B734,"Ship Before Order","OK")</f>
        <v>OK</v>
      </c>
      <c r="AL734" s="7" t="str">
        <f>IF(ISNUMBER(B734),"Valid","Invalid")</f>
        <v>Valid</v>
      </c>
      <c r="AM734" s="7" t="str">
        <f t="shared" si="70"/>
        <v>Ok</v>
      </c>
      <c r="AN734" s="7" t="str">
        <f t="shared" si="71"/>
        <v>Ok</v>
      </c>
    </row>
    <row r="735" spans="1:40">
      <c r="A735" t="s">
        <v>2278</v>
      </c>
      <c r="B735" s="6">
        <v>45464</v>
      </c>
      <c r="C735" s="4">
        <v>46233</v>
      </c>
      <c r="D735" t="s">
        <v>2279</v>
      </c>
      <c r="E735" t="s">
        <v>128</v>
      </c>
      <c r="F735" t="s">
        <v>95</v>
      </c>
      <c r="G735" t="s">
        <v>25</v>
      </c>
      <c r="H735" t="s">
        <v>26</v>
      </c>
      <c r="I735" t="s">
        <v>27</v>
      </c>
      <c r="J735" t="s">
        <v>41</v>
      </c>
      <c r="K735" t="s">
        <v>57</v>
      </c>
      <c r="L735" t="s">
        <v>2280</v>
      </c>
      <c r="M735" t="s">
        <v>50</v>
      </c>
      <c r="N735">
        <v>9</v>
      </c>
      <c r="O735">
        <v>2797.96</v>
      </c>
      <c r="P735">
        <v>0</v>
      </c>
      <c r="Q735" s="7">
        <f>IF(P735="", 0, P735)</f>
        <v>0</v>
      </c>
      <c r="R735">
        <v>25181.64</v>
      </c>
      <c r="S735">
        <v>15337.9</v>
      </c>
      <c r="T735" s="7">
        <f>N735*O735*(1-Q735)</f>
        <v>25181.64</v>
      </c>
      <c r="U735" s="7">
        <f t="shared" si="66"/>
        <v>9843.74</v>
      </c>
      <c r="V735">
        <v>9843.74</v>
      </c>
      <c r="W735" s="12">
        <f t="shared" si="67"/>
        <v>0.39090940860086953</v>
      </c>
      <c r="X735" t="s">
        <v>32</v>
      </c>
      <c r="Y735" t="str">
        <f t="shared" si="68"/>
        <v>Paid</v>
      </c>
      <c r="Z735" t="s">
        <v>33</v>
      </c>
      <c r="AA735">
        <f>C735-B735</f>
        <v>769</v>
      </c>
      <c r="AB735" t="str">
        <f>IF(B735="","Missing Order Date",
IF(C735="","Missing Ship Date","OK"))</f>
        <v>OK</v>
      </c>
      <c r="AC735" s="7" t="str">
        <f>IF(C735&lt;B735, "Invalid", "Valid")</f>
        <v>Valid</v>
      </c>
      <c r="AD735" s="7" t="str">
        <f>IF(COUNTIF($A:$A, A735)&gt;1, "Duplicate", "Unique")</f>
        <v>Unique</v>
      </c>
      <c r="AE735" s="7" t="str">
        <f>IF(G735="","Unknown",G735)</f>
        <v>North</v>
      </c>
      <c r="AF735" s="7" t="str">
        <f>IF(M735="","Unknown",M735)</f>
        <v>First Class</v>
      </c>
      <c r="AG735" s="7" t="str">
        <f>IF(P735&lt;0,"Invalid",
IF(P735&gt;1,"Invalid","Valid"))</f>
        <v>Valid</v>
      </c>
      <c r="AH735" s="7" t="str">
        <f>TEXT(B735,"mmmm")</f>
        <v>June</v>
      </c>
      <c r="AI735" s="7">
        <f t="shared" si="69"/>
        <v>2024</v>
      </c>
      <c r="AJ735" s="7" t="str">
        <f>IF(OR(R735&lt;0,C735&lt;B735),"Invalid",
IF(OR(G735="Unknown",M735="Unknown"),"Warning","Clean"))</f>
        <v>Clean</v>
      </c>
      <c r="AK735" s="7" t="str">
        <f>IF(C735&lt;B735,"Ship Before Order","OK")</f>
        <v>OK</v>
      </c>
      <c r="AL735" s="7" t="str">
        <f>IF(ISNUMBER(B735),"Valid","Invalid")</f>
        <v>Valid</v>
      </c>
      <c r="AM735" s="7" t="str">
        <f t="shared" si="70"/>
        <v>Ok</v>
      </c>
      <c r="AN735" s="7" t="str">
        <f t="shared" si="71"/>
        <v>Ok</v>
      </c>
    </row>
    <row r="736" spans="1:40">
      <c r="A736" t="s">
        <v>2281</v>
      </c>
      <c r="B736" s="6">
        <v>45528</v>
      </c>
      <c r="C736" s="4">
        <v>46234</v>
      </c>
      <c r="D736" t="s">
        <v>2282</v>
      </c>
      <c r="E736" t="s">
        <v>62</v>
      </c>
      <c r="F736" t="s">
        <v>37</v>
      </c>
      <c r="G736" t="s">
        <v>25</v>
      </c>
      <c r="H736" t="s">
        <v>26</v>
      </c>
      <c r="I736" t="s">
        <v>27</v>
      </c>
      <c r="J736" t="s">
        <v>74</v>
      </c>
      <c r="K736" t="s">
        <v>75</v>
      </c>
      <c r="L736" t="s">
        <v>2283</v>
      </c>
      <c r="M736" t="s">
        <v>50</v>
      </c>
      <c r="N736">
        <v>4</v>
      </c>
      <c r="O736">
        <v>2761.86</v>
      </c>
      <c r="P736">
        <v>0.2</v>
      </c>
      <c r="Q736" s="7">
        <f>IF(P736="", 0, P736)</f>
        <v>0.2</v>
      </c>
      <c r="R736">
        <v>8837.9500000000007</v>
      </c>
      <c r="S736">
        <v>6157.27</v>
      </c>
      <c r="T736" s="7">
        <f>N736*O736*(1-Q736)</f>
        <v>8837.9520000000011</v>
      </c>
      <c r="U736" s="7">
        <f t="shared" si="66"/>
        <v>2680.6820000000007</v>
      </c>
      <c r="V736">
        <v>2680.68</v>
      </c>
      <c r="W736" s="12">
        <f t="shared" si="67"/>
        <v>0.30331484036120587</v>
      </c>
      <c r="X736" t="s">
        <v>32</v>
      </c>
      <c r="Y736" t="str">
        <f t="shared" si="68"/>
        <v>Paid</v>
      </c>
      <c r="Z736" t="s">
        <v>33</v>
      </c>
      <c r="AA736">
        <f>C736-B736</f>
        <v>706</v>
      </c>
      <c r="AB736" t="str">
        <f>IF(B736="","Missing Order Date",
IF(C736="","Missing Ship Date","OK"))</f>
        <v>OK</v>
      </c>
      <c r="AC736" s="7" t="str">
        <f>IF(C736&lt;B736, "Invalid", "Valid")</f>
        <v>Valid</v>
      </c>
      <c r="AD736" s="7" t="str">
        <f>IF(COUNTIF($A:$A, A736)&gt;1, "Duplicate", "Unique")</f>
        <v>Unique</v>
      </c>
      <c r="AE736" s="7" t="str">
        <f>IF(G736="","Unknown",G736)</f>
        <v>North</v>
      </c>
      <c r="AF736" s="7" t="str">
        <f>IF(M736="","Unknown",M736)</f>
        <v>First Class</v>
      </c>
      <c r="AG736" s="7" t="str">
        <f>IF(P736&lt;0,"Invalid",
IF(P736&gt;1,"Invalid","Valid"))</f>
        <v>Valid</v>
      </c>
      <c r="AH736" s="7" t="str">
        <f>TEXT(B736,"mmmm")</f>
        <v>August</v>
      </c>
      <c r="AI736" s="7">
        <f t="shared" si="69"/>
        <v>2024</v>
      </c>
      <c r="AJ736" s="7" t="str">
        <f>IF(OR(R736&lt;0,C736&lt;B736),"Invalid",
IF(OR(G736="Unknown",M736="Unknown"),"Warning","Clean"))</f>
        <v>Clean</v>
      </c>
      <c r="AK736" s="7" t="str">
        <f>IF(C736&lt;B736,"Ship Before Order","OK")</f>
        <v>OK</v>
      </c>
      <c r="AL736" s="7" t="str">
        <f>IF(ISNUMBER(B736),"Valid","Invalid")</f>
        <v>Valid</v>
      </c>
      <c r="AM736" s="7" t="str">
        <f t="shared" si="70"/>
        <v>Missmatched</v>
      </c>
      <c r="AN736" s="7" t="str">
        <f t="shared" si="71"/>
        <v>Missmatched</v>
      </c>
    </row>
    <row r="737" spans="1:40">
      <c r="A737" t="s">
        <v>2284</v>
      </c>
      <c r="B737" s="6">
        <v>45604</v>
      </c>
      <c r="C737" s="4">
        <v>46235</v>
      </c>
      <c r="D737" t="s">
        <v>2285</v>
      </c>
      <c r="E737" t="s">
        <v>36</v>
      </c>
      <c r="F737" t="s">
        <v>24</v>
      </c>
      <c r="G737" t="s">
        <v>63</v>
      </c>
      <c r="H737" t="s">
        <v>64</v>
      </c>
      <c r="I737" t="s">
        <v>65</v>
      </c>
      <c r="J737" t="s">
        <v>41</v>
      </c>
      <c r="K737" t="s">
        <v>42</v>
      </c>
      <c r="L737" t="s">
        <v>2286</v>
      </c>
      <c r="M737" t="s">
        <v>59</v>
      </c>
      <c r="N737">
        <v>6</v>
      </c>
      <c r="O737">
        <v>1515.79</v>
      </c>
      <c r="P737">
        <v>0.2</v>
      </c>
      <c r="Q737" s="7">
        <f>IF(P737="", 0, P737)</f>
        <v>0.2</v>
      </c>
      <c r="R737">
        <v>7275.79</v>
      </c>
      <c r="S737">
        <v>6152.87</v>
      </c>
      <c r="T737" s="7">
        <f>N737*O737*(1-Q737)</f>
        <v>7275.7920000000004</v>
      </c>
      <c r="U737" s="7">
        <f t="shared" si="66"/>
        <v>1122.9220000000005</v>
      </c>
      <c r="V737">
        <v>1122.92</v>
      </c>
      <c r="W737" s="12">
        <f t="shared" si="67"/>
        <v>0.15433673749881804</v>
      </c>
      <c r="X737" t="s">
        <v>32</v>
      </c>
      <c r="Y737" t="str">
        <f t="shared" si="68"/>
        <v>Paid</v>
      </c>
      <c r="Z737" t="s">
        <v>33</v>
      </c>
      <c r="AA737">
        <f>C737-B737</f>
        <v>631</v>
      </c>
      <c r="AB737" t="str">
        <f>IF(B737="","Missing Order Date",
IF(C737="","Missing Ship Date","OK"))</f>
        <v>OK</v>
      </c>
      <c r="AC737" s="7" t="str">
        <f>IF(C737&lt;B737, "Invalid", "Valid")</f>
        <v>Valid</v>
      </c>
      <c r="AD737" s="7" t="str">
        <f>IF(COUNTIF($A:$A, A737)&gt;1, "Duplicate", "Unique")</f>
        <v>Unique</v>
      </c>
      <c r="AE737" s="7" t="str">
        <f>IF(G737="","Unknown",G737)</f>
        <v>West</v>
      </c>
      <c r="AF737" s="7" t="str">
        <f>IF(M737="","Unknown",M737)</f>
        <v>Standard Class</v>
      </c>
      <c r="AG737" s="7" t="str">
        <f>IF(P737&lt;0,"Invalid",
IF(P737&gt;1,"Invalid","Valid"))</f>
        <v>Valid</v>
      </c>
      <c r="AH737" s="7" t="str">
        <f>TEXT(B737,"mmmm")</f>
        <v>November</v>
      </c>
      <c r="AI737" s="7">
        <f t="shared" si="69"/>
        <v>2024</v>
      </c>
      <c r="AJ737" s="7" t="str">
        <f>IF(OR(R737&lt;0,C737&lt;B737),"Invalid",
IF(OR(G737="Unknown",M737="Unknown"),"Warning","Clean"))</f>
        <v>Clean</v>
      </c>
      <c r="AK737" s="7" t="str">
        <f>IF(C737&lt;B737,"Ship Before Order","OK")</f>
        <v>OK</v>
      </c>
      <c r="AL737" s="7" t="str">
        <f>IF(ISNUMBER(B737),"Valid","Invalid")</f>
        <v>Valid</v>
      </c>
      <c r="AM737" s="7" t="str">
        <f t="shared" si="70"/>
        <v>Missmatched</v>
      </c>
      <c r="AN737" s="7" t="str">
        <f t="shared" si="71"/>
        <v>Missmatched</v>
      </c>
    </row>
    <row r="738" spans="1:40">
      <c r="A738" t="s">
        <v>2287</v>
      </c>
      <c r="B738" s="6">
        <v>45455</v>
      </c>
      <c r="C738" s="4">
        <v>46236</v>
      </c>
      <c r="D738" t="s">
        <v>2288</v>
      </c>
      <c r="E738" t="s">
        <v>89</v>
      </c>
      <c r="F738" t="s">
        <v>24</v>
      </c>
      <c r="G738" t="s">
        <v>63</v>
      </c>
      <c r="H738" t="s">
        <v>64</v>
      </c>
      <c r="I738" t="s">
        <v>65</v>
      </c>
      <c r="J738" t="s">
        <v>41</v>
      </c>
      <c r="K738" t="s">
        <v>66</v>
      </c>
      <c r="L738" t="s">
        <v>2289</v>
      </c>
      <c r="M738" t="s">
        <v>31</v>
      </c>
      <c r="N738">
        <v>9</v>
      </c>
      <c r="O738">
        <v>290.75</v>
      </c>
      <c r="P738">
        <v>0.1</v>
      </c>
      <c r="Q738" s="7">
        <f>IF(P738="", 0, P738)</f>
        <v>0.1</v>
      </c>
      <c r="R738">
        <v>2355.08</v>
      </c>
      <c r="S738">
        <v>1350.03</v>
      </c>
      <c r="T738" s="7">
        <f>N738*O738*(1-Q738)</f>
        <v>2355.0750000000003</v>
      </c>
      <c r="U738" s="7">
        <f t="shared" si="66"/>
        <v>1005.0450000000003</v>
      </c>
      <c r="V738">
        <v>1005.05</v>
      </c>
      <c r="W738" s="12">
        <f t="shared" si="67"/>
        <v>0.42675710964618968</v>
      </c>
      <c r="X738" t="s">
        <v>32</v>
      </c>
      <c r="Y738" t="str">
        <f t="shared" si="68"/>
        <v>Paid</v>
      </c>
      <c r="Z738" t="s">
        <v>33</v>
      </c>
      <c r="AA738">
        <f>C738-B738</f>
        <v>781</v>
      </c>
      <c r="AB738" t="str">
        <f>IF(B738="","Missing Order Date",
IF(C738="","Missing Ship Date","OK"))</f>
        <v>OK</v>
      </c>
      <c r="AC738" s="7" t="str">
        <f>IF(C738&lt;B738, "Invalid", "Valid")</f>
        <v>Valid</v>
      </c>
      <c r="AD738" s="7" t="str">
        <f>IF(COUNTIF($A:$A, A738)&gt;1, "Duplicate", "Unique")</f>
        <v>Unique</v>
      </c>
      <c r="AE738" s="7" t="str">
        <f>IF(G738="","Unknown",G738)</f>
        <v>West</v>
      </c>
      <c r="AF738" s="7" t="str">
        <f>IF(M738="","Unknown",M738)</f>
        <v>Second Class</v>
      </c>
      <c r="AG738" s="7" t="str">
        <f>IF(P738&lt;0,"Invalid",
IF(P738&gt;1,"Invalid","Valid"))</f>
        <v>Valid</v>
      </c>
      <c r="AH738" s="7" t="str">
        <f>TEXT(B738,"mmmm")</f>
        <v>June</v>
      </c>
      <c r="AI738" s="7">
        <f t="shared" si="69"/>
        <v>2024</v>
      </c>
      <c r="AJ738" s="7" t="str">
        <f>IF(OR(R738&lt;0,C738&lt;B738),"Invalid",
IF(OR(G738="Unknown",M738="Unknown"),"Warning","Clean"))</f>
        <v>Clean</v>
      </c>
      <c r="AK738" s="7" t="str">
        <f>IF(C738&lt;B738,"Ship Before Order","OK")</f>
        <v>OK</v>
      </c>
      <c r="AL738" s="7" t="str">
        <f>IF(ISNUMBER(B738),"Valid","Invalid")</f>
        <v>Valid</v>
      </c>
      <c r="AM738" s="7" t="str">
        <f t="shared" si="70"/>
        <v>Missmatched</v>
      </c>
      <c r="AN738" s="7" t="str">
        <f t="shared" si="71"/>
        <v>Missmatched</v>
      </c>
    </row>
    <row r="739" spans="1:40">
      <c r="A739" t="s">
        <v>2290</v>
      </c>
      <c r="B739" s="6">
        <v>45567</v>
      </c>
      <c r="C739" s="4">
        <v>46237</v>
      </c>
      <c r="D739" t="s">
        <v>2291</v>
      </c>
      <c r="E739" t="s">
        <v>47</v>
      </c>
      <c r="F739" t="s">
        <v>95</v>
      </c>
      <c r="G739" t="s">
        <v>63</v>
      </c>
      <c r="H739" t="s">
        <v>64</v>
      </c>
      <c r="I739" t="s">
        <v>65</v>
      </c>
      <c r="J739" t="s">
        <v>41</v>
      </c>
      <c r="K739" t="s">
        <v>66</v>
      </c>
      <c r="L739" t="s">
        <v>2292</v>
      </c>
      <c r="M739" t="s">
        <v>44</v>
      </c>
      <c r="N739">
        <v>6</v>
      </c>
      <c r="O739">
        <v>601.52</v>
      </c>
      <c r="P739">
        <v>0</v>
      </c>
      <c r="Q739" s="7">
        <f>IF(P739="", 0, P739)</f>
        <v>0</v>
      </c>
      <c r="R739">
        <v>3609.12</v>
      </c>
      <c r="S739">
        <v>2645.5</v>
      </c>
      <c r="T739" s="7">
        <f>N739*O739*(1-Q739)</f>
        <v>3609.12</v>
      </c>
      <c r="U739" s="7">
        <f t="shared" si="66"/>
        <v>963.61999999999989</v>
      </c>
      <c r="V739">
        <v>963.62</v>
      </c>
      <c r="W739" s="12">
        <f t="shared" si="67"/>
        <v>0.2669958327791816</v>
      </c>
      <c r="X739" t="s">
        <v>32</v>
      </c>
      <c r="Y739" t="str">
        <f t="shared" si="68"/>
        <v>Paid</v>
      </c>
      <c r="Z739" t="s">
        <v>33</v>
      </c>
      <c r="AA739">
        <f>C739-B739</f>
        <v>670</v>
      </c>
      <c r="AB739" t="str">
        <f>IF(B739="","Missing Order Date",
IF(C739="","Missing Ship Date","OK"))</f>
        <v>OK</v>
      </c>
      <c r="AC739" s="7" t="str">
        <f>IF(C739&lt;B739, "Invalid", "Valid")</f>
        <v>Valid</v>
      </c>
      <c r="AD739" s="7" t="str">
        <f>IF(COUNTIF($A:$A, A739)&gt;1, "Duplicate", "Unique")</f>
        <v>Unique</v>
      </c>
      <c r="AE739" s="7" t="str">
        <f>IF(G739="","Unknown",G739)</f>
        <v>West</v>
      </c>
      <c r="AF739" s="7" t="str">
        <f>IF(M739="","Unknown",M739)</f>
        <v>Same Day</v>
      </c>
      <c r="AG739" s="7" t="str">
        <f>IF(P739&lt;0,"Invalid",
IF(P739&gt;1,"Invalid","Valid"))</f>
        <v>Valid</v>
      </c>
      <c r="AH739" s="7" t="str">
        <f>TEXT(B739,"mmmm")</f>
        <v>October</v>
      </c>
      <c r="AI739" s="7">
        <f t="shared" si="69"/>
        <v>2024</v>
      </c>
      <c r="AJ739" s="7" t="str">
        <f>IF(OR(R739&lt;0,C739&lt;B739),"Invalid",
IF(OR(G739="Unknown",M739="Unknown"),"Warning","Clean"))</f>
        <v>Clean</v>
      </c>
      <c r="AK739" s="7" t="str">
        <f>IF(C739&lt;B739,"Ship Before Order","OK")</f>
        <v>OK</v>
      </c>
      <c r="AL739" s="7" t="str">
        <f>IF(ISNUMBER(B739),"Valid","Invalid")</f>
        <v>Valid</v>
      </c>
      <c r="AM739" s="7" t="str">
        <f t="shared" si="70"/>
        <v>Ok</v>
      </c>
      <c r="AN739" s="7" t="str">
        <f t="shared" si="71"/>
        <v>Ok</v>
      </c>
    </row>
    <row r="740" spans="1:40">
      <c r="A740" t="s">
        <v>2293</v>
      </c>
      <c r="B740" s="6">
        <v>45708</v>
      </c>
      <c r="C740" s="4">
        <v>46238</v>
      </c>
      <c r="D740" t="s">
        <v>2294</v>
      </c>
      <c r="E740" t="s">
        <v>114</v>
      </c>
      <c r="F740" t="s">
        <v>90</v>
      </c>
      <c r="G740" t="s">
        <v>54</v>
      </c>
      <c r="H740" t="s">
        <v>185</v>
      </c>
      <c r="I740" t="s">
        <v>186</v>
      </c>
      <c r="J740" t="s">
        <v>28</v>
      </c>
      <c r="K740" t="s">
        <v>29</v>
      </c>
      <c r="L740" t="s">
        <v>2295</v>
      </c>
      <c r="M740" t="s">
        <v>50</v>
      </c>
      <c r="N740">
        <v>1</v>
      </c>
      <c r="O740">
        <v>2188.19</v>
      </c>
      <c r="P740">
        <v>0</v>
      </c>
      <c r="Q740" s="7">
        <f>IF(P740="", 0, P740)</f>
        <v>0</v>
      </c>
      <c r="R740">
        <v>2188.19</v>
      </c>
      <c r="S740">
        <v>1298.8399999999999</v>
      </c>
      <c r="T740" s="7">
        <f>N740*O740*(1-Q740)</f>
        <v>2188.19</v>
      </c>
      <c r="U740" s="7">
        <f t="shared" si="66"/>
        <v>889.35000000000014</v>
      </c>
      <c r="V740">
        <v>889.35</v>
      </c>
      <c r="W740" s="12">
        <f t="shared" si="67"/>
        <v>0.40643179979800664</v>
      </c>
      <c r="X740" t="s">
        <v>32</v>
      </c>
      <c r="Y740" t="str">
        <f t="shared" si="68"/>
        <v>Paid</v>
      </c>
      <c r="Z740" t="s">
        <v>33</v>
      </c>
      <c r="AA740">
        <f>C740-B740</f>
        <v>530</v>
      </c>
      <c r="AB740" t="str">
        <f>IF(B740="","Missing Order Date",
IF(C740="","Missing Ship Date","OK"))</f>
        <v>OK</v>
      </c>
      <c r="AC740" s="7" t="str">
        <f>IF(C740&lt;B740, "Invalid", "Valid")</f>
        <v>Valid</v>
      </c>
      <c r="AD740" s="7" t="str">
        <f>IF(COUNTIF($A:$A, A740)&gt;1, "Duplicate", "Unique")</f>
        <v>Unique</v>
      </c>
      <c r="AE740" s="7" t="str">
        <f>IF(G740="","Unknown",G740)</f>
        <v>South</v>
      </c>
      <c r="AF740" s="7" t="str">
        <f>IF(M740="","Unknown",M740)</f>
        <v>First Class</v>
      </c>
      <c r="AG740" s="7" t="str">
        <f>IF(P740&lt;0,"Invalid",
IF(P740&gt;1,"Invalid","Valid"))</f>
        <v>Valid</v>
      </c>
      <c r="AH740" s="7" t="str">
        <f>TEXT(B740,"mmmm")</f>
        <v>February</v>
      </c>
      <c r="AI740" s="7">
        <f t="shared" si="69"/>
        <v>2025</v>
      </c>
      <c r="AJ740" s="7" t="str">
        <f>IF(OR(R740&lt;0,C740&lt;B740),"Invalid",
IF(OR(G740="Unknown",M740="Unknown"),"Warning","Clean"))</f>
        <v>Clean</v>
      </c>
      <c r="AK740" s="7" t="str">
        <f>IF(C740&lt;B740,"Ship Before Order","OK")</f>
        <v>OK</v>
      </c>
      <c r="AL740" s="7" t="str">
        <f>IF(ISNUMBER(B740),"Valid","Invalid")</f>
        <v>Valid</v>
      </c>
      <c r="AM740" s="7" t="str">
        <f t="shared" si="70"/>
        <v>Ok</v>
      </c>
      <c r="AN740" s="7" t="str">
        <f t="shared" si="71"/>
        <v>Ok</v>
      </c>
    </row>
    <row r="741" spans="1:40">
      <c r="A741" t="s">
        <v>2296</v>
      </c>
      <c r="B741" s="6">
        <v>45363</v>
      </c>
      <c r="C741" s="4">
        <v>46239</v>
      </c>
      <c r="D741" t="s">
        <v>2297</v>
      </c>
      <c r="E741" t="s">
        <v>79</v>
      </c>
      <c r="F741" t="s">
        <v>90</v>
      </c>
      <c r="G741" t="s">
        <v>25</v>
      </c>
      <c r="H741" t="s">
        <v>26</v>
      </c>
      <c r="I741" t="s">
        <v>27</v>
      </c>
      <c r="J741" t="s">
        <v>74</v>
      </c>
      <c r="K741" t="s">
        <v>171</v>
      </c>
      <c r="L741" t="s">
        <v>2298</v>
      </c>
      <c r="M741" t="s">
        <v>59</v>
      </c>
      <c r="N741">
        <v>5</v>
      </c>
      <c r="O741">
        <v>2393.86</v>
      </c>
      <c r="P741">
        <v>0.05</v>
      </c>
      <c r="Q741" s="7">
        <f>IF(P741="", 0, P741)</f>
        <v>0.05</v>
      </c>
      <c r="R741">
        <v>11370.84</v>
      </c>
      <c r="S741">
        <v>7469.58</v>
      </c>
      <c r="T741" s="7">
        <f>N741*O741*(1-Q741)</f>
        <v>11370.835000000001</v>
      </c>
      <c r="U741" s="7">
        <f t="shared" si="66"/>
        <v>3901.255000000001</v>
      </c>
      <c r="V741">
        <v>3901.26</v>
      </c>
      <c r="W741" s="12">
        <f t="shared" si="67"/>
        <v>0.34309309738466881</v>
      </c>
      <c r="X741" t="s">
        <v>32</v>
      </c>
      <c r="Y741" t="str">
        <f t="shared" si="68"/>
        <v>Paid</v>
      </c>
      <c r="Z741" t="s">
        <v>33</v>
      </c>
      <c r="AA741">
        <f>C741-B741</f>
        <v>876</v>
      </c>
      <c r="AB741" t="str">
        <f>IF(B741="","Missing Order Date",
IF(C741="","Missing Ship Date","OK"))</f>
        <v>OK</v>
      </c>
      <c r="AC741" s="7" t="str">
        <f>IF(C741&lt;B741, "Invalid", "Valid")</f>
        <v>Valid</v>
      </c>
      <c r="AD741" s="7" t="str">
        <f>IF(COUNTIF($A:$A, A741)&gt;1, "Duplicate", "Unique")</f>
        <v>Unique</v>
      </c>
      <c r="AE741" s="7" t="str">
        <f>IF(G741="","Unknown",G741)</f>
        <v>North</v>
      </c>
      <c r="AF741" s="7" t="str">
        <f>IF(M741="","Unknown",M741)</f>
        <v>Standard Class</v>
      </c>
      <c r="AG741" s="7" t="str">
        <f>IF(P741&lt;0,"Invalid",
IF(P741&gt;1,"Invalid","Valid"))</f>
        <v>Valid</v>
      </c>
      <c r="AH741" s="7" t="str">
        <f>TEXT(B741,"mmmm")</f>
        <v>March</v>
      </c>
      <c r="AI741" s="7">
        <f t="shared" si="69"/>
        <v>2024</v>
      </c>
      <c r="AJ741" s="7" t="str">
        <f>IF(OR(R741&lt;0,C741&lt;B741),"Invalid",
IF(OR(G741="Unknown",M741="Unknown"),"Warning","Clean"))</f>
        <v>Clean</v>
      </c>
      <c r="AK741" s="7" t="str">
        <f>IF(C741&lt;B741,"Ship Before Order","OK")</f>
        <v>OK</v>
      </c>
      <c r="AL741" s="7" t="str">
        <f>IF(ISNUMBER(B741),"Valid","Invalid")</f>
        <v>Valid</v>
      </c>
      <c r="AM741" s="7" t="str">
        <f t="shared" si="70"/>
        <v>Missmatched</v>
      </c>
      <c r="AN741" s="7" t="str">
        <f t="shared" si="71"/>
        <v>Missmatched</v>
      </c>
    </row>
    <row r="742" spans="1:40">
      <c r="A742" t="s">
        <v>2299</v>
      </c>
      <c r="B742" s="6">
        <v>45326</v>
      </c>
      <c r="C742" s="4">
        <v>46240</v>
      </c>
      <c r="D742" t="s">
        <v>522</v>
      </c>
      <c r="E742" t="s">
        <v>132</v>
      </c>
      <c r="F742" t="s">
        <v>37</v>
      </c>
      <c r="G742" t="s">
        <v>63</v>
      </c>
      <c r="H742" t="s">
        <v>64</v>
      </c>
      <c r="I742" t="s">
        <v>65</v>
      </c>
      <c r="J742" t="s">
        <v>41</v>
      </c>
      <c r="K742" t="s">
        <v>66</v>
      </c>
      <c r="L742" t="s">
        <v>2300</v>
      </c>
      <c r="M742" t="s">
        <v>50</v>
      </c>
      <c r="N742">
        <v>4</v>
      </c>
      <c r="O742">
        <v>2583</v>
      </c>
      <c r="P742">
        <v>0.1</v>
      </c>
      <c r="Q742" s="7">
        <f>IF(P742="", 0, P742)</f>
        <v>0.1</v>
      </c>
      <c r="R742">
        <v>9298.7999999999993</v>
      </c>
      <c r="S742">
        <v>6548.5</v>
      </c>
      <c r="T742" s="7">
        <f>N742*O742*(1-Q742)</f>
        <v>9298.8000000000011</v>
      </c>
      <c r="U742" s="7">
        <f t="shared" si="66"/>
        <v>2750.3000000000011</v>
      </c>
      <c r="V742">
        <v>2750.3</v>
      </c>
      <c r="W742" s="12">
        <f t="shared" si="67"/>
        <v>0.29576934658235482</v>
      </c>
      <c r="X742" t="s">
        <v>32</v>
      </c>
      <c r="Y742" t="str">
        <f t="shared" si="68"/>
        <v>Paid</v>
      </c>
      <c r="Z742" t="s">
        <v>33</v>
      </c>
      <c r="AA742">
        <f>C742-B742</f>
        <v>914</v>
      </c>
      <c r="AB742" t="str">
        <f>IF(B742="","Missing Order Date",
IF(C742="","Missing Ship Date","OK"))</f>
        <v>OK</v>
      </c>
      <c r="AC742" s="7" t="str">
        <f>IF(C742&lt;B742, "Invalid", "Valid")</f>
        <v>Valid</v>
      </c>
      <c r="AD742" s="7" t="str">
        <f>IF(COUNTIF($A:$A, A742)&gt;1, "Duplicate", "Unique")</f>
        <v>Unique</v>
      </c>
      <c r="AE742" s="7" t="str">
        <f>IF(G742="","Unknown",G742)</f>
        <v>West</v>
      </c>
      <c r="AF742" s="7" t="str">
        <f>IF(M742="","Unknown",M742)</f>
        <v>First Class</v>
      </c>
      <c r="AG742" s="7" t="str">
        <f>IF(P742&lt;0,"Invalid",
IF(P742&gt;1,"Invalid","Valid"))</f>
        <v>Valid</v>
      </c>
      <c r="AH742" s="7" t="str">
        <f>TEXT(B742,"mmmm")</f>
        <v>February</v>
      </c>
      <c r="AI742" s="7">
        <f t="shared" si="69"/>
        <v>2024</v>
      </c>
      <c r="AJ742" s="7" t="str">
        <f>IF(OR(R742&lt;0,C742&lt;B742),"Invalid",
IF(OR(G742="Unknown",M742="Unknown"),"Warning","Clean"))</f>
        <v>Clean</v>
      </c>
      <c r="AK742" s="7" t="str">
        <f>IF(C742&lt;B742,"Ship Before Order","OK")</f>
        <v>OK</v>
      </c>
      <c r="AL742" s="7" t="str">
        <f>IF(ISNUMBER(B742),"Valid","Invalid")</f>
        <v>Valid</v>
      </c>
      <c r="AM742" s="7" t="str">
        <f t="shared" si="70"/>
        <v>Ok</v>
      </c>
      <c r="AN742" s="7" t="str">
        <f t="shared" si="71"/>
        <v>Ok</v>
      </c>
    </row>
    <row r="743" spans="1:40">
      <c r="A743" t="s">
        <v>2301</v>
      </c>
      <c r="B743" s="6">
        <v>45770</v>
      </c>
      <c r="C743" s="4">
        <v>46241</v>
      </c>
      <c r="D743" t="s">
        <v>2302</v>
      </c>
      <c r="E743" t="s">
        <v>47</v>
      </c>
      <c r="F743" t="s">
        <v>95</v>
      </c>
      <c r="G743" t="s">
        <v>54</v>
      </c>
      <c r="H743" t="s">
        <v>247</v>
      </c>
      <c r="I743" t="s">
        <v>248</v>
      </c>
      <c r="J743" t="s">
        <v>41</v>
      </c>
      <c r="K743" t="s">
        <v>66</v>
      </c>
      <c r="L743" t="s">
        <v>2303</v>
      </c>
      <c r="M743" t="s">
        <v>31</v>
      </c>
      <c r="N743">
        <v>3</v>
      </c>
      <c r="O743">
        <v>2951.12</v>
      </c>
      <c r="Q743" s="7">
        <f>IF(P743="", 0, P743)</f>
        <v>0</v>
      </c>
      <c r="R743">
        <v>7082.69</v>
      </c>
      <c r="S743">
        <v>5596.34</v>
      </c>
      <c r="T743" s="7">
        <f>N743*O743*(1-Q743)</f>
        <v>8853.36</v>
      </c>
      <c r="U743" s="7">
        <f t="shared" si="66"/>
        <v>3257.0200000000004</v>
      </c>
      <c r="V743">
        <v>1486.35</v>
      </c>
      <c r="W743" s="12">
        <f t="shared" si="67"/>
        <v>0.36788518709280998</v>
      </c>
      <c r="X743" t="s">
        <v>32</v>
      </c>
      <c r="Y743" t="str">
        <f t="shared" si="68"/>
        <v>Paid</v>
      </c>
      <c r="Z743" t="s">
        <v>68</v>
      </c>
      <c r="AA743">
        <f>C743-B743</f>
        <v>471</v>
      </c>
      <c r="AB743" t="str">
        <f>IF(B743="","Missing Order Date",
IF(C743="","Missing Ship Date","OK"))</f>
        <v>OK</v>
      </c>
      <c r="AC743" s="7" t="str">
        <f>IF(C743&lt;B743, "Invalid", "Valid")</f>
        <v>Valid</v>
      </c>
      <c r="AD743" s="7" t="str">
        <f>IF(COUNTIF($A:$A, A743)&gt;1, "Duplicate", "Unique")</f>
        <v>Unique</v>
      </c>
      <c r="AE743" s="7" t="str">
        <f>IF(G743="","Unknown",G743)</f>
        <v>South</v>
      </c>
      <c r="AF743" s="7" t="str">
        <f>IF(M743="","Unknown",M743)</f>
        <v>Second Class</v>
      </c>
      <c r="AG743" s="7" t="str">
        <f>IF(P743&lt;0,"Invalid",
IF(P743&gt;1,"Invalid","Valid"))</f>
        <v>Valid</v>
      </c>
      <c r="AH743" s="7" t="str">
        <f>TEXT(B743,"mmmm")</f>
        <v>April</v>
      </c>
      <c r="AI743" s="7">
        <f t="shared" si="69"/>
        <v>2025</v>
      </c>
      <c r="AJ743" s="7" t="str">
        <f>IF(OR(R743&lt;0,C743&lt;B743),"Invalid",
IF(OR(G743="Unknown",M743="Unknown"),"Warning","Clean"))</f>
        <v>Clean</v>
      </c>
      <c r="AK743" s="7" t="str">
        <f>IF(C743&lt;B743,"Ship Before Order","OK")</f>
        <v>OK</v>
      </c>
      <c r="AL743" s="7" t="str">
        <f>IF(ISNUMBER(B743),"Valid","Invalid")</f>
        <v>Valid</v>
      </c>
      <c r="AM743" s="7" t="str">
        <f t="shared" si="70"/>
        <v>Missmatched</v>
      </c>
      <c r="AN743" s="7" t="str">
        <f t="shared" si="71"/>
        <v>Missmatched</v>
      </c>
    </row>
    <row r="744" spans="1:40">
      <c r="A744" t="s">
        <v>2304</v>
      </c>
      <c r="B744" s="6">
        <v>45580</v>
      </c>
      <c r="C744" s="4">
        <v>46242</v>
      </c>
      <c r="D744" t="s">
        <v>2305</v>
      </c>
      <c r="E744" t="s">
        <v>23</v>
      </c>
      <c r="F744" t="s">
        <v>90</v>
      </c>
      <c r="G744" t="s">
        <v>38</v>
      </c>
      <c r="H744" t="s">
        <v>39</v>
      </c>
      <c r="I744" t="s">
        <v>40</v>
      </c>
      <c r="J744" t="s">
        <v>28</v>
      </c>
      <c r="K744" t="s">
        <v>29</v>
      </c>
      <c r="L744" t="s">
        <v>2306</v>
      </c>
      <c r="M744" t="s">
        <v>59</v>
      </c>
      <c r="N744">
        <v>4</v>
      </c>
      <c r="O744">
        <v>2260.9499999999998</v>
      </c>
      <c r="P744">
        <v>0</v>
      </c>
      <c r="Q744" s="7">
        <f>IF(P744="", 0, P744)</f>
        <v>0</v>
      </c>
      <c r="R744">
        <v>9043.7999999999993</v>
      </c>
      <c r="S744">
        <v>5913.38</v>
      </c>
      <c r="T744" s="7">
        <f>N744*O744*(1-Q744)</f>
        <v>9043.7999999999993</v>
      </c>
      <c r="U744" s="7">
        <f t="shared" si="66"/>
        <v>3130.4199999999992</v>
      </c>
      <c r="V744">
        <v>3130.42</v>
      </c>
      <c r="W744" s="12">
        <f t="shared" si="67"/>
        <v>0.34613989694597397</v>
      </c>
      <c r="X744" t="s">
        <v>32</v>
      </c>
      <c r="Y744" t="str">
        <f t="shared" si="68"/>
        <v>Paid</v>
      </c>
      <c r="Z744" t="s">
        <v>33</v>
      </c>
      <c r="AA744">
        <f>C744-B744</f>
        <v>662</v>
      </c>
      <c r="AB744" t="str">
        <f>IF(B744="","Missing Order Date",
IF(C744="","Missing Ship Date","OK"))</f>
        <v>OK</v>
      </c>
      <c r="AC744" s="7" t="str">
        <f>IF(C744&lt;B744, "Invalid", "Valid")</f>
        <v>Valid</v>
      </c>
      <c r="AD744" s="7" t="str">
        <f>IF(COUNTIF($A:$A, A744)&gt;1, "Duplicate", "Unique")</f>
        <v>Unique</v>
      </c>
      <c r="AE744" s="7" t="str">
        <f>IF(G744="","Unknown",G744)</f>
        <v>East</v>
      </c>
      <c r="AF744" s="7" t="str">
        <f>IF(M744="","Unknown",M744)</f>
        <v>Standard Class</v>
      </c>
      <c r="AG744" s="7" t="str">
        <f>IF(P744&lt;0,"Invalid",
IF(P744&gt;1,"Invalid","Valid"))</f>
        <v>Valid</v>
      </c>
      <c r="AH744" s="7" t="str">
        <f>TEXT(B744,"mmmm")</f>
        <v>October</v>
      </c>
      <c r="AI744" s="7">
        <f t="shared" si="69"/>
        <v>2024</v>
      </c>
      <c r="AJ744" s="7" t="str">
        <f>IF(OR(R744&lt;0,C744&lt;B744),"Invalid",
IF(OR(G744="Unknown",M744="Unknown"),"Warning","Clean"))</f>
        <v>Clean</v>
      </c>
      <c r="AK744" s="7" t="str">
        <f>IF(C744&lt;B744,"Ship Before Order","OK")</f>
        <v>OK</v>
      </c>
      <c r="AL744" s="7" t="str">
        <f>IF(ISNUMBER(B744),"Valid","Invalid")</f>
        <v>Valid</v>
      </c>
      <c r="AM744" s="7" t="str">
        <f t="shared" si="70"/>
        <v>Ok</v>
      </c>
      <c r="AN744" s="7" t="str">
        <f t="shared" si="71"/>
        <v>Ok</v>
      </c>
    </row>
    <row r="745" spans="1:40">
      <c r="A745" t="s">
        <v>2307</v>
      </c>
      <c r="B745" s="6">
        <v>45993</v>
      </c>
      <c r="C745" s="4">
        <v>46243</v>
      </c>
      <c r="D745" t="s">
        <v>2308</v>
      </c>
      <c r="E745" t="s">
        <v>132</v>
      </c>
      <c r="F745" t="s">
        <v>24</v>
      </c>
      <c r="G745" t="s">
        <v>25</v>
      </c>
      <c r="H745" t="s">
        <v>136</v>
      </c>
      <c r="I745" t="s">
        <v>137</v>
      </c>
      <c r="J745" t="s">
        <v>28</v>
      </c>
      <c r="K745" t="s">
        <v>48</v>
      </c>
      <c r="L745" t="s">
        <v>2309</v>
      </c>
      <c r="M745" t="s">
        <v>59</v>
      </c>
      <c r="N745">
        <v>6</v>
      </c>
      <c r="O745">
        <v>491.4</v>
      </c>
      <c r="P745">
        <v>0.25</v>
      </c>
      <c r="Q745" s="7">
        <f>IF(P745="", 0, P745)</f>
        <v>0.25</v>
      </c>
      <c r="R745">
        <v>2211.3000000000002</v>
      </c>
      <c r="S745">
        <v>1735.64</v>
      </c>
      <c r="T745" s="7">
        <f>N745*O745*(1-Q745)</f>
        <v>2211.2999999999997</v>
      </c>
      <c r="U745" s="7">
        <f t="shared" si="66"/>
        <v>475.65999999999963</v>
      </c>
      <c r="V745">
        <v>475.66</v>
      </c>
      <c r="W745" s="12">
        <f t="shared" si="67"/>
        <v>0.21510423732645942</v>
      </c>
      <c r="X745" t="s">
        <v>32</v>
      </c>
      <c r="Y745" t="str">
        <f t="shared" si="68"/>
        <v>Paid</v>
      </c>
      <c r="Z745" t="s">
        <v>33</v>
      </c>
      <c r="AA745">
        <f>C745-B745</f>
        <v>250</v>
      </c>
      <c r="AB745" t="str">
        <f>IF(B745="","Missing Order Date",
IF(C745="","Missing Ship Date","OK"))</f>
        <v>OK</v>
      </c>
      <c r="AC745" s="7" t="str">
        <f>IF(C745&lt;B745, "Invalid", "Valid")</f>
        <v>Valid</v>
      </c>
      <c r="AD745" s="7" t="str">
        <f>IF(COUNTIF($A:$A, A745)&gt;1, "Duplicate", "Unique")</f>
        <v>Unique</v>
      </c>
      <c r="AE745" s="7" t="str">
        <f>IF(G745="","Unknown",G745)</f>
        <v>North</v>
      </c>
      <c r="AF745" s="7" t="str">
        <f>IF(M745="","Unknown",M745)</f>
        <v>Standard Class</v>
      </c>
      <c r="AG745" s="7" t="str">
        <f>IF(P745&lt;0,"Invalid",
IF(P745&gt;1,"Invalid","Valid"))</f>
        <v>Valid</v>
      </c>
      <c r="AH745" s="7" t="str">
        <f>TEXT(B745,"mmmm")</f>
        <v>December</v>
      </c>
      <c r="AI745" s="7">
        <f t="shared" si="69"/>
        <v>2025</v>
      </c>
      <c r="AJ745" s="7" t="str">
        <f>IF(OR(R745&lt;0,C745&lt;B745),"Invalid",
IF(OR(G745="Unknown",M745="Unknown"),"Warning","Clean"))</f>
        <v>Clean</v>
      </c>
      <c r="AK745" s="7" t="str">
        <f>IF(C745&lt;B745,"Ship Before Order","OK")</f>
        <v>OK</v>
      </c>
      <c r="AL745" s="7" t="str">
        <f>IF(ISNUMBER(B745),"Valid","Invalid")</f>
        <v>Valid</v>
      </c>
      <c r="AM745" s="7" t="str">
        <f t="shared" si="70"/>
        <v>Ok</v>
      </c>
      <c r="AN745" s="7" t="str">
        <f t="shared" si="71"/>
        <v>Ok</v>
      </c>
    </row>
    <row r="746" spans="1:40">
      <c r="A746" t="s">
        <v>2310</v>
      </c>
      <c r="B746" s="6">
        <v>45886</v>
      </c>
      <c r="C746" s="4">
        <v>46244</v>
      </c>
      <c r="D746" t="s">
        <v>2311</v>
      </c>
      <c r="E746" t="s">
        <v>36</v>
      </c>
      <c r="F746" t="s">
        <v>95</v>
      </c>
      <c r="G746" t="s">
        <v>25</v>
      </c>
      <c r="H746" t="s">
        <v>122</v>
      </c>
      <c r="I746" t="s">
        <v>123</v>
      </c>
      <c r="J746" t="s">
        <v>28</v>
      </c>
      <c r="K746" t="s">
        <v>153</v>
      </c>
      <c r="L746" t="s">
        <v>2312</v>
      </c>
      <c r="M746" t="s">
        <v>50</v>
      </c>
      <c r="N746">
        <v>5</v>
      </c>
      <c r="O746">
        <v>2701.89</v>
      </c>
      <c r="P746">
        <v>0.1</v>
      </c>
      <c r="Q746" s="7">
        <f>IF(P746="", 0, P746)</f>
        <v>0.1</v>
      </c>
      <c r="R746">
        <v>12158.5</v>
      </c>
      <c r="S746">
        <v>10260.07</v>
      </c>
      <c r="T746" s="7">
        <f>N746*O746*(1-Q746)</f>
        <v>12158.504999999999</v>
      </c>
      <c r="U746" s="7">
        <f t="shared" si="66"/>
        <v>1898.4349999999995</v>
      </c>
      <c r="V746">
        <v>1898.43</v>
      </c>
      <c r="W746" s="12">
        <f t="shared" si="67"/>
        <v>0.15614049589155901</v>
      </c>
      <c r="X746" t="s">
        <v>32</v>
      </c>
      <c r="Y746" t="str">
        <f t="shared" si="68"/>
        <v>Paid</v>
      </c>
      <c r="Z746" t="s">
        <v>68</v>
      </c>
      <c r="AA746">
        <f>C746-B746</f>
        <v>358</v>
      </c>
      <c r="AB746" t="str">
        <f>IF(B746="","Missing Order Date",
IF(C746="","Missing Ship Date","OK"))</f>
        <v>OK</v>
      </c>
      <c r="AC746" s="7" t="str">
        <f>IF(C746&lt;B746, "Invalid", "Valid")</f>
        <v>Valid</v>
      </c>
      <c r="AD746" s="7" t="str">
        <f>IF(COUNTIF($A:$A, A746)&gt;1, "Duplicate", "Unique")</f>
        <v>Unique</v>
      </c>
      <c r="AE746" s="7" t="str">
        <f>IF(G746="","Unknown",G746)</f>
        <v>North</v>
      </c>
      <c r="AF746" s="7" t="str">
        <f>IF(M746="","Unknown",M746)</f>
        <v>First Class</v>
      </c>
      <c r="AG746" s="7" t="str">
        <f>IF(P746&lt;0,"Invalid",
IF(P746&gt;1,"Invalid","Valid"))</f>
        <v>Valid</v>
      </c>
      <c r="AH746" s="7" t="str">
        <f>TEXT(B746,"mmmm")</f>
        <v>August</v>
      </c>
      <c r="AI746" s="7">
        <f t="shared" si="69"/>
        <v>2025</v>
      </c>
      <c r="AJ746" s="7" t="str">
        <f>IF(OR(R746&lt;0,C746&lt;B746),"Invalid",
IF(OR(G746="Unknown",M746="Unknown"),"Warning","Clean"))</f>
        <v>Clean</v>
      </c>
      <c r="AK746" s="7" t="str">
        <f>IF(C746&lt;B746,"Ship Before Order","OK")</f>
        <v>OK</v>
      </c>
      <c r="AL746" s="7" t="str">
        <f>IF(ISNUMBER(B746),"Valid","Invalid")</f>
        <v>Valid</v>
      </c>
      <c r="AM746" s="7" t="str">
        <f t="shared" si="70"/>
        <v>Missmatched</v>
      </c>
      <c r="AN746" s="7" t="str">
        <f t="shared" si="71"/>
        <v>Missmatched</v>
      </c>
    </row>
    <row r="747" spans="1:40">
      <c r="A747" t="s">
        <v>2313</v>
      </c>
      <c r="B747" s="6">
        <v>45589</v>
      </c>
      <c r="C747" s="4">
        <v>46245</v>
      </c>
      <c r="D747" t="s">
        <v>2314</v>
      </c>
      <c r="E747" t="s">
        <v>36</v>
      </c>
      <c r="F747" t="s">
        <v>37</v>
      </c>
      <c r="G747" t="s">
        <v>38</v>
      </c>
      <c r="H747" t="s">
        <v>166</v>
      </c>
      <c r="I747" t="s">
        <v>167</v>
      </c>
      <c r="J747" t="s">
        <v>74</v>
      </c>
      <c r="K747" t="s">
        <v>80</v>
      </c>
      <c r="L747" t="s">
        <v>2315</v>
      </c>
      <c r="M747" t="s">
        <v>59</v>
      </c>
      <c r="N747">
        <v>3</v>
      </c>
      <c r="O747">
        <v>723.59</v>
      </c>
      <c r="P747">
        <v>0.2</v>
      </c>
      <c r="Q747" s="7">
        <f>IF(P747="", 0, P747)</f>
        <v>0.2</v>
      </c>
      <c r="R747">
        <v>1736.62</v>
      </c>
      <c r="S747">
        <v>1059.52</v>
      </c>
      <c r="T747" s="7">
        <f>N747*O747*(1-Q747)</f>
        <v>1736.616</v>
      </c>
      <c r="U747" s="7">
        <f t="shared" si="66"/>
        <v>677.096</v>
      </c>
      <c r="V747">
        <v>677.1</v>
      </c>
      <c r="W747" s="12">
        <f t="shared" si="67"/>
        <v>0.38989390861307277</v>
      </c>
      <c r="X747" t="s">
        <v>32</v>
      </c>
      <c r="Y747" t="str">
        <f t="shared" si="68"/>
        <v>Paid</v>
      </c>
      <c r="Z747" t="s">
        <v>33</v>
      </c>
      <c r="AA747">
        <f>C747-B747</f>
        <v>656</v>
      </c>
      <c r="AB747" t="str">
        <f>IF(B747="","Missing Order Date",
IF(C747="","Missing Ship Date","OK"))</f>
        <v>OK</v>
      </c>
      <c r="AC747" s="7" t="str">
        <f>IF(C747&lt;B747, "Invalid", "Valid")</f>
        <v>Valid</v>
      </c>
      <c r="AD747" s="7" t="str">
        <f>IF(COUNTIF($A:$A, A747)&gt;1, "Duplicate", "Unique")</f>
        <v>Unique</v>
      </c>
      <c r="AE747" s="7" t="str">
        <f>IF(G747="","Unknown",G747)</f>
        <v>East</v>
      </c>
      <c r="AF747" s="7" t="str">
        <f>IF(M747="","Unknown",M747)</f>
        <v>Standard Class</v>
      </c>
      <c r="AG747" s="7" t="str">
        <f>IF(P747&lt;0,"Invalid",
IF(P747&gt;1,"Invalid","Valid"))</f>
        <v>Valid</v>
      </c>
      <c r="AH747" s="7" t="str">
        <f>TEXT(B747,"mmmm")</f>
        <v>October</v>
      </c>
      <c r="AI747" s="7">
        <f t="shared" si="69"/>
        <v>2024</v>
      </c>
      <c r="AJ747" s="7" t="str">
        <f>IF(OR(R747&lt;0,C747&lt;B747),"Invalid",
IF(OR(G747="Unknown",M747="Unknown"),"Warning","Clean"))</f>
        <v>Clean</v>
      </c>
      <c r="AK747" s="7" t="str">
        <f>IF(C747&lt;B747,"Ship Before Order","OK")</f>
        <v>OK</v>
      </c>
      <c r="AL747" s="7" t="str">
        <f>IF(ISNUMBER(B747),"Valid","Invalid")</f>
        <v>Valid</v>
      </c>
      <c r="AM747" s="7" t="str">
        <f t="shared" si="70"/>
        <v>Missmatched</v>
      </c>
      <c r="AN747" s="7" t="str">
        <f t="shared" si="71"/>
        <v>Missmatched</v>
      </c>
    </row>
    <row r="748" spans="1:40">
      <c r="A748" t="s">
        <v>2316</v>
      </c>
      <c r="B748" s="6">
        <v>45748</v>
      </c>
      <c r="C748" s="4">
        <v>46246</v>
      </c>
      <c r="D748" t="s">
        <v>2025</v>
      </c>
      <c r="E748" t="s">
        <v>128</v>
      </c>
      <c r="F748" t="s">
        <v>95</v>
      </c>
      <c r="G748" t="s">
        <v>38</v>
      </c>
      <c r="H748" t="s">
        <v>99</v>
      </c>
      <c r="I748" t="s">
        <v>100</v>
      </c>
      <c r="J748" t="s">
        <v>28</v>
      </c>
      <c r="K748" t="s">
        <v>29</v>
      </c>
      <c r="L748" t="s">
        <v>2317</v>
      </c>
      <c r="M748" t="s">
        <v>59</v>
      </c>
      <c r="N748">
        <v>4</v>
      </c>
      <c r="O748">
        <v>2583.19</v>
      </c>
      <c r="P748">
        <v>0.2</v>
      </c>
      <c r="Q748" s="7">
        <f>IF(P748="", 0, P748)</f>
        <v>0.2</v>
      </c>
      <c r="R748">
        <v>8266.2099999999991</v>
      </c>
      <c r="S748">
        <v>6236.32</v>
      </c>
      <c r="T748" s="7">
        <f>N748*O748*(1-Q748)</f>
        <v>8266.2080000000005</v>
      </c>
      <c r="U748" s="7">
        <f t="shared" si="66"/>
        <v>2029.8880000000008</v>
      </c>
      <c r="V748">
        <v>2029.89</v>
      </c>
      <c r="W748" s="12">
        <f t="shared" si="67"/>
        <v>0.24556459261610653</v>
      </c>
      <c r="X748" t="s">
        <v>32</v>
      </c>
      <c r="Y748" t="str">
        <f t="shared" si="68"/>
        <v>Paid</v>
      </c>
      <c r="Z748" t="s">
        <v>33</v>
      </c>
      <c r="AA748">
        <f>C748-B748</f>
        <v>498</v>
      </c>
      <c r="AB748" t="str">
        <f>IF(B748="","Missing Order Date",
IF(C748="","Missing Ship Date","OK"))</f>
        <v>OK</v>
      </c>
      <c r="AC748" s="7" t="str">
        <f>IF(C748&lt;B748, "Invalid", "Valid")</f>
        <v>Valid</v>
      </c>
      <c r="AD748" s="7" t="str">
        <f>IF(COUNTIF($A:$A, A748)&gt;1, "Duplicate", "Unique")</f>
        <v>Unique</v>
      </c>
      <c r="AE748" s="7" t="str">
        <f>IF(G748="","Unknown",G748)</f>
        <v>East</v>
      </c>
      <c r="AF748" s="7" t="str">
        <f>IF(M748="","Unknown",M748)</f>
        <v>Standard Class</v>
      </c>
      <c r="AG748" s="7" t="str">
        <f>IF(P748&lt;0,"Invalid",
IF(P748&gt;1,"Invalid","Valid"))</f>
        <v>Valid</v>
      </c>
      <c r="AH748" s="7" t="str">
        <f>TEXT(B748,"mmmm")</f>
        <v>April</v>
      </c>
      <c r="AI748" s="7">
        <f t="shared" si="69"/>
        <v>2025</v>
      </c>
      <c r="AJ748" s="7" t="str">
        <f>IF(OR(R748&lt;0,C748&lt;B748),"Invalid",
IF(OR(G748="Unknown",M748="Unknown"),"Warning","Clean"))</f>
        <v>Clean</v>
      </c>
      <c r="AK748" s="7" t="str">
        <f>IF(C748&lt;B748,"Ship Before Order","OK")</f>
        <v>OK</v>
      </c>
      <c r="AL748" s="7" t="str">
        <f>IF(ISNUMBER(B748),"Valid","Invalid")</f>
        <v>Valid</v>
      </c>
      <c r="AM748" s="7" t="str">
        <f t="shared" si="70"/>
        <v>Missmatched</v>
      </c>
      <c r="AN748" s="7" t="str">
        <f t="shared" si="71"/>
        <v>Missmatched</v>
      </c>
    </row>
    <row r="749" spans="1:40">
      <c r="A749" t="s">
        <v>2318</v>
      </c>
      <c r="B749" s="6">
        <v>45296</v>
      </c>
      <c r="C749" s="4">
        <v>46247</v>
      </c>
      <c r="D749" t="s">
        <v>2319</v>
      </c>
      <c r="E749" t="s">
        <v>47</v>
      </c>
      <c r="F749" t="s">
        <v>95</v>
      </c>
      <c r="G749" t="s">
        <v>38</v>
      </c>
      <c r="H749" t="s">
        <v>39</v>
      </c>
      <c r="I749" t="s">
        <v>40</v>
      </c>
      <c r="J749" t="s">
        <v>28</v>
      </c>
      <c r="K749" t="s">
        <v>29</v>
      </c>
      <c r="L749" t="s">
        <v>2320</v>
      </c>
      <c r="M749" t="s">
        <v>44</v>
      </c>
      <c r="N749">
        <v>8</v>
      </c>
      <c r="O749">
        <v>1473.83</v>
      </c>
      <c r="P749">
        <v>0.15</v>
      </c>
      <c r="Q749" s="7">
        <f>IF(P749="", 0, P749)</f>
        <v>0.15</v>
      </c>
      <c r="R749">
        <v>10022.040000000001</v>
      </c>
      <c r="S749">
        <v>5576.98</v>
      </c>
      <c r="T749" s="7">
        <f>N749*O749*(1-Q749)</f>
        <v>10022.044</v>
      </c>
      <c r="U749" s="7">
        <f t="shared" si="66"/>
        <v>4445.0640000000003</v>
      </c>
      <c r="V749">
        <v>4445.0600000000004</v>
      </c>
      <c r="W749" s="12">
        <f t="shared" si="67"/>
        <v>0.44352868536597928</v>
      </c>
      <c r="X749" t="s">
        <v>32</v>
      </c>
      <c r="Y749" t="str">
        <f t="shared" si="68"/>
        <v>Paid</v>
      </c>
      <c r="Z749" t="s">
        <v>33</v>
      </c>
      <c r="AA749">
        <f>C749-B749</f>
        <v>951</v>
      </c>
      <c r="AB749" t="str">
        <f>IF(B749="","Missing Order Date",
IF(C749="","Missing Ship Date","OK"))</f>
        <v>OK</v>
      </c>
      <c r="AC749" s="7" t="str">
        <f>IF(C749&lt;B749, "Invalid", "Valid")</f>
        <v>Valid</v>
      </c>
      <c r="AD749" s="7" t="str">
        <f>IF(COUNTIF($A:$A, A749)&gt;1, "Duplicate", "Unique")</f>
        <v>Unique</v>
      </c>
      <c r="AE749" s="7" t="str">
        <f>IF(G749="","Unknown",G749)</f>
        <v>East</v>
      </c>
      <c r="AF749" s="7" t="str">
        <f>IF(M749="","Unknown",M749)</f>
        <v>Same Day</v>
      </c>
      <c r="AG749" s="7" t="str">
        <f>IF(P749&lt;0,"Invalid",
IF(P749&gt;1,"Invalid","Valid"))</f>
        <v>Valid</v>
      </c>
      <c r="AH749" s="7" t="str">
        <f>TEXT(B749,"mmmm")</f>
        <v>January</v>
      </c>
      <c r="AI749" s="7">
        <f t="shared" si="69"/>
        <v>2024</v>
      </c>
      <c r="AJ749" s="7" t="str">
        <f>IF(OR(R749&lt;0,C749&lt;B749),"Invalid",
IF(OR(G749="Unknown",M749="Unknown"),"Warning","Clean"))</f>
        <v>Clean</v>
      </c>
      <c r="AK749" s="7" t="str">
        <f>IF(C749&lt;B749,"Ship Before Order","OK")</f>
        <v>OK</v>
      </c>
      <c r="AL749" s="7" t="str">
        <f>IF(ISNUMBER(B749),"Valid","Invalid")</f>
        <v>Valid</v>
      </c>
      <c r="AM749" s="7" t="str">
        <f t="shared" si="70"/>
        <v>Missmatched</v>
      </c>
      <c r="AN749" s="7" t="str">
        <f t="shared" si="71"/>
        <v>Missmatched</v>
      </c>
    </row>
    <row r="750" spans="1:40">
      <c r="A750" t="s">
        <v>2321</v>
      </c>
      <c r="B750" s="6">
        <v>45442</v>
      </c>
      <c r="C750" s="4">
        <v>46248</v>
      </c>
      <c r="D750" t="s">
        <v>2322</v>
      </c>
      <c r="E750" t="s">
        <v>162</v>
      </c>
      <c r="F750" t="s">
        <v>95</v>
      </c>
      <c r="G750" t="s">
        <v>25</v>
      </c>
      <c r="H750" t="s">
        <v>236</v>
      </c>
      <c r="I750" t="s">
        <v>237</v>
      </c>
      <c r="J750" t="s">
        <v>74</v>
      </c>
      <c r="K750" t="s">
        <v>171</v>
      </c>
      <c r="L750" t="s">
        <v>2323</v>
      </c>
      <c r="M750" t="s">
        <v>31</v>
      </c>
      <c r="N750">
        <v>1</v>
      </c>
      <c r="O750">
        <v>3848.04</v>
      </c>
      <c r="P750">
        <v>0.25</v>
      </c>
      <c r="Q750" s="7">
        <f>IF(P750="", 0, P750)</f>
        <v>0.25</v>
      </c>
      <c r="R750">
        <v>2886.03</v>
      </c>
      <c r="S750">
        <v>2064.83</v>
      </c>
      <c r="T750" s="7">
        <f>N750*O750*(1-Q750)</f>
        <v>2886.0299999999997</v>
      </c>
      <c r="U750" s="7">
        <f t="shared" si="66"/>
        <v>821.19999999999982</v>
      </c>
      <c r="V750">
        <v>821.2</v>
      </c>
      <c r="W750" s="12">
        <f t="shared" si="67"/>
        <v>0.28454312671732446</v>
      </c>
      <c r="X750" t="s">
        <v>32</v>
      </c>
      <c r="Y750" t="str">
        <f t="shared" si="68"/>
        <v>Paid</v>
      </c>
      <c r="Z750" t="s">
        <v>33</v>
      </c>
      <c r="AA750">
        <f>C750-B750</f>
        <v>806</v>
      </c>
      <c r="AB750" t="str">
        <f>IF(B750="","Missing Order Date",
IF(C750="","Missing Ship Date","OK"))</f>
        <v>OK</v>
      </c>
      <c r="AC750" s="7" t="str">
        <f>IF(C750&lt;B750, "Invalid", "Valid")</f>
        <v>Valid</v>
      </c>
      <c r="AD750" s="7" t="str">
        <f>IF(COUNTIF($A:$A, A750)&gt;1, "Duplicate", "Unique")</f>
        <v>Unique</v>
      </c>
      <c r="AE750" s="7" t="str">
        <f>IF(G750="","Unknown",G750)</f>
        <v>North</v>
      </c>
      <c r="AF750" s="7" t="str">
        <f>IF(M750="","Unknown",M750)</f>
        <v>Second Class</v>
      </c>
      <c r="AG750" s="7" t="str">
        <f>IF(P750&lt;0,"Invalid",
IF(P750&gt;1,"Invalid","Valid"))</f>
        <v>Valid</v>
      </c>
      <c r="AH750" s="7" t="str">
        <f>TEXT(B750,"mmmm")</f>
        <v>May</v>
      </c>
      <c r="AI750" s="7">
        <f t="shared" si="69"/>
        <v>2024</v>
      </c>
      <c r="AJ750" s="7" t="str">
        <f>IF(OR(R750&lt;0,C750&lt;B750),"Invalid",
IF(OR(G750="Unknown",M750="Unknown"),"Warning","Clean"))</f>
        <v>Clean</v>
      </c>
      <c r="AK750" s="7" t="str">
        <f>IF(C750&lt;B750,"Ship Before Order","OK")</f>
        <v>OK</v>
      </c>
      <c r="AL750" s="7" t="str">
        <f>IF(ISNUMBER(B750),"Valid","Invalid")</f>
        <v>Valid</v>
      </c>
      <c r="AM750" s="7" t="str">
        <f t="shared" si="70"/>
        <v>Ok</v>
      </c>
      <c r="AN750" s="7" t="str">
        <f t="shared" si="71"/>
        <v>Ok</v>
      </c>
    </row>
    <row r="751" spans="1:40">
      <c r="A751" t="s">
        <v>2324</v>
      </c>
      <c r="B751" s="6">
        <v>45372</v>
      </c>
      <c r="C751" s="4">
        <v>46249</v>
      </c>
      <c r="D751" t="s">
        <v>2325</v>
      </c>
      <c r="E751" t="s">
        <v>89</v>
      </c>
      <c r="F751" t="s">
        <v>95</v>
      </c>
      <c r="G751" t="s">
        <v>38</v>
      </c>
      <c r="H751" t="s">
        <v>166</v>
      </c>
      <c r="I751" t="s">
        <v>167</v>
      </c>
      <c r="J751" t="s">
        <v>74</v>
      </c>
      <c r="K751" t="s">
        <v>274</v>
      </c>
      <c r="L751" t="s">
        <v>2326</v>
      </c>
      <c r="M751" t="s">
        <v>59</v>
      </c>
      <c r="N751">
        <v>1</v>
      </c>
      <c r="O751">
        <v>1716.7</v>
      </c>
      <c r="P751">
        <v>0.15</v>
      </c>
      <c r="Q751" s="7">
        <f>IF(P751="", 0, P751)</f>
        <v>0.15</v>
      </c>
      <c r="R751">
        <v>1459.19</v>
      </c>
      <c r="S751">
        <v>1055.79</v>
      </c>
      <c r="T751" s="7">
        <f>N751*O751*(1-Q751)</f>
        <v>1459.1949999999999</v>
      </c>
      <c r="U751" s="7">
        <f t="shared" si="66"/>
        <v>403.40499999999997</v>
      </c>
      <c r="V751">
        <v>403.4</v>
      </c>
      <c r="W751" s="12">
        <f t="shared" si="67"/>
        <v>0.27645722470266137</v>
      </c>
      <c r="X751" t="s">
        <v>32</v>
      </c>
      <c r="Y751" t="str">
        <f t="shared" si="68"/>
        <v>Paid</v>
      </c>
      <c r="Z751" t="s">
        <v>33</v>
      </c>
      <c r="AA751">
        <f>C751-B751</f>
        <v>877</v>
      </c>
      <c r="AB751" t="str">
        <f>IF(B751="","Missing Order Date",
IF(C751="","Missing Ship Date","OK"))</f>
        <v>OK</v>
      </c>
      <c r="AC751" s="7" t="str">
        <f>IF(C751&lt;B751, "Invalid", "Valid")</f>
        <v>Valid</v>
      </c>
      <c r="AD751" s="7" t="str">
        <f>IF(COUNTIF($A:$A, A751)&gt;1, "Duplicate", "Unique")</f>
        <v>Unique</v>
      </c>
      <c r="AE751" s="7" t="str">
        <f>IF(G751="","Unknown",G751)</f>
        <v>East</v>
      </c>
      <c r="AF751" s="7" t="str">
        <f>IF(M751="","Unknown",M751)</f>
        <v>Standard Class</v>
      </c>
      <c r="AG751" s="7" t="str">
        <f>IF(P751&lt;0,"Invalid",
IF(P751&gt;1,"Invalid","Valid"))</f>
        <v>Valid</v>
      </c>
      <c r="AH751" s="7" t="str">
        <f>TEXT(B751,"mmmm")</f>
        <v>March</v>
      </c>
      <c r="AI751" s="7">
        <f t="shared" si="69"/>
        <v>2024</v>
      </c>
      <c r="AJ751" s="7" t="str">
        <f>IF(OR(R751&lt;0,C751&lt;B751),"Invalid",
IF(OR(G751="Unknown",M751="Unknown"),"Warning","Clean"))</f>
        <v>Clean</v>
      </c>
      <c r="AK751" s="7" t="str">
        <f>IF(C751&lt;B751,"Ship Before Order","OK")</f>
        <v>OK</v>
      </c>
      <c r="AL751" s="7" t="str">
        <f>IF(ISNUMBER(B751),"Valid","Invalid")</f>
        <v>Valid</v>
      </c>
      <c r="AM751" s="7" t="str">
        <f t="shared" si="70"/>
        <v>Missmatched</v>
      </c>
      <c r="AN751" s="7" t="str">
        <f t="shared" si="71"/>
        <v>Missmatched</v>
      </c>
    </row>
    <row r="752" spans="1:40">
      <c r="A752" t="s">
        <v>2327</v>
      </c>
      <c r="B752" s="6">
        <v>45694</v>
      </c>
      <c r="C752" s="4">
        <v>46250</v>
      </c>
      <c r="D752" t="s">
        <v>2328</v>
      </c>
      <c r="E752" t="s">
        <v>128</v>
      </c>
      <c r="F752" t="s">
        <v>95</v>
      </c>
      <c r="G752" t="s">
        <v>54</v>
      </c>
      <c r="H752" t="s">
        <v>55</v>
      </c>
      <c r="I752" t="s">
        <v>56</v>
      </c>
      <c r="J752" t="s">
        <v>74</v>
      </c>
      <c r="K752" t="s">
        <v>75</v>
      </c>
      <c r="L752" t="s">
        <v>2329</v>
      </c>
      <c r="M752" t="s">
        <v>50</v>
      </c>
      <c r="N752">
        <v>8</v>
      </c>
      <c r="O752">
        <v>3925.93</v>
      </c>
      <c r="P752">
        <v>0.15</v>
      </c>
      <c r="Q752" s="7">
        <f>IF(P752="", 0, P752)</f>
        <v>0.15</v>
      </c>
      <c r="R752">
        <v>26696.32</v>
      </c>
      <c r="S752">
        <v>22724.52</v>
      </c>
      <c r="T752" s="7">
        <f>N752*O752*(1-Q752)</f>
        <v>26696.323999999997</v>
      </c>
      <c r="U752" s="7">
        <f t="shared" si="66"/>
        <v>3971.8039999999964</v>
      </c>
      <c r="V752">
        <v>3971.8</v>
      </c>
      <c r="W752" s="12">
        <f t="shared" si="67"/>
        <v>0.14877718745097629</v>
      </c>
      <c r="X752" t="s">
        <v>32</v>
      </c>
      <c r="Y752" t="str">
        <f t="shared" si="68"/>
        <v>Paid</v>
      </c>
      <c r="Z752" t="s">
        <v>33</v>
      </c>
      <c r="AA752">
        <f>C752-B752</f>
        <v>556</v>
      </c>
      <c r="AB752" t="str">
        <f>IF(B752="","Missing Order Date",
IF(C752="","Missing Ship Date","OK"))</f>
        <v>OK</v>
      </c>
      <c r="AC752" s="7" t="str">
        <f>IF(C752&lt;B752, "Invalid", "Valid")</f>
        <v>Valid</v>
      </c>
      <c r="AD752" s="7" t="str">
        <f>IF(COUNTIF($A:$A, A752)&gt;1, "Duplicate", "Unique")</f>
        <v>Unique</v>
      </c>
      <c r="AE752" s="7" t="str">
        <f>IF(G752="","Unknown",G752)</f>
        <v>South</v>
      </c>
      <c r="AF752" s="7" t="str">
        <f>IF(M752="","Unknown",M752)</f>
        <v>First Class</v>
      </c>
      <c r="AG752" s="7" t="str">
        <f>IF(P752&lt;0,"Invalid",
IF(P752&gt;1,"Invalid","Valid"))</f>
        <v>Valid</v>
      </c>
      <c r="AH752" s="7" t="str">
        <f>TEXT(B752,"mmmm")</f>
        <v>February</v>
      </c>
      <c r="AI752" s="7">
        <f t="shared" si="69"/>
        <v>2025</v>
      </c>
      <c r="AJ752" s="7" t="str">
        <f>IF(OR(R752&lt;0,C752&lt;B752),"Invalid",
IF(OR(G752="Unknown",M752="Unknown"),"Warning","Clean"))</f>
        <v>Clean</v>
      </c>
      <c r="AK752" s="7" t="str">
        <f>IF(C752&lt;B752,"Ship Before Order","OK")</f>
        <v>OK</v>
      </c>
      <c r="AL752" s="7" t="str">
        <f>IF(ISNUMBER(B752),"Valid","Invalid")</f>
        <v>Valid</v>
      </c>
      <c r="AM752" s="7" t="str">
        <f t="shared" si="70"/>
        <v>Missmatched</v>
      </c>
      <c r="AN752" s="7" t="str">
        <f t="shared" si="71"/>
        <v>Missmatched</v>
      </c>
    </row>
    <row r="753" spans="1:40">
      <c r="A753" t="s">
        <v>2330</v>
      </c>
      <c r="B753" s="6">
        <v>45856</v>
      </c>
      <c r="C753" s="4">
        <v>46251</v>
      </c>
      <c r="D753" t="s">
        <v>2331</v>
      </c>
      <c r="E753" t="s">
        <v>114</v>
      </c>
      <c r="F753" t="s">
        <v>95</v>
      </c>
      <c r="G753" t="s">
        <v>2785</v>
      </c>
      <c r="H753" t="s">
        <v>136</v>
      </c>
      <c r="I753" t="s">
        <v>137</v>
      </c>
      <c r="J753" t="s">
        <v>74</v>
      </c>
      <c r="K753" t="s">
        <v>274</v>
      </c>
      <c r="L753" t="s">
        <v>2332</v>
      </c>
      <c r="M753" t="s">
        <v>2785</v>
      </c>
      <c r="N753">
        <v>3</v>
      </c>
      <c r="O753">
        <v>2963.25</v>
      </c>
      <c r="P753">
        <v>0.05</v>
      </c>
      <c r="Q753" s="7">
        <f>IF(P753="", 0, P753)</f>
        <v>0.05</v>
      </c>
      <c r="R753">
        <v>8445.26</v>
      </c>
      <c r="S753">
        <v>6937.6</v>
      </c>
      <c r="T753" s="7">
        <f>N753*O753*(1-Q753)</f>
        <v>8445.2624999999989</v>
      </c>
      <c r="U753" s="7">
        <f t="shared" si="66"/>
        <v>1507.6624999999985</v>
      </c>
      <c r="V753">
        <v>1507.66</v>
      </c>
      <c r="W753" s="12">
        <f t="shared" si="67"/>
        <v>0.17852168597482893</v>
      </c>
      <c r="X753" t="s">
        <v>32</v>
      </c>
      <c r="Y753" t="str">
        <f t="shared" si="68"/>
        <v>Paid</v>
      </c>
      <c r="Z753" t="s">
        <v>33</v>
      </c>
      <c r="AA753">
        <f>C753-B753</f>
        <v>395</v>
      </c>
      <c r="AB753" t="str">
        <f>IF(B753="","Missing Order Date",
IF(C753="","Missing Ship Date","OK"))</f>
        <v>OK</v>
      </c>
      <c r="AC753" s="7" t="str">
        <f>IF(C753&lt;B753, "Invalid", "Valid")</f>
        <v>Valid</v>
      </c>
      <c r="AD753" s="7" t="str">
        <f>IF(COUNTIF($A:$A, A753)&gt;1, "Duplicate", "Unique")</f>
        <v>Unique</v>
      </c>
      <c r="AE753" s="7" t="str">
        <f>IF(G753="","Unknown",G753)</f>
        <v>Unknown</v>
      </c>
      <c r="AF753" s="7" t="str">
        <f>IF(M753="","Unknown",M753)</f>
        <v>Unknown</v>
      </c>
      <c r="AG753" s="7" t="str">
        <f>IF(P753&lt;0,"Invalid",
IF(P753&gt;1,"Invalid","Valid"))</f>
        <v>Valid</v>
      </c>
      <c r="AH753" s="7" t="str">
        <f>TEXT(B753,"mmmm")</f>
        <v>July</v>
      </c>
      <c r="AI753" s="7">
        <f t="shared" si="69"/>
        <v>2025</v>
      </c>
      <c r="AJ753" s="7" t="str">
        <f>IF(OR(R753&lt;0,C753&lt;B753),"Invalid",
IF(OR(G753="Unknown",M753="Unknown"),"Warning","Clean"))</f>
        <v>Clean</v>
      </c>
      <c r="AK753" s="7" t="str">
        <f>IF(C753&lt;B753,"Ship Before Order","OK")</f>
        <v>OK</v>
      </c>
      <c r="AL753" s="7" t="str">
        <f>IF(ISNUMBER(B753),"Valid","Invalid")</f>
        <v>Valid</v>
      </c>
      <c r="AM753" s="7" t="str">
        <f t="shared" si="70"/>
        <v>Missmatched</v>
      </c>
      <c r="AN753" s="7" t="str">
        <f t="shared" si="71"/>
        <v>Missmatched</v>
      </c>
    </row>
    <row r="754" spans="1:40">
      <c r="A754" t="s">
        <v>2333</v>
      </c>
      <c r="B754" s="6">
        <v>45375</v>
      </c>
      <c r="C754" s="4">
        <v>46252</v>
      </c>
      <c r="D754" t="s">
        <v>2334</v>
      </c>
      <c r="E754" t="s">
        <v>89</v>
      </c>
      <c r="F754" t="s">
        <v>90</v>
      </c>
      <c r="G754" t="s">
        <v>63</v>
      </c>
      <c r="H754" t="s">
        <v>180</v>
      </c>
      <c r="I754" t="s">
        <v>181</v>
      </c>
      <c r="J754" t="s">
        <v>28</v>
      </c>
      <c r="K754" t="s">
        <v>124</v>
      </c>
      <c r="L754" t="s">
        <v>2335</v>
      </c>
      <c r="M754" t="s">
        <v>50</v>
      </c>
      <c r="N754">
        <v>5</v>
      </c>
      <c r="O754">
        <v>2465.2199999999998</v>
      </c>
      <c r="P754">
        <v>0.05</v>
      </c>
      <c r="Q754" s="7">
        <f>IF(P754="", 0, P754)</f>
        <v>0.05</v>
      </c>
      <c r="R754">
        <v>11709.79</v>
      </c>
      <c r="S754">
        <v>8372.2900000000009</v>
      </c>
      <c r="T754" s="7">
        <f>N754*O754*(1-Q754)</f>
        <v>11709.794999999998</v>
      </c>
      <c r="U754" s="7">
        <f t="shared" si="66"/>
        <v>3337.5049999999974</v>
      </c>
      <c r="V754">
        <v>3337.5</v>
      </c>
      <c r="W754" s="12">
        <f t="shared" si="67"/>
        <v>0.28501822619439521</v>
      </c>
      <c r="X754" t="s">
        <v>32</v>
      </c>
      <c r="Y754" t="str">
        <f t="shared" si="68"/>
        <v>Paid</v>
      </c>
      <c r="Z754" t="s">
        <v>33</v>
      </c>
      <c r="AA754">
        <f>C754-B754</f>
        <v>877</v>
      </c>
      <c r="AB754" t="str">
        <f>IF(B754="","Missing Order Date",
IF(C754="","Missing Ship Date","OK"))</f>
        <v>OK</v>
      </c>
      <c r="AC754" s="7" t="str">
        <f>IF(C754&lt;B754, "Invalid", "Valid")</f>
        <v>Valid</v>
      </c>
      <c r="AD754" s="7" t="str">
        <f>IF(COUNTIF($A:$A, A754)&gt;1, "Duplicate", "Unique")</f>
        <v>Unique</v>
      </c>
      <c r="AE754" s="7" t="str">
        <f>IF(G754="","Unknown",G754)</f>
        <v>West</v>
      </c>
      <c r="AF754" s="7" t="str">
        <f>IF(M754="","Unknown",M754)</f>
        <v>First Class</v>
      </c>
      <c r="AG754" s="7" t="str">
        <f>IF(P754&lt;0,"Invalid",
IF(P754&gt;1,"Invalid","Valid"))</f>
        <v>Valid</v>
      </c>
      <c r="AH754" s="7" t="str">
        <f>TEXT(B754,"mmmm")</f>
        <v>March</v>
      </c>
      <c r="AI754" s="7">
        <f t="shared" si="69"/>
        <v>2024</v>
      </c>
      <c r="AJ754" s="7" t="str">
        <f>IF(OR(R754&lt;0,C754&lt;B754),"Invalid",
IF(OR(G754="Unknown",M754="Unknown"),"Warning","Clean"))</f>
        <v>Clean</v>
      </c>
      <c r="AK754" s="7" t="str">
        <f>IF(C754&lt;B754,"Ship Before Order","OK")</f>
        <v>OK</v>
      </c>
      <c r="AL754" s="7" t="str">
        <f>IF(ISNUMBER(B754),"Valid","Invalid")</f>
        <v>Valid</v>
      </c>
      <c r="AM754" s="7" t="str">
        <f t="shared" si="70"/>
        <v>Missmatched</v>
      </c>
      <c r="AN754" s="7" t="str">
        <f t="shared" si="71"/>
        <v>Missmatched</v>
      </c>
    </row>
    <row r="755" spans="1:40">
      <c r="A755" t="s">
        <v>2336</v>
      </c>
      <c r="B755" s="6">
        <v>45604</v>
      </c>
      <c r="C755" s="4">
        <v>46253</v>
      </c>
      <c r="D755" t="s">
        <v>2337</v>
      </c>
      <c r="E755" t="s">
        <v>89</v>
      </c>
      <c r="F755" t="s">
        <v>90</v>
      </c>
      <c r="G755" t="s">
        <v>25</v>
      </c>
      <c r="H755" t="s">
        <v>350</v>
      </c>
      <c r="I755" t="s">
        <v>351</v>
      </c>
      <c r="J755" t="s">
        <v>41</v>
      </c>
      <c r="K755" t="s">
        <v>57</v>
      </c>
      <c r="L755" t="s">
        <v>2338</v>
      </c>
      <c r="M755" t="s">
        <v>31</v>
      </c>
      <c r="N755">
        <v>3</v>
      </c>
      <c r="O755">
        <v>1017.22</v>
      </c>
      <c r="P755">
        <v>0.15</v>
      </c>
      <c r="Q755" s="7">
        <f>IF(P755="", 0, P755)</f>
        <v>0.15</v>
      </c>
      <c r="R755">
        <v>2593.91</v>
      </c>
      <c r="S755">
        <v>1848.48</v>
      </c>
      <c r="T755" s="7">
        <f>N755*O755*(1-Q755)</f>
        <v>2593.9109999999996</v>
      </c>
      <c r="U755" s="7">
        <f t="shared" si="66"/>
        <v>745.43099999999959</v>
      </c>
      <c r="V755">
        <v>745.43</v>
      </c>
      <c r="W755" s="12">
        <f t="shared" si="67"/>
        <v>0.28737724617382776</v>
      </c>
      <c r="X755" t="s">
        <v>155</v>
      </c>
      <c r="Y755" t="str">
        <f t="shared" si="68"/>
        <v>Failed</v>
      </c>
      <c r="Z755" t="s">
        <v>103</v>
      </c>
      <c r="AA755">
        <f>C755-B755</f>
        <v>649</v>
      </c>
      <c r="AB755" t="str">
        <f>IF(B755="","Missing Order Date",
IF(C755="","Missing Ship Date","OK"))</f>
        <v>OK</v>
      </c>
      <c r="AC755" s="7" t="str">
        <f>IF(C755&lt;B755, "Invalid", "Valid")</f>
        <v>Valid</v>
      </c>
      <c r="AD755" s="7" t="str">
        <f>IF(COUNTIF($A:$A, A755)&gt;1, "Duplicate", "Unique")</f>
        <v>Unique</v>
      </c>
      <c r="AE755" s="7" t="str">
        <f>IF(G755="","Unknown",G755)</f>
        <v>North</v>
      </c>
      <c r="AF755" s="7" t="str">
        <f>IF(M755="","Unknown",M755)</f>
        <v>Second Class</v>
      </c>
      <c r="AG755" s="7" t="str">
        <f>IF(P755&lt;0,"Invalid",
IF(P755&gt;1,"Invalid","Valid"))</f>
        <v>Valid</v>
      </c>
      <c r="AH755" s="7" t="str">
        <f>TEXT(B755,"mmmm")</f>
        <v>November</v>
      </c>
      <c r="AI755" s="7">
        <f t="shared" si="69"/>
        <v>2024</v>
      </c>
      <c r="AJ755" s="7" t="str">
        <f>IF(OR(R755&lt;0,C755&lt;B755),"Invalid",
IF(OR(G755="Unknown",M755="Unknown"),"Warning","Clean"))</f>
        <v>Clean</v>
      </c>
      <c r="AK755" s="7" t="str">
        <f>IF(C755&lt;B755,"Ship Before Order","OK")</f>
        <v>OK</v>
      </c>
      <c r="AL755" s="7" t="str">
        <f>IF(ISNUMBER(B755),"Valid","Invalid")</f>
        <v>Valid</v>
      </c>
      <c r="AM755" s="7" t="str">
        <f t="shared" si="70"/>
        <v>Missmatched</v>
      </c>
      <c r="AN755" s="7" t="str">
        <f t="shared" si="71"/>
        <v>Missmatched</v>
      </c>
    </row>
    <row r="756" spans="1:40">
      <c r="A756" t="s">
        <v>2339</v>
      </c>
      <c r="B756" s="6">
        <v>45753</v>
      </c>
      <c r="C756" s="4">
        <v>46254</v>
      </c>
      <c r="D756" t="s">
        <v>2340</v>
      </c>
      <c r="E756" t="s">
        <v>79</v>
      </c>
      <c r="F756" t="s">
        <v>90</v>
      </c>
      <c r="G756" t="s">
        <v>54</v>
      </c>
      <c r="H756" t="s">
        <v>185</v>
      </c>
      <c r="I756" t="s">
        <v>186</v>
      </c>
      <c r="J756" t="s">
        <v>28</v>
      </c>
      <c r="K756" t="s">
        <v>124</v>
      </c>
      <c r="L756" t="s">
        <v>2341</v>
      </c>
      <c r="M756" t="s">
        <v>59</v>
      </c>
      <c r="N756">
        <v>4</v>
      </c>
      <c r="O756">
        <v>891.34</v>
      </c>
      <c r="P756">
        <v>0.25</v>
      </c>
      <c r="Q756" s="7">
        <f>IF(P756="", 0, P756)</f>
        <v>0.25</v>
      </c>
      <c r="R756">
        <v>2674.02</v>
      </c>
      <c r="S756">
        <v>2207.5700000000002</v>
      </c>
      <c r="T756" s="7">
        <f>N756*O756*(1-Q756)</f>
        <v>2674.02</v>
      </c>
      <c r="U756" s="7">
        <f t="shared" si="66"/>
        <v>466.44999999999982</v>
      </c>
      <c r="V756">
        <v>466.45</v>
      </c>
      <c r="W756" s="12">
        <f t="shared" si="67"/>
        <v>0.17443773793763689</v>
      </c>
      <c r="X756" t="s">
        <v>32</v>
      </c>
      <c r="Y756" t="str">
        <f t="shared" si="68"/>
        <v>Paid</v>
      </c>
      <c r="Z756" t="s">
        <v>33</v>
      </c>
      <c r="AA756">
        <f>C756-B756</f>
        <v>501</v>
      </c>
      <c r="AB756" t="str">
        <f>IF(B756="","Missing Order Date",
IF(C756="","Missing Ship Date","OK"))</f>
        <v>OK</v>
      </c>
      <c r="AC756" s="7" t="str">
        <f>IF(C756&lt;B756, "Invalid", "Valid")</f>
        <v>Valid</v>
      </c>
      <c r="AD756" s="7" t="str">
        <f>IF(COUNTIF($A:$A, A756)&gt;1, "Duplicate", "Unique")</f>
        <v>Unique</v>
      </c>
      <c r="AE756" s="7" t="str">
        <f>IF(G756="","Unknown",G756)</f>
        <v>South</v>
      </c>
      <c r="AF756" s="7" t="str">
        <f>IF(M756="","Unknown",M756)</f>
        <v>Standard Class</v>
      </c>
      <c r="AG756" s="7" t="str">
        <f>IF(P756&lt;0,"Invalid",
IF(P756&gt;1,"Invalid","Valid"))</f>
        <v>Valid</v>
      </c>
      <c r="AH756" s="7" t="str">
        <f>TEXT(B756,"mmmm")</f>
        <v>April</v>
      </c>
      <c r="AI756" s="7">
        <f t="shared" si="69"/>
        <v>2025</v>
      </c>
      <c r="AJ756" s="7" t="str">
        <f>IF(OR(R756&lt;0,C756&lt;B756),"Invalid",
IF(OR(G756="Unknown",M756="Unknown"),"Warning","Clean"))</f>
        <v>Clean</v>
      </c>
      <c r="AK756" s="7" t="str">
        <f>IF(C756&lt;B756,"Ship Before Order","OK")</f>
        <v>OK</v>
      </c>
      <c r="AL756" s="7" t="str">
        <f>IF(ISNUMBER(B756),"Valid","Invalid")</f>
        <v>Valid</v>
      </c>
      <c r="AM756" s="7" t="str">
        <f t="shared" si="70"/>
        <v>Ok</v>
      </c>
      <c r="AN756" s="7" t="str">
        <f t="shared" si="71"/>
        <v>Ok</v>
      </c>
    </row>
    <row r="757" spans="1:40">
      <c r="A757" t="s">
        <v>2342</v>
      </c>
      <c r="B757" s="6">
        <v>45858</v>
      </c>
      <c r="C757" s="4">
        <v>46255</v>
      </c>
      <c r="D757" t="s">
        <v>2343</v>
      </c>
      <c r="E757" t="s">
        <v>114</v>
      </c>
      <c r="F757" t="s">
        <v>95</v>
      </c>
      <c r="G757" t="s">
        <v>63</v>
      </c>
      <c r="H757" t="s">
        <v>72</v>
      </c>
      <c r="I757" t="s">
        <v>73</v>
      </c>
      <c r="J757" t="s">
        <v>28</v>
      </c>
      <c r="K757" t="s">
        <v>124</v>
      </c>
      <c r="L757" t="s">
        <v>2344</v>
      </c>
      <c r="M757" t="s">
        <v>31</v>
      </c>
      <c r="N757">
        <v>5</v>
      </c>
      <c r="O757">
        <v>2481.7399999999998</v>
      </c>
      <c r="P757">
        <v>0.2</v>
      </c>
      <c r="Q757" s="7">
        <f>IF(P757="", 0, P757)</f>
        <v>0.2</v>
      </c>
      <c r="R757">
        <v>9926.9599999999991</v>
      </c>
      <c r="S757">
        <v>7994.98</v>
      </c>
      <c r="T757" s="7">
        <f>N757*O757*(1-Q757)</f>
        <v>9926.9599999999991</v>
      </c>
      <c r="U757" s="7">
        <f t="shared" si="66"/>
        <v>1931.9799999999996</v>
      </c>
      <c r="V757">
        <v>1931.98</v>
      </c>
      <c r="W757" s="12">
        <f t="shared" si="67"/>
        <v>0.19461950083409219</v>
      </c>
      <c r="X757" t="s">
        <v>32</v>
      </c>
      <c r="Y757" t="str">
        <f t="shared" si="68"/>
        <v>Paid</v>
      </c>
      <c r="Z757" t="s">
        <v>33</v>
      </c>
      <c r="AA757">
        <f>C757-B757</f>
        <v>397</v>
      </c>
      <c r="AB757" t="str">
        <f>IF(B757="","Missing Order Date",
IF(C757="","Missing Ship Date","OK"))</f>
        <v>OK</v>
      </c>
      <c r="AC757" s="7" t="str">
        <f>IF(C757&lt;B757, "Invalid", "Valid")</f>
        <v>Valid</v>
      </c>
      <c r="AD757" s="7" t="str">
        <f>IF(COUNTIF($A:$A, A757)&gt;1, "Duplicate", "Unique")</f>
        <v>Unique</v>
      </c>
      <c r="AE757" s="7" t="str">
        <f>IF(G757="","Unknown",G757)</f>
        <v>West</v>
      </c>
      <c r="AF757" s="7" t="str">
        <f>IF(M757="","Unknown",M757)</f>
        <v>Second Class</v>
      </c>
      <c r="AG757" s="7" t="str">
        <f>IF(P757&lt;0,"Invalid",
IF(P757&gt;1,"Invalid","Valid"))</f>
        <v>Valid</v>
      </c>
      <c r="AH757" s="7" t="str">
        <f>TEXT(B757,"mmmm")</f>
        <v>July</v>
      </c>
      <c r="AI757" s="7">
        <f t="shared" si="69"/>
        <v>2025</v>
      </c>
      <c r="AJ757" s="7" t="str">
        <f>IF(OR(R757&lt;0,C757&lt;B757),"Invalid",
IF(OR(G757="Unknown",M757="Unknown"),"Warning","Clean"))</f>
        <v>Clean</v>
      </c>
      <c r="AK757" s="7" t="str">
        <f>IF(C757&lt;B757,"Ship Before Order","OK")</f>
        <v>OK</v>
      </c>
      <c r="AL757" s="7" t="str">
        <f>IF(ISNUMBER(B757),"Valid","Invalid")</f>
        <v>Valid</v>
      </c>
      <c r="AM757" s="7" t="str">
        <f t="shared" si="70"/>
        <v>Ok</v>
      </c>
      <c r="AN757" s="7" t="str">
        <f t="shared" si="71"/>
        <v>Ok</v>
      </c>
    </row>
    <row r="758" spans="1:40">
      <c r="A758" t="s">
        <v>2345</v>
      </c>
      <c r="B758" s="6">
        <v>45592</v>
      </c>
      <c r="C758" s="4">
        <v>46256</v>
      </c>
      <c r="D758" t="s">
        <v>2346</v>
      </c>
      <c r="E758" t="s">
        <v>141</v>
      </c>
      <c r="F758" t="s">
        <v>24</v>
      </c>
      <c r="G758" t="s">
        <v>25</v>
      </c>
      <c r="H758" t="s">
        <v>26</v>
      </c>
      <c r="I758" t="s">
        <v>27</v>
      </c>
      <c r="J758" t="s">
        <v>74</v>
      </c>
      <c r="K758" t="s">
        <v>75</v>
      </c>
      <c r="L758" t="s">
        <v>2347</v>
      </c>
      <c r="M758" t="s">
        <v>44</v>
      </c>
      <c r="N758">
        <v>7</v>
      </c>
      <c r="O758">
        <v>2177.1</v>
      </c>
      <c r="P758">
        <v>0.2</v>
      </c>
      <c r="Q758" s="7">
        <f>IF(P758="", 0, P758)</f>
        <v>0.2</v>
      </c>
      <c r="R758">
        <v>12191.76</v>
      </c>
      <c r="S758">
        <v>10457.49</v>
      </c>
      <c r="T758" s="7">
        <f>N758*O758*(1-Q758)</f>
        <v>12191.76</v>
      </c>
      <c r="U758" s="7">
        <f t="shared" si="66"/>
        <v>1734.2700000000004</v>
      </c>
      <c r="V758">
        <v>1734.27</v>
      </c>
      <c r="W758" s="12">
        <f t="shared" si="67"/>
        <v>0.14224935530226976</v>
      </c>
      <c r="X758" t="s">
        <v>32</v>
      </c>
      <c r="Y758" t="str">
        <f t="shared" si="68"/>
        <v>Paid</v>
      </c>
      <c r="Z758" t="s">
        <v>103</v>
      </c>
      <c r="AA758">
        <f>C758-B758</f>
        <v>664</v>
      </c>
      <c r="AB758" t="str">
        <f>IF(B758="","Missing Order Date",
IF(C758="","Missing Ship Date","OK"))</f>
        <v>OK</v>
      </c>
      <c r="AC758" s="7" t="str">
        <f>IF(C758&lt;B758, "Invalid", "Valid")</f>
        <v>Valid</v>
      </c>
      <c r="AD758" s="7" t="str">
        <f>IF(COUNTIF($A:$A, A758)&gt;1, "Duplicate", "Unique")</f>
        <v>Unique</v>
      </c>
      <c r="AE758" s="7" t="str">
        <f>IF(G758="","Unknown",G758)</f>
        <v>North</v>
      </c>
      <c r="AF758" s="7" t="str">
        <f>IF(M758="","Unknown",M758)</f>
        <v>Same Day</v>
      </c>
      <c r="AG758" s="7" t="str">
        <f>IF(P758&lt;0,"Invalid",
IF(P758&gt;1,"Invalid","Valid"))</f>
        <v>Valid</v>
      </c>
      <c r="AH758" s="7" t="str">
        <f>TEXT(B758,"mmmm")</f>
        <v>October</v>
      </c>
      <c r="AI758" s="7">
        <f t="shared" si="69"/>
        <v>2024</v>
      </c>
      <c r="AJ758" s="7" t="str">
        <f>IF(OR(R758&lt;0,C758&lt;B758),"Invalid",
IF(OR(G758="Unknown",M758="Unknown"),"Warning","Clean"))</f>
        <v>Clean</v>
      </c>
      <c r="AK758" s="7" t="str">
        <f>IF(C758&lt;B758,"Ship Before Order","OK")</f>
        <v>OK</v>
      </c>
      <c r="AL758" s="7" t="str">
        <f>IF(ISNUMBER(B758),"Valid","Invalid")</f>
        <v>Valid</v>
      </c>
      <c r="AM758" s="7" t="str">
        <f t="shared" si="70"/>
        <v>Ok</v>
      </c>
      <c r="AN758" s="7" t="str">
        <f t="shared" si="71"/>
        <v>Ok</v>
      </c>
    </row>
    <row r="759" spans="1:40">
      <c r="A759" t="s">
        <v>2348</v>
      </c>
      <c r="B759" s="6">
        <v>45665</v>
      </c>
      <c r="C759" s="4">
        <v>46257</v>
      </c>
      <c r="D759" t="s">
        <v>2349</v>
      </c>
      <c r="E759" t="s">
        <v>89</v>
      </c>
      <c r="F759" t="s">
        <v>37</v>
      </c>
      <c r="G759" t="s">
        <v>54</v>
      </c>
      <c r="H759" t="s">
        <v>185</v>
      </c>
      <c r="I759" t="s">
        <v>186</v>
      </c>
      <c r="J759" t="s">
        <v>41</v>
      </c>
      <c r="K759" t="s">
        <v>158</v>
      </c>
      <c r="L759" t="s">
        <v>2350</v>
      </c>
      <c r="M759" t="s">
        <v>59</v>
      </c>
      <c r="N759">
        <v>3</v>
      </c>
      <c r="O759">
        <v>1904.78</v>
      </c>
      <c r="P759">
        <v>0.25</v>
      </c>
      <c r="Q759" s="7">
        <f>IF(P759="", 0, P759)</f>
        <v>0.25</v>
      </c>
      <c r="R759">
        <v>4285.76</v>
      </c>
      <c r="S759">
        <v>2386.33</v>
      </c>
      <c r="T759" s="7">
        <f>N759*O759*(1-Q759)</f>
        <v>4285.7550000000001</v>
      </c>
      <c r="U759" s="7">
        <f t="shared" si="66"/>
        <v>1899.4250000000002</v>
      </c>
      <c r="V759">
        <v>1899.43</v>
      </c>
      <c r="W759" s="12">
        <f t="shared" si="67"/>
        <v>0.44319495631458172</v>
      </c>
      <c r="X759" t="s">
        <v>155</v>
      </c>
      <c r="Y759" t="str">
        <f t="shared" si="68"/>
        <v>Failed</v>
      </c>
      <c r="Z759" t="s">
        <v>68</v>
      </c>
      <c r="AA759">
        <f>C759-B759</f>
        <v>592</v>
      </c>
      <c r="AB759" t="str">
        <f>IF(B759="","Missing Order Date",
IF(C759="","Missing Ship Date","OK"))</f>
        <v>OK</v>
      </c>
      <c r="AC759" s="7" t="str">
        <f>IF(C759&lt;B759, "Invalid", "Valid")</f>
        <v>Valid</v>
      </c>
      <c r="AD759" s="7" t="str">
        <f>IF(COUNTIF($A:$A, A759)&gt;1, "Duplicate", "Unique")</f>
        <v>Unique</v>
      </c>
      <c r="AE759" s="7" t="str">
        <f>IF(G759="","Unknown",G759)</f>
        <v>South</v>
      </c>
      <c r="AF759" s="7" t="str">
        <f>IF(M759="","Unknown",M759)</f>
        <v>Standard Class</v>
      </c>
      <c r="AG759" s="7" t="str">
        <f>IF(P759&lt;0,"Invalid",
IF(P759&gt;1,"Invalid","Valid"))</f>
        <v>Valid</v>
      </c>
      <c r="AH759" s="7" t="str">
        <f>TEXT(B759,"mmmm")</f>
        <v>January</v>
      </c>
      <c r="AI759" s="7">
        <f t="shared" si="69"/>
        <v>2025</v>
      </c>
      <c r="AJ759" s="7" t="str">
        <f>IF(OR(R759&lt;0,C759&lt;B759),"Invalid",
IF(OR(G759="Unknown",M759="Unknown"),"Warning","Clean"))</f>
        <v>Clean</v>
      </c>
      <c r="AK759" s="7" t="str">
        <f>IF(C759&lt;B759,"Ship Before Order","OK")</f>
        <v>OK</v>
      </c>
      <c r="AL759" s="7" t="str">
        <f>IF(ISNUMBER(B759),"Valid","Invalid")</f>
        <v>Valid</v>
      </c>
      <c r="AM759" s="7" t="str">
        <f t="shared" si="70"/>
        <v>Missmatched</v>
      </c>
      <c r="AN759" s="7" t="str">
        <f t="shared" si="71"/>
        <v>Missmatched</v>
      </c>
    </row>
    <row r="760" spans="1:40">
      <c r="A760" t="s">
        <v>2351</v>
      </c>
      <c r="B760" s="6">
        <v>45327</v>
      </c>
      <c r="C760" s="4">
        <v>46258</v>
      </c>
      <c r="D760" t="s">
        <v>2352</v>
      </c>
      <c r="E760" t="s">
        <v>128</v>
      </c>
      <c r="F760" t="s">
        <v>37</v>
      </c>
      <c r="G760" t="s">
        <v>54</v>
      </c>
      <c r="H760" t="s">
        <v>175</v>
      </c>
      <c r="I760" t="s">
        <v>176</v>
      </c>
      <c r="J760" t="s">
        <v>41</v>
      </c>
      <c r="K760" t="s">
        <v>66</v>
      </c>
      <c r="L760" t="s">
        <v>2353</v>
      </c>
      <c r="M760" t="s">
        <v>59</v>
      </c>
      <c r="N760">
        <v>1</v>
      </c>
      <c r="O760">
        <v>4166.91</v>
      </c>
      <c r="P760">
        <v>0</v>
      </c>
      <c r="Q760" s="7">
        <f>IF(P760="", 0, P760)</f>
        <v>0</v>
      </c>
      <c r="R760">
        <v>4166.91</v>
      </c>
      <c r="S760">
        <v>3412.63</v>
      </c>
      <c r="T760" s="7">
        <f>N760*O760*(1-Q760)</f>
        <v>4166.91</v>
      </c>
      <c r="U760" s="7">
        <f t="shared" si="66"/>
        <v>754.27999999999975</v>
      </c>
      <c r="V760">
        <v>754.28</v>
      </c>
      <c r="W760" s="12">
        <f t="shared" si="67"/>
        <v>0.18101662862888801</v>
      </c>
      <c r="X760" t="s">
        <v>32</v>
      </c>
      <c r="Y760" t="str">
        <f t="shared" si="68"/>
        <v>Paid</v>
      </c>
      <c r="Z760" t="s">
        <v>33</v>
      </c>
      <c r="AA760">
        <f>C760-B760</f>
        <v>931</v>
      </c>
      <c r="AB760" t="str">
        <f>IF(B760="","Missing Order Date",
IF(C760="","Missing Ship Date","OK"))</f>
        <v>OK</v>
      </c>
      <c r="AC760" s="7" t="str">
        <f>IF(C760&lt;B760, "Invalid", "Valid")</f>
        <v>Valid</v>
      </c>
      <c r="AD760" s="7" t="str">
        <f>IF(COUNTIF($A:$A, A760)&gt;1, "Duplicate", "Unique")</f>
        <v>Unique</v>
      </c>
      <c r="AE760" s="7" t="str">
        <f>IF(G760="","Unknown",G760)</f>
        <v>South</v>
      </c>
      <c r="AF760" s="7" t="str">
        <f>IF(M760="","Unknown",M760)</f>
        <v>Standard Class</v>
      </c>
      <c r="AG760" s="7" t="str">
        <f>IF(P760&lt;0,"Invalid",
IF(P760&gt;1,"Invalid","Valid"))</f>
        <v>Valid</v>
      </c>
      <c r="AH760" s="7" t="str">
        <f>TEXT(B760,"mmmm")</f>
        <v>February</v>
      </c>
      <c r="AI760" s="7">
        <f t="shared" si="69"/>
        <v>2024</v>
      </c>
      <c r="AJ760" s="7" t="str">
        <f>IF(OR(R760&lt;0,C760&lt;B760),"Invalid",
IF(OR(G760="Unknown",M760="Unknown"),"Warning","Clean"))</f>
        <v>Clean</v>
      </c>
      <c r="AK760" s="7" t="str">
        <f>IF(C760&lt;B760,"Ship Before Order","OK")</f>
        <v>OK</v>
      </c>
      <c r="AL760" s="7" t="str">
        <f>IF(ISNUMBER(B760),"Valid","Invalid")</f>
        <v>Valid</v>
      </c>
      <c r="AM760" s="7" t="str">
        <f t="shared" si="70"/>
        <v>Ok</v>
      </c>
      <c r="AN760" s="7" t="str">
        <f t="shared" si="71"/>
        <v>Ok</v>
      </c>
    </row>
    <row r="761" spans="1:40">
      <c r="A761" t="s">
        <v>2354</v>
      </c>
      <c r="B761" s="6">
        <v>45492</v>
      </c>
      <c r="C761" s="4">
        <v>46259</v>
      </c>
      <c r="D761" t="s">
        <v>2355</v>
      </c>
      <c r="E761" t="s">
        <v>53</v>
      </c>
      <c r="F761" t="s">
        <v>95</v>
      </c>
      <c r="G761" t="s">
        <v>54</v>
      </c>
      <c r="H761" t="s">
        <v>175</v>
      </c>
      <c r="I761" t="s">
        <v>176</v>
      </c>
      <c r="J761" t="s">
        <v>41</v>
      </c>
      <c r="K761" t="s">
        <v>42</v>
      </c>
      <c r="L761" t="s">
        <v>2356</v>
      </c>
      <c r="M761" t="s">
        <v>31</v>
      </c>
      <c r="N761">
        <v>5</v>
      </c>
      <c r="O761">
        <v>3986.01</v>
      </c>
      <c r="P761">
        <v>0.25</v>
      </c>
      <c r="Q761" s="7">
        <f>IF(P761="", 0, P761)</f>
        <v>0.25</v>
      </c>
      <c r="R761">
        <v>14947.54</v>
      </c>
      <c r="S761">
        <v>9438.4599999999991</v>
      </c>
      <c r="T761" s="7">
        <f>N761*O761*(1-Q761)</f>
        <v>14947.537500000002</v>
      </c>
      <c r="U761" s="7">
        <f t="shared" si="66"/>
        <v>5509.0775000000031</v>
      </c>
      <c r="V761">
        <v>5509.08</v>
      </c>
      <c r="W761" s="12">
        <f t="shared" si="67"/>
        <v>0.36856087499362367</v>
      </c>
      <c r="X761" t="s">
        <v>32</v>
      </c>
      <c r="Y761" t="str">
        <f t="shared" si="68"/>
        <v>Paid</v>
      </c>
      <c r="Z761" t="s">
        <v>33</v>
      </c>
      <c r="AA761">
        <f>C761-B761</f>
        <v>767</v>
      </c>
      <c r="AB761" t="str">
        <f>IF(B761="","Missing Order Date",
IF(C761="","Missing Ship Date","OK"))</f>
        <v>OK</v>
      </c>
      <c r="AC761" s="7" t="str">
        <f>IF(C761&lt;B761, "Invalid", "Valid")</f>
        <v>Valid</v>
      </c>
      <c r="AD761" s="7" t="str">
        <f>IF(COUNTIF($A:$A, A761)&gt;1, "Duplicate", "Unique")</f>
        <v>Unique</v>
      </c>
      <c r="AE761" s="7" t="str">
        <f>IF(G761="","Unknown",G761)</f>
        <v>South</v>
      </c>
      <c r="AF761" s="7" t="str">
        <f>IF(M761="","Unknown",M761)</f>
        <v>Second Class</v>
      </c>
      <c r="AG761" s="7" t="str">
        <f>IF(P761&lt;0,"Invalid",
IF(P761&gt;1,"Invalid","Valid"))</f>
        <v>Valid</v>
      </c>
      <c r="AH761" s="7" t="str">
        <f>TEXT(B761,"mmmm")</f>
        <v>July</v>
      </c>
      <c r="AI761" s="7">
        <f t="shared" si="69"/>
        <v>2024</v>
      </c>
      <c r="AJ761" s="7" t="str">
        <f>IF(OR(R761&lt;0,C761&lt;B761),"Invalid",
IF(OR(G761="Unknown",M761="Unknown"),"Warning","Clean"))</f>
        <v>Clean</v>
      </c>
      <c r="AK761" s="7" t="str">
        <f>IF(C761&lt;B761,"Ship Before Order","OK")</f>
        <v>OK</v>
      </c>
      <c r="AL761" s="7" t="str">
        <f>IF(ISNUMBER(B761),"Valid","Invalid")</f>
        <v>Valid</v>
      </c>
      <c r="AM761" s="7" t="str">
        <f t="shared" si="70"/>
        <v>Missmatched</v>
      </c>
      <c r="AN761" s="7" t="str">
        <f t="shared" si="71"/>
        <v>Missmatched</v>
      </c>
    </row>
    <row r="762" spans="1:40">
      <c r="A762" t="s">
        <v>2357</v>
      </c>
      <c r="B762" s="6">
        <v>45532</v>
      </c>
      <c r="C762" s="4">
        <v>46260</v>
      </c>
      <c r="D762" t="s">
        <v>2358</v>
      </c>
      <c r="E762" t="s">
        <v>89</v>
      </c>
      <c r="F762" t="s">
        <v>95</v>
      </c>
      <c r="G762" t="s">
        <v>38</v>
      </c>
      <c r="H762" t="s">
        <v>166</v>
      </c>
      <c r="I762" t="s">
        <v>167</v>
      </c>
      <c r="J762" t="s">
        <v>28</v>
      </c>
      <c r="K762" t="s">
        <v>48</v>
      </c>
      <c r="L762" t="s">
        <v>2359</v>
      </c>
      <c r="M762" t="s">
        <v>31</v>
      </c>
      <c r="N762">
        <v>4</v>
      </c>
      <c r="O762">
        <v>3365.53</v>
      </c>
      <c r="P762">
        <v>0</v>
      </c>
      <c r="Q762" s="7">
        <f>IF(P762="", 0, P762)</f>
        <v>0</v>
      </c>
      <c r="R762">
        <v>13462.12</v>
      </c>
      <c r="S762">
        <v>7600.63</v>
      </c>
      <c r="T762" s="7">
        <f>N762*O762*(1-Q762)</f>
        <v>13462.12</v>
      </c>
      <c r="U762" s="7">
        <f t="shared" si="66"/>
        <v>5861.4900000000007</v>
      </c>
      <c r="V762">
        <v>5861.49</v>
      </c>
      <c r="W762" s="12">
        <f t="shared" si="67"/>
        <v>0.43540616188237813</v>
      </c>
      <c r="X762" t="s">
        <v>111</v>
      </c>
      <c r="Y762" t="str">
        <f t="shared" si="68"/>
        <v>Pending</v>
      </c>
      <c r="Z762" t="s">
        <v>103</v>
      </c>
      <c r="AA762">
        <f>C762-B762</f>
        <v>728</v>
      </c>
      <c r="AB762" t="str">
        <f>IF(B762="","Missing Order Date",
IF(C762="","Missing Ship Date","OK"))</f>
        <v>OK</v>
      </c>
      <c r="AC762" s="7" t="str">
        <f>IF(C762&lt;B762, "Invalid", "Valid")</f>
        <v>Valid</v>
      </c>
      <c r="AD762" s="7" t="str">
        <f>IF(COUNTIF($A:$A, A762)&gt;1, "Duplicate", "Unique")</f>
        <v>Unique</v>
      </c>
      <c r="AE762" s="7" t="str">
        <f>IF(G762="","Unknown",G762)</f>
        <v>East</v>
      </c>
      <c r="AF762" s="7" t="str">
        <f>IF(M762="","Unknown",M762)</f>
        <v>Second Class</v>
      </c>
      <c r="AG762" s="7" t="str">
        <f>IF(P762&lt;0,"Invalid",
IF(P762&gt;1,"Invalid","Valid"))</f>
        <v>Valid</v>
      </c>
      <c r="AH762" s="7" t="str">
        <f>TEXT(B762,"mmmm")</f>
        <v>August</v>
      </c>
      <c r="AI762" s="7">
        <f t="shared" si="69"/>
        <v>2024</v>
      </c>
      <c r="AJ762" s="7" t="str">
        <f>IF(OR(R762&lt;0,C762&lt;B762),"Invalid",
IF(OR(G762="Unknown",M762="Unknown"),"Warning","Clean"))</f>
        <v>Clean</v>
      </c>
      <c r="AK762" s="7" t="str">
        <f>IF(C762&lt;B762,"Ship Before Order","OK")</f>
        <v>OK</v>
      </c>
      <c r="AL762" s="7" t="str">
        <f>IF(ISNUMBER(B762),"Valid","Invalid")</f>
        <v>Valid</v>
      </c>
      <c r="AM762" s="7" t="str">
        <f t="shared" si="70"/>
        <v>Ok</v>
      </c>
      <c r="AN762" s="7" t="str">
        <f t="shared" si="71"/>
        <v>Ok</v>
      </c>
    </row>
    <row r="763" spans="1:40">
      <c r="A763" t="s">
        <v>2360</v>
      </c>
      <c r="B763" s="6">
        <v>45896</v>
      </c>
      <c r="C763" s="4">
        <v>46261</v>
      </c>
      <c r="D763" t="s">
        <v>2361</v>
      </c>
      <c r="E763" t="s">
        <v>47</v>
      </c>
      <c r="F763" t="s">
        <v>24</v>
      </c>
      <c r="G763" t="s">
        <v>54</v>
      </c>
      <c r="H763" t="s">
        <v>175</v>
      </c>
      <c r="I763" t="s">
        <v>176</v>
      </c>
      <c r="J763" t="s">
        <v>74</v>
      </c>
      <c r="K763" t="s">
        <v>274</v>
      </c>
      <c r="L763" t="s">
        <v>2362</v>
      </c>
      <c r="M763" t="s">
        <v>50</v>
      </c>
      <c r="N763">
        <v>3</v>
      </c>
      <c r="O763">
        <v>2489.12</v>
      </c>
      <c r="P763">
        <v>0</v>
      </c>
      <c r="Q763" s="7">
        <f>IF(P763="", 0, P763)</f>
        <v>0</v>
      </c>
      <c r="R763">
        <v>7467.36</v>
      </c>
      <c r="S763">
        <v>5010.6099999999997</v>
      </c>
      <c r="T763" s="7">
        <f>N763*O763*(1-Q763)</f>
        <v>7467.36</v>
      </c>
      <c r="U763" s="7">
        <f t="shared" si="66"/>
        <v>2456.75</v>
      </c>
      <c r="V763">
        <v>2456.75</v>
      </c>
      <c r="W763" s="12">
        <f t="shared" si="67"/>
        <v>0.32899846799940008</v>
      </c>
      <c r="X763" t="s">
        <v>32</v>
      </c>
      <c r="Y763" t="str">
        <f t="shared" si="68"/>
        <v>Paid</v>
      </c>
      <c r="Z763" t="s">
        <v>33</v>
      </c>
      <c r="AA763">
        <f>C763-B763</f>
        <v>365</v>
      </c>
      <c r="AB763" t="str">
        <f>IF(B763="","Missing Order Date",
IF(C763="","Missing Ship Date","OK"))</f>
        <v>OK</v>
      </c>
      <c r="AC763" s="7" t="str">
        <f>IF(C763&lt;B763, "Invalid", "Valid")</f>
        <v>Valid</v>
      </c>
      <c r="AD763" s="7" t="str">
        <f>IF(COUNTIF($A:$A, A763)&gt;1, "Duplicate", "Unique")</f>
        <v>Unique</v>
      </c>
      <c r="AE763" s="7" t="str">
        <f>IF(G763="","Unknown",G763)</f>
        <v>South</v>
      </c>
      <c r="AF763" s="7" t="str">
        <f>IF(M763="","Unknown",M763)</f>
        <v>First Class</v>
      </c>
      <c r="AG763" s="7" t="str">
        <f>IF(P763&lt;0,"Invalid",
IF(P763&gt;1,"Invalid","Valid"))</f>
        <v>Valid</v>
      </c>
      <c r="AH763" s="7" t="str">
        <f>TEXT(B763,"mmmm")</f>
        <v>August</v>
      </c>
      <c r="AI763" s="7">
        <f t="shared" si="69"/>
        <v>2025</v>
      </c>
      <c r="AJ763" s="7" t="str">
        <f>IF(OR(R763&lt;0,C763&lt;B763),"Invalid",
IF(OR(G763="Unknown",M763="Unknown"),"Warning","Clean"))</f>
        <v>Clean</v>
      </c>
      <c r="AK763" s="7" t="str">
        <f>IF(C763&lt;B763,"Ship Before Order","OK")</f>
        <v>OK</v>
      </c>
      <c r="AL763" s="7" t="str">
        <f>IF(ISNUMBER(B763),"Valid","Invalid")</f>
        <v>Valid</v>
      </c>
      <c r="AM763" s="7" t="str">
        <f t="shared" si="70"/>
        <v>Ok</v>
      </c>
      <c r="AN763" s="7" t="str">
        <f t="shared" si="71"/>
        <v>Ok</v>
      </c>
    </row>
    <row r="764" spans="1:40">
      <c r="A764" t="s">
        <v>2363</v>
      </c>
      <c r="B764" s="6">
        <v>45292</v>
      </c>
      <c r="C764" s="4">
        <v>46262</v>
      </c>
      <c r="D764" t="s">
        <v>2364</v>
      </c>
      <c r="E764" t="s">
        <v>162</v>
      </c>
      <c r="F764" t="s">
        <v>90</v>
      </c>
      <c r="G764" t="s">
        <v>63</v>
      </c>
      <c r="H764" t="s">
        <v>72</v>
      </c>
      <c r="I764" t="s">
        <v>73</v>
      </c>
      <c r="J764" t="s">
        <v>74</v>
      </c>
      <c r="K764" t="s">
        <v>274</v>
      </c>
      <c r="L764" t="s">
        <v>2365</v>
      </c>
      <c r="M764" t="s">
        <v>31</v>
      </c>
      <c r="N764">
        <v>2</v>
      </c>
      <c r="O764">
        <v>3694.12</v>
      </c>
      <c r="P764">
        <v>0.2</v>
      </c>
      <c r="Q764" s="7">
        <f>IF(P764="", 0, P764)</f>
        <v>0.2</v>
      </c>
      <c r="R764">
        <v>5910.59</v>
      </c>
      <c r="S764">
        <v>4775.4399999999996</v>
      </c>
      <c r="T764" s="7">
        <f>N764*O764*(1-Q764)</f>
        <v>5910.5920000000006</v>
      </c>
      <c r="U764" s="7">
        <f t="shared" si="66"/>
        <v>1135.152000000001</v>
      </c>
      <c r="V764">
        <v>1135.1500000000001</v>
      </c>
      <c r="W764" s="12">
        <f t="shared" si="67"/>
        <v>0.19205385856442145</v>
      </c>
      <c r="X764" t="s">
        <v>102</v>
      </c>
      <c r="Y764" t="str">
        <f t="shared" si="68"/>
        <v>Refunded</v>
      </c>
      <c r="Z764" t="s">
        <v>103</v>
      </c>
      <c r="AA764">
        <f>C764-B764</f>
        <v>970</v>
      </c>
      <c r="AB764" t="str">
        <f>IF(B764="","Missing Order Date",
IF(C764="","Missing Ship Date","OK"))</f>
        <v>OK</v>
      </c>
      <c r="AC764" s="7" t="str">
        <f>IF(C764&lt;B764, "Invalid", "Valid")</f>
        <v>Valid</v>
      </c>
      <c r="AD764" s="7" t="str">
        <f>IF(COUNTIF($A:$A, A764)&gt;1, "Duplicate", "Unique")</f>
        <v>Unique</v>
      </c>
      <c r="AE764" s="7" t="str">
        <f>IF(G764="","Unknown",G764)</f>
        <v>West</v>
      </c>
      <c r="AF764" s="7" t="str">
        <f>IF(M764="","Unknown",M764)</f>
        <v>Second Class</v>
      </c>
      <c r="AG764" s="7" t="str">
        <f>IF(P764&lt;0,"Invalid",
IF(P764&gt;1,"Invalid","Valid"))</f>
        <v>Valid</v>
      </c>
      <c r="AH764" s="7" t="str">
        <f>TEXT(B764,"mmmm")</f>
        <v>January</v>
      </c>
      <c r="AI764" s="7">
        <f t="shared" si="69"/>
        <v>2024</v>
      </c>
      <c r="AJ764" s="7" t="str">
        <f>IF(OR(R764&lt;0,C764&lt;B764),"Invalid",
IF(OR(G764="Unknown",M764="Unknown"),"Warning","Clean"))</f>
        <v>Clean</v>
      </c>
      <c r="AK764" s="7" t="str">
        <f>IF(C764&lt;B764,"Ship Before Order","OK")</f>
        <v>OK</v>
      </c>
      <c r="AL764" s="7" t="str">
        <f>IF(ISNUMBER(B764),"Valid","Invalid")</f>
        <v>Valid</v>
      </c>
      <c r="AM764" s="7" t="str">
        <f t="shared" si="70"/>
        <v>Missmatched</v>
      </c>
      <c r="AN764" s="7" t="str">
        <f t="shared" si="71"/>
        <v>Missmatched</v>
      </c>
    </row>
    <row r="765" spans="1:40">
      <c r="A765" t="s">
        <v>2366</v>
      </c>
      <c r="B765" s="6">
        <v>45892</v>
      </c>
      <c r="C765" s="4">
        <v>46263</v>
      </c>
      <c r="D765" t="s">
        <v>2367</v>
      </c>
      <c r="E765" t="s">
        <v>162</v>
      </c>
      <c r="F765" t="s">
        <v>24</v>
      </c>
      <c r="G765" t="s">
        <v>25</v>
      </c>
      <c r="H765" t="s">
        <v>26</v>
      </c>
      <c r="I765" t="s">
        <v>27</v>
      </c>
      <c r="J765" t="s">
        <v>41</v>
      </c>
      <c r="K765" t="s">
        <v>57</v>
      </c>
      <c r="L765" t="s">
        <v>2368</v>
      </c>
      <c r="M765" t="s">
        <v>44</v>
      </c>
      <c r="N765">
        <v>6</v>
      </c>
      <c r="O765">
        <v>2742.48</v>
      </c>
      <c r="P765">
        <v>0</v>
      </c>
      <c r="Q765" s="7">
        <f>IF(P765="", 0, P765)</f>
        <v>0</v>
      </c>
      <c r="R765">
        <v>16454.88</v>
      </c>
      <c r="S765">
        <v>12081.54</v>
      </c>
      <c r="T765" s="7">
        <f>N765*O765*(1-Q765)</f>
        <v>16454.88</v>
      </c>
      <c r="U765" s="7">
        <f t="shared" si="66"/>
        <v>4373.34</v>
      </c>
      <c r="V765">
        <v>4373.34</v>
      </c>
      <c r="W765" s="12">
        <f t="shared" si="67"/>
        <v>0.26577769026574488</v>
      </c>
      <c r="X765" t="s">
        <v>32</v>
      </c>
      <c r="Y765" t="str">
        <f t="shared" si="68"/>
        <v>Paid</v>
      </c>
      <c r="Z765" t="s">
        <v>33</v>
      </c>
      <c r="AA765">
        <f>C765-B765</f>
        <v>371</v>
      </c>
      <c r="AB765" t="str">
        <f>IF(B765="","Missing Order Date",
IF(C765="","Missing Ship Date","OK"))</f>
        <v>OK</v>
      </c>
      <c r="AC765" s="7" t="str">
        <f>IF(C765&lt;B765, "Invalid", "Valid")</f>
        <v>Valid</v>
      </c>
      <c r="AD765" s="7" t="str">
        <f>IF(COUNTIF($A:$A, A765)&gt;1, "Duplicate", "Unique")</f>
        <v>Unique</v>
      </c>
      <c r="AE765" s="7" t="str">
        <f>IF(G765="","Unknown",G765)</f>
        <v>North</v>
      </c>
      <c r="AF765" s="7" t="str">
        <f>IF(M765="","Unknown",M765)</f>
        <v>Same Day</v>
      </c>
      <c r="AG765" s="7" t="str">
        <f>IF(P765&lt;0,"Invalid",
IF(P765&gt;1,"Invalid","Valid"))</f>
        <v>Valid</v>
      </c>
      <c r="AH765" s="7" t="str">
        <f>TEXT(B765,"mmmm")</f>
        <v>August</v>
      </c>
      <c r="AI765" s="7">
        <f t="shared" si="69"/>
        <v>2025</v>
      </c>
      <c r="AJ765" s="7" t="str">
        <f>IF(OR(R765&lt;0,C765&lt;B765),"Invalid",
IF(OR(G765="Unknown",M765="Unknown"),"Warning","Clean"))</f>
        <v>Clean</v>
      </c>
      <c r="AK765" s="7" t="str">
        <f>IF(C765&lt;B765,"Ship Before Order","OK")</f>
        <v>OK</v>
      </c>
      <c r="AL765" s="7" t="str">
        <f>IF(ISNUMBER(B765),"Valid","Invalid")</f>
        <v>Valid</v>
      </c>
      <c r="AM765" s="7" t="str">
        <f t="shared" si="70"/>
        <v>Ok</v>
      </c>
      <c r="AN765" s="7" t="str">
        <f t="shared" si="71"/>
        <v>Ok</v>
      </c>
    </row>
    <row r="766" spans="1:40">
      <c r="A766" t="s">
        <v>2369</v>
      </c>
      <c r="B766" s="6">
        <v>45760</v>
      </c>
      <c r="C766" s="4">
        <v>46264</v>
      </c>
      <c r="D766" t="s">
        <v>886</v>
      </c>
      <c r="E766" t="s">
        <v>114</v>
      </c>
      <c r="F766" t="s">
        <v>90</v>
      </c>
      <c r="G766" t="s">
        <v>54</v>
      </c>
      <c r="H766" t="s">
        <v>185</v>
      </c>
      <c r="I766" t="s">
        <v>186</v>
      </c>
      <c r="J766" t="s">
        <v>41</v>
      </c>
      <c r="K766" t="s">
        <v>158</v>
      </c>
      <c r="L766" t="s">
        <v>2370</v>
      </c>
      <c r="M766" t="s">
        <v>50</v>
      </c>
      <c r="N766">
        <v>6</v>
      </c>
      <c r="O766">
        <v>4414</v>
      </c>
      <c r="P766">
        <v>0.05</v>
      </c>
      <c r="Q766" s="7">
        <f>IF(P766="", 0, P766)</f>
        <v>0.05</v>
      </c>
      <c r="R766">
        <v>25159.8</v>
      </c>
      <c r="S766">
        <v>21606.83</v>
      </c>
      <c r="T766" s="7">
        <f>N766*O766*(1-Q766)</f>
        <v>25159.8</v>
      </c>
      <c r="U766" s="7">
        <f t="shared" si="66"/>
        <v>3552.9699999999975</v>
      </c>
      <c r="V766">
        <v>3552.97</v>
      </c>
      <c r="W766" s="12">
        <f t="shared" si="67"/>
        <v>0.14121614639226057</v>
      </c>
      <c r="X766" t="s">
        <v>32</v>
      </c>
      <c r="Y766" t="str">
        <f t="shared" si="68"/>
        <v>Paid</v>
      </c>
      <c r="Z766" t="s">
        <v>33</v>
      </c>
      <c r="AA766">
        <f>C766-B766</f>
        <v>504</v>
      </c>
      <c r="AB766" t="str">
        <f>IF(B766="","Missing Order Date",
IF(C766="","Missing Ship Date","OK"))</f>
        <v>OK</v>
      </c>
      <c r="AC766" s="7" t="str">
        <f>IF(C766&lt;B766, "Invalid", "Valid")</f>
        <v>Valid</v>
      </c>
      <c r="AD766" s="7" t="str">
        <f>IF(COUNTIF($A:$A, A766)&gt;1, "Duplicate", "Unique")</f>
        <v>Unique</v>
      </c>
      <c r="AE766" s="7" t="str">
        <f>IF(G766="","Unknown",G766)</f>
        <v>South</v>
      </c>
      <c r="AF766" s="7" t="str">
        <f>IF(M766="","Unknown",M766)</f>
        <v>First Class</v>
      </c>
      <c r="AG766" s="7" t="str">
        <f>IF(P766&lt;0,"Invalid",
IF(P766&gt;1,"Invalid","Valid"))</f>
        <v>Valid</v>
      </c>
      <c r="AH766" s="7" t="str">
        <f>TEXT(B766,"mmmm")</f>
        <v>April</v>
      </c>
      <c r="AI766" s="7">
        <f t="shared" si="69"/>
        <v>2025</v>
      </c>
      <c r="AJ766" s="7" t="str">
        <f>IF(OR(R766&lt;0,C766&lt;B766),"Invalid",
IF(OR(G766="Unknown",M766="Unknown"),"Warning","Clean"))</f>
        <v>Clean</v>
      </c>
      <c r="AK766" s="7" t="str">
        <f>IF(C766&lt;B766,"Ship Before Order","OK")</f>
        <v>OK</v>
      </c>
      <c r="AL766" s="7" t="str">
        <f>IF(ISNUMBER(B766),"Valid","Invalid")</f>
        <v>Valid</v>
      </c>
      <c r="AM766" s="7" t="str">
        <f t="shared" si="70"/>
        <v>Ok</v>
      </c>
      <c r="AN766" s="7" t="str">
        <f t="shared" si="71"/>
        <v>Ok</v>
      </c>
    </row>
    <row r="767" spans="1:40">
      <c r="A767" t="s">
        <v>2371</v>
      </c>
      <c r="B767" s="6">
        <v>45837</v>
      </c>
      <c r="C767" s="4">
        <v>46265</v>
      </c>
      <c r="D767" t="s">
        <v>2372</v>
      </c>
      <c r="E767" t="s">
        <v>71</v>
      </c>
      <c r="F767" t="s">
        <v>90</v>
      </c>
      <c r="G767" t="s">
        <v>38</v>
      </c>
      <c r="H767" t="s">
        <v>228</v>
      </c>
      <c r="I767" t="s">
        <v>229</v>
      </c>
      <c r="J767" t="s">
        <v>28</v>
      </c>
      <c r="K767" t="s">
        <v>91</v>
      </c>
      <c r="L767" t="s">
        <v>2373</v>
      </c>
      <c r="M767" t="s">
        <v>50</v>
      </c>
      <c r="N767">
        <v>3</v>
      </c>
      <c r="O767">
        <v>608.14</v>
      </c>
      <c r="P767">
        <v>0</v>
      </c>
      <c r="Q767" s="7">
        <f>IF(P767="", 0, P767)</f>
        <v>0</v>
      </c>
      <c r="R767">
        <v>1824.42</v>
      </c>
      <c r="S767">
        <v>1214.8699999999999</v>
      </c>
      <c r="T767" s="7">
        <f>N767*O767*(1-Q767)</f>
        <v>1824.42</v>
      </c>
      <c r="U767" s="7">
        <f t="shared" si="66"/>
        <v>609.55000000000018</v>
      </c>
      <c r="V767">
        <v>609.54999999999995</v>
      </c>
      <c r="W767" s="12">
        <f t="shared" si="67"/>
        <v>0.33410618169061956</v>
      </c>
      <c r="X767" t="s">
        <v>32</v>
      </c>
      <c r="Y767" t="str">
        <f t="shared" si="68"/>
        <v>Paid</v>
      </c>
      <c r="Z767" t="s">
        <v>33</v>
      </c>
      <c r="AA767">
        <f>C767-B767</f>
        <v>428</v>
      </c>
      <c r="AB767" t="str">
        <f>IF(B767="","Missing Order Date",
IF(C767="","Missing Ship Date","OK"))</f>
        <v>OK</v>
      </c>
      <c r="AC767" s="7" t="str">
        <f>IF(C767&lt;B767, "Invalid", "Valid")</f>
        <v>Valid</v>
      </c>
      <c r="AD767" s="7" t="str">
        <f>IF(COUNTIF($A:$A, A767)&gt;1, "Duplicate", "Unique")</f>
        <v>Unique</v>
      </c>
      <c r="AE767" s="7" t="str">
        <f>IF(G767="","Unknown",G767)</f>
        <v>East</v>
      </c>
      <c r="AF767" s="7" t="str">
        <f>IF(M767="","Unknown",M767)</f>
        <v>First Class</v>
      </c>
      <c r="AG767" s="7" t="str">
        <f>IF(P767&lt;0,"Invalid",
IF(P767&gt;1,"Invalid","Valid"))</f>
        <v>Valid</v>
      </c>
      <c r="AH767" s="7" t="str">
        <f>TEXT(B767,"mmmm")</f>
        <v>June</v>
      </c>
      <c r="AI767" s="7">
        <f t="shared" si="69"/>
        <v>2025</v>
      </c>
      <c r="AJ767" s="7" t="str">
        <f>IF(OR(R767&lt;0,C767&lt;B767),"Invalid",
IF(OR(G767="Unknown",M767="Unknown"),"Warning","Clean"))</f>
        <v>Clean</v>
      </c>
      <c r="AK767" s="7" t="str">
        <f>IF(C767&lt;B767,"Ship Before Order","OK")</f>
        <v>OK</v>
      </c>
      <c r="AL767" s="7" t="str">
        <f>IF(ISNUMBER(B767),"Valid","Invalid")</f>
        <v>Valid</v>
      </c>
      <c r="AM767" s="7" t="str">
        <f t="shared" si="70"/>
        <v>Ok</v>
      </c>
      <c r="AN767" s="7" t="str">
        <f t="shared" si="71"/>
        <v>Ok</v>
      </c>
    </row>
    <row r="768" spans="1:40">
      <c r="A768" t="s">
        <v>2374</v>
      </c>
      <c r="B768" s="6">
        <v>45552</v>
      </c>
      <c r="C768" s="4">
        <v>46266</v>
      </c>
      <c r="D768" t="s">
        <v>2375</v>
      </c>
      <c r="E768" t="s">
        <v>36</v>
      </c>
      <c r="F768" t="s">
        <v>90</v>
      </c>
      <c r="G768" t="s">
        <v>63</v>
      </c>
      <c r="H768" t="s">
        <v>180</v>
      </c>
      <c r="I768" t="s">
        <v>181</v>
      </c>
      <c r="J768" t="s">
        <v>28</v>
      </c>
      <c r="K768" t="s">
        <v>48</v>
      </c>
      <c r="L768" t="s">
        <v>2376</v>
      </c>
      <c r="M768" t="s">
        <v>31</v>
      </c>
      <c r="N768">
        <v>9</v>
      </c>
      <c r="O768">
        <v>2307.96</v>
      </c>
      <c r="P768">
        <v>0.2</v>
      </c>
      <c r="Q768" s="7">
        <f>IF(P768="", 0, P768)</f>
        <v>0.2</v>
      </c>
      <c r="R768">
        <v>16617.310000000001</v>
      </c>
      <c r="S768">
        <v>9195.73</v>
      </c>
      <c r="T768" s="7">
        <f>N768*O768*(1-Q768)</f>
        <v>16617.312000000002</v>
      </c>
      <c r="U768" s="7">
        <f t="shared" si="66"/>
        <v>7421.5820000000022</v>
      </c>
      <c r="V768">
        <v>7421.58</v>
      </c>
      <c r="W768" s="12">
        <f t="shared" si="67"/>
        <v>0.44661747940942564</v>
      </c>
      <c r="X768" t="s">
        <v>32</v>
      </c>
      <c r="Y768" t="str">
        <f t="shared" si="68"/>
        <v>Paid</v>
      </c>
      <c r="Z768" t="s">
        <v>68</v>
      </c>
      <c r="AA768">
        <f>C768-B768</f>
        <v>714</v>
      </c>
      <c r="AB768" t="str">
        <f>IF(B768="","Missing Order Date",
IF(C768="","Missing Ship Date","OK"))</f>
        <v>OK</v>
      </c>
      <c r="AC768" s="7" t="str">
        <f>IF(C768&lt;B768, "Invalid", "Valid")</f>
        <v>Valid</v>
      </c>
      <c r="AD768" s="7" t="str">
        <f>IF(COUNTIF($A:$A, A768)&gt;1, "Duplicate", "Unique")</f>
        <v>Unique</v>
      </c>
      <c r="AE768" s="7" t="str">
        <f>IF(G768="","Unknown",G768)</f>
        <v>West</v>
      </c>
      <c r="AF768" s="7" t="str">
        <f>IF(M768="","Unknown",M768)</f>
        <v>Second Class</v>
      </c>
      <c r="AG768" s="7" t="str">
        <f>IF(P768&lt;0,"Invalid",
IF(P768&gt;1,"Invalid","Valid"))</f>
        <v>Valid</v>
      </c>
      <c r="AH768" s="7" t="str">
        <f>TEXT(B768,"mmmm")</f>
        <v>September</v>
      </c>
      <c r="AI768" s="7">
        <f t="shared" si="69"/>
        <v>2024</v>
      </c>
      <c r="AJ768" s="7" t="str">
        <f>IF(OR(R768&lt;0,C768&lt;B768),"Invalid",
IF(OR(G768="Unknown",M768="Unknown"),"Warning","Clean"))</f>
        <v>Clean</v>
      </c>
      <c r="AK768" s="7" t="str">
        <f>IF(C768&lt;B768,"Ship Before Order","OK")</f>
        <v>OK</v>
      </c>
      <c r="AL768" s="7" t="str">
        <f>IF(ISNUMBER(B768),"Valid","Invalid")</f>
        <v>Valid</v>
      </c>
      <c r="AM768" s="7" t="str">
        <f t="shared" si="70"/>
        <v>Missmatched</v>
      </c>
      <c r="AN768" s="7" t="str">
        <f t="shared" si="71"/>
        <v>Missmatched</v>
      </c>
    </row>
    <row r="769" spans="1:40">
      <c r="A769" t="s">
        <v>2377</v>
      </c>
      <c r="B769" s="6">
        <v>45356</v>
      </c>
      <c r="C769" s="4">
        <v>46267</v>
      </c>
      <c r="D769" t="s">
        <v>2378</v>
      </c>
      <c r="E769" t="s">
        <v>62</v>
      </c>
      <c r="F769" t="s">
        <v>95</v>
      </c>
      <c r="G769" t="s">
        <v>25</v>
      </c>
      <c r="H769" t="s">
        <v>136</v>
      </c>
      <c r="I769" t="s">
        <v>137</v>
      </c>
      <c r="J769" t="s">
        <v>28</v>
      </c>
      <c r="K769" t="s">
        <v>153</v>
      </c>
      <c r="L769" t="s">
        <v>2379</v>
      </c>
      <c r="M769" t="s">
        <v>59</v>
      </c>
      <c r="N769">
        <v>1</v>
      </c>
      <c r="O769">
        <v>1244.58</v>
      </c>
      <c r="P769">
        <v>0.25</v>
      </c>
      <c r="Q769" s="7">
        <f>IF(P769="", 0, P769)</f>
        <v>0.25</v>
      </c>
      <c r="R769">
        <v>933.43</v>
      </c>
      <c r="S769">
        <v>583.09</v>
      </c>
      <c r="T769" s="7">
        <f>N769*O769*(1-Q769)</f>
        <v>933.43499999999995</v>
      </c>
      <c r="U769" s="7">
        <f t="shared" si="66"/>
        <v>350.34499999999991</v>
      </c>
      <c r="V769">
        <v>350.34</v>
      </c>
      <c r="W769" s="12">
        <f t="shared" si="67"/>
        <v>0.3753287588316272</v>
      </c>
      <c r="X769" t="s">
        <v>32</v>
      </c>
      <c r="Y769" t="str">
        <f t="shared" si="68"/>
        <v>Paid</v>
      </c>
      <c r="Z769" t="s">
        <v>33</v>
      </c>
      <c r="AA769">
        <f>C769-B769</f>
        <v>911</v>
      </c>
      <c r="AB769" t="str">
        <f>IF(B769="","Missing Order Date",
IF(C769="","Missing Ship Date","OK"))</f>
        <v>OK</v>
      </c>
      <c r="AC769" s="7" t="str">
        <f>IF(C769&lt;B769, "Invalid", "Valid")</f>
        <v>Valid</v>
      </c>
      <c r="AD769" s="7" t="str">
        <f>IF(COUNTIF($A:$A, A769)&gt;1, "Duplicate", "Unique")</f>
        <v>Unique</v>
      </c>
      <c r="AE769" s="7" t="str">
        <f>IF(G769="","Unknown",G769)</f>
        <v>North</v>
      </c>
      <c r="AF769" s="7" t="str">
        <f>IF(M769="","Unknown",M769)</f>
        <v>Standard Class</v>
      </c>
      <c r="AG769" s="7" t="str">
        <f>IF(P769&lt;0,"Invalid",
IF(P769&gt;1,"Invalid","Valid"))</f>
        <v>Valid</v>
      </c>
      <c r="AH769" s="7" t="str">
        <f>TEXT(B769,"mmmm")</f>
        <v>March</v>
      </c>
      <c r="AI769" s="7">
        <f t="shared" si="69"/>
        <v>2024</v>
      </c>
      <c r="AJ769" s="7" t="str">
        <f>IF(OR(R769&lt;0,C769&lt;B769),"Invalid",
IF(OR(G769="Unknown",M769="Unknown"),"Warning","Clean"))</f>
        <v>Clean</v>
      </c>
      <c r="AK769" s="7" t="str">
        <f>IF(C769&lt;B769,"Ship Before Order","OK")</f>
        <v>OK</v>
      </c>
      <c r="AL769" s="7" t="str">
        <f>IF(ISNUMBER(B769),"Valid","Invalid")</f>
        <v>Valid</v>
      </c>
      <c r="AM769" s="7" t="str">
        <f t="shared" si="70"/>
        <v>Missmatched</v>
      </c>
      <c r="AN769" s="7" t="str">
        <f t="shared" si="71"/>
        <v>Missmatched</v>
      </c>
    </row>
    <row r="770" spans="1:40">
      <c r="A770" t="s">
        <v>2380</v>
      </c>
      <c r="B770" s="6">
        <v>45692</v>
      </c>
      <c r="C770" s="4">
        <v>46268</v>
      </c>
      <c r="D770" t="s">
        <v>2381</v>
      </c>
      <c r="E770" t="s">
        <v>132</v>
      </c>
      <c r="F770" t="s">
        <v>95</v>
      </c>
      <c r="G770" t="s">
        <v>38</v>
      </c>
      <c r="H770" t="s">
        <v>228</v>
      </c>
      <c r="I770" t="s">
        <v>229</v>
      </c>
      <c r="J770" t="s">
        <v>28</v>
      </c>
      <c r="K770" t="s">
        <v>29</v>
      </c>
      <c r="L770" t="s">
        <v>2382</v>
      </c>
      <c r="M770" t="s">
        <v>44</v>
      </c>
      <c r="N770">
        <v>5</v>
      </c>
      <c r="O770">
        <v>3234.24</v>
      </c>
      <c r="P770">
        <v>0.1</v>
      </c>
      <c r="Q770" s="7">
        <f>IF(P770="", 0, P770)</f>
        <v>0.1</v>
      </c>
      <c r="R770">
        <v>14554.08</v>
      </c>
      <c r="S770">
        <v>11166.84</v>
      </c>
      <c r="T770" s="7">
        <f>N770*O770*(1-Q770)</f>
        <v>14554.08</v>
      </c>
      <c r="U770" s="7">
        <f t="shared" ref="U770:U833" si="72">T770-S770</f>
        <v>3387.24</v>
      </c>
      <c r="V770">
        <v>3387.24</v>
      </c>
      <c r="W770" s="12">
        <f t="shared" ref="W770:W833" si="73">IF(T770=0,0,U770/T770)</f>
        <v>0.23273473830018798</v>
      </c>
      <c r="X770" t="s">
        <v>32</v>
      </c>
      <c r="Y770" t="str">
        <f t="shared" ref="Y770:Y833" si="74">PROPER(TRIM(X770))</f>
        <v>Paid</v>
      </c>
      <c r="Z770" t="s">
        <v>33</v>
      </c>
      <c r="AA770">
        <f>C770-B770</f>
        <v>576</v>
      </c>
      <c r="AB770" t="str">
        <f>IF(B770="","Missing Order Date",
IF(C770="","Missing Ship Date","OK"))</f>
        <v>OK</v>
      </c>
      <c r="AC770" s="7" t="str">
        <f>IF(C770&lt;B770, "Invalid", "Valid")</f>
        <v>Valid</v>
      </c>
      <c r="AD770" s="7" t="str">
        <f>IF(COUNTIF($A:$A, A770)&gt;1, "Duplicate", "Unique")</f>
        <v>Unique</v>
      </c>
      <c r="AE770" s="7" t="str">
        <f>IF(G770="","Unknown",G770)</f>
        <v>East</v>
      </c>
      <c r="AF770" s="7" t="str">
        <f>IF(M770="","Unknown",M770)</f>
        <v>Same Day</v>
      </c>
      <c r="AG770" s="7" t="str">
        <f>IF(P770&lt;0,"Invalid",
IF(P770&gt;1,"Invalid","Valid"))</f>
        <v>Valid</v>
      </c>
      <c r="AH770" s="7" t="str">
        <f>TEXT(B770,"mmmm")</f>
        <v>February</v>
      </c>
      <c r="AI770" s="7">
        <f t="shared" ref="AI770:AI833" si="75">YEAR(B770)</f>
        <v>2025</v>
      </c>
      <c r="AJ770" s="7" t="str">
        <f>IF(OR(R770&lt;0,C770&lt;B770),"Invalid",
IF(OR(G770="Unknown",M770="Unknown"),"Warning","Clean"))</f>
        <v>Clean</v>
      </c>
      <c r="AK770" s="7" t="str">
        <f>IF(C770&lt;B770,"Ship Before Order","OK")</f>
        <v>OK</v>
      </c>
      <c r="AL770" s="7" t="str">
        <f>IF(ISNUMBER(B770),"Valid","Invalid")</f>
        <v>Valid</v>
      </c>
      <c r="AM770" s="7" t="str">
        <f t="shared" ref="AM770:AM833" si="76">IF(R770&lt;&gt;T770, "Missmatched", "Ok")</f>
        <v>Ok</v>
      </c>
      <c r="AN770" s="7" t="str">
        <f t="shared" ref="AN770:AN833" si="77">IF(V770&lt;&gt;U770, "Missmatched", "Ok")</f>
        <v>Ok</v>
      </c>
    </row>
    <row r="771" spans="1:40">
      <c r="A771" t="s">
        <v>2383</v>
      </c>
      <c r="B771" s="6">
        <v>45601</v>
      </c>
      <c r="C771" s="4">
        <v>46269</v>
      </c>
      <c r="D771" t="s">
        <v>2384</v>
      </c>
      <c r="E771" t="s">
        <v>114</v>
      </c>
      <c r="F771" t="s">
        <v>95</v>
      </c>
      <c r="G771" t="s">
        <v>63</v>
      </c>
      <c r="H771" t="s">
        <v>190</v>
      </c>
      <c r="I771" t="s">
        <v>191</v>
      </c>
      <c r="J771" t="s">
        <v>41</v>
      </c>
      <c r="K771" t="s">
        <v>158</v>
      </c>
      <c r="L771" t="s">
        <v>2385</v>
      </c>
      <c r="M771" t="s">
        <v>44</v>
      </c>
      <c r="N771">
        <v>3</v>
      </c>
      <c r="O771">
        <v>3612.75</v>
      </c>
      <c r="P771">
        <v>0.25</v>
      </c>
      <c r="Q771" s="7">
        <f>IF(P771="", 0, P771)</f>
        <v>0.25</v>
      </c>
      <c r="R771">
        <v>8128.69</v>
      </c>
      <c r="S771">
        <v>5071.66</v>
      </c>
      <c r="T771" s="7">
        <f>N771*O771*(1-Q771)</f>
        <v>8128.6875</v>
      </c>
      <c r="U771" s="7">
        <f t="shared" si="72"/>
        <v>3057.0275000000001</v>
      </c>
      <c r="V771">
        <v>3057.03</v>
      </c>
      <c r="W771" s="12">
        <f t="shared" si="73"/>
        <v>0.3760788565189645</v>
      </c>
      <c r="X771" t="s">
        <v>32</v>
      </c>
      <c r="Y771" t="str">
        <f t="shared" si="74"/>
        <v>Paid</v>
      </c>
      <c r="Z771" t="s">
        <v>33</v>
      </c>
      <c r="AA771">
        <f>C771-B771</f>
        <v>668</v>
      </c>
      <c r="AB771" t="str">
        <f>IF(B771="","Missing Order Date",
IF(C771="","Missing Ship Date","OK"))</f>
        <v>OK</v>
      </c>
      <c r="AC771" s="7" t="str">
        <f>IF(C771&lt;B771, "Invalid", "Valid")</f>
        <v>Valid</v>
      </c>
      <c r="AD771" s="7" t="str">
        <f>IF(COUNTIF($A:$A, A771)&gt;1, "Duplicate", "Unique")</f>
        <v>Unique</v>
      </c>
      <c r="AE771" s="7" t="str">
        <f>IF(G771="","Unknown",G771)</f>
        <v>West</v>
      </c>
      <c r="AF771" s="7" t="str">
        <f>IF(M771="","Unknown",M771)</f>
        <v>Same Day</v>
      </c>
      <c r="AG771" s="7" t="str">
        <f>IF(P771&lt;0,"Invalid",
IF(P771&gt;1,"Invalid","Valid"))</f>
        <v>Valid</v>
      </c>
      <c r="AH771" s="7" t="str">
        <f>TEXT(B771,"mmmm")</f>
        <v>November</v>
      </c>
      <c r="AI771" s="7">
        <f t="shared" si="75"/>
        <v>2024</v>
      </c>
      <c r="AJ771" s="7" t="str">
        <f>IF(OR(R771&lt;0,C771&lt;B771),"Invalid",
IF(OR(G771="Unknown",M771="Unknown"),"Warning","Clean"))</f>
        <v>Clean</v>
      </c>
      <c r="AK771" s="7" t="str">
        <f>IF(C771&lt;B771,"Ship Before Order","OK")</f>
        <v>OK</v>
      </c>
      <c r="AL771" s="7" t="str">
        <f>IF(ISNUMBER(B771),"Valid","Invalid")</f>
        <v>Valid</v>
      </c>
      <c r="AM771" s="7" t="str">
        <f t="shared" si="76"/>
        <v>Missmatched</v>
      </c>
      <c r="AN771" s="7" t="str">
        <f t="shared" si="77"/>
        <v>Missmatched</v>
      </c>
    </row>
    <row r="772" spans="1:40">
      <c r="A772" t="s">
        <v>2386</v>
      </c>
      <c r="B772" s="6">
        <v>45337</v>
      </c>
      <c r="C772" s="4">
        <v>46270</v>
      </c>
      <c r="D772" t="s">
        <v>2387</v>
      </c>
      <c r="E772" t="s">
        <v>79</v>
      </c>
      <c r="F772" t="s">
        <v>24</v>
      </c>
      <c r="G772" t="s">
        <v>25</v>
      </c>
      <c r="H772" t="s">
        <v>136</v>
      </c>
      <c r="I772" t="s">
        <v>137</v>
      </c>
      <c r="J772" t="s">
        <v>74</v>
      </c>
      <c r="K772" t="s">
        <v>80</v>
      </c>
      <c r="L772" t="s">
        <v>2388</v>
      </c>
      <c r="M772" t="s">
        <v>50</v>
      </c>
      <c r="N772">
        <v>4</v>
      </c>
      <c r="O772">
        <v>863</v>
      </c>
      <c r="Q772" s="7">
        <f>IF(P772="", 0, P772)</f>
        <v>0</v>
      </c>
      <c r="R772">
        <v>3106.8</v>
      </c>
      <c r="S772">
        <v>2376.62</v>
      </c>
      <c r="T772" s="7">
        <f>N772*O772*(1-Q772)</f>
        <v>3452</v>
      </c>
      <c r="U772" s="7">
        <f t="shared" si="72"/>
        <v>1075.3800000000001</v>
      </c>
      <c r="V772">
        <v>730.18</v>
      </c>
      <c r="W772" s="12">
        <f t="shared" si="73"/>
        <v>0.3115237543453071</v>
      </c>
      <c r="X772" t="s">
        <v>32</v>
      </c>
      <c r="Y772" t="str">
        <f t="shared" si="74"/>
        <v>Paid</v>
      </c>
      <c r="Z772" t="s">
        <v>33</v>
      </c>
      <c r="AA772">
        <f>C772-B772</f>
        <v>933</v>
      </c>
      <c r="AB772" t="str">
        <f>IF(B772="","Missing Order Date",
IF(C772="","Missing Ship Date","OK"))</f>
        <v>OK</v>
      </c>
      <c r="AC772" s="7" t="str">
        <f>IF(C772&lt;B772, "Invalid", "Valid")</f>
        <v>Valid</v>
      </c>
      <c r="AD772" s="7" t="str">
        <f>IF(COUNTIF($A:$A, A772)&gt;1, "Duplicate", "Unique")</f>
        <v>Unique</v>
      </c>
      <c r="AE772" s="7" t="str">
        <f>IF(G772="","Unknown",G772)</f>
        <v>North</v>
      </c>
      <c r="AF772" s="7" t="str">
        <f>IF(M772="","Unknown",M772)</f>
        <v>First Class</v>
      </c>
      <c r="AG772" s="7" t="str">
        <f>IF(P772&lt;0,"Invalid",
IF(P772&gt;1,"Invalid","Valid"))</f>
        <v>Valid</v>
      </c>
      <c r="AH772" s="7" t="str">
        <f>TEXT(B772,"mmmm")</f>
        <v>February</v>
      </c>
      <c r="AI772" s="7">
        <f t="shared" si="75"/>
        <v>2024</v>
      </c>
      <c r="AJ772" s="7" t="str">
        <f>IF(OR(R772&lt;0,C772&lt;B772),"Invalid",
IF(OR(G772="Unknown",M772="Unknown"),"Warning","Clean"))</f>
        <v>Clean</v>
      </c>
      <c r="AK772" s="7" t="str">
        <f>IF(C772&lt;B772,"Ship Before Order","OK")</f>
        <v>OK</v>
      </c>
      <c r="AL772" s="7" t="str">
        <f>IF(ISNUMBER(B772),"Valid","Invalid")</f>
        <v>Valid</v>
      </c>
      <c r="AM772" s="7" t="str">
        <f t="shared" si="76"/>
        <v>Missmatched</v>
      </c>
      <c r="AN772" s="7" t="str">
        <f t="shared" si="77"/>
        <v>Missmatched</v>
      </c>
    </row>
    <row r="773" spans="1:40">
      <c r="A773" t="s">
        <v>2389</v>
      </c>
      <c r="B773" s="6">
        <v>45633</v>
      </c>
      <c r="C773" s="4">
        <v>46271</v>
      </c>
      <c r="D773" t="s">
        <v>468</v>
      </c>
      <c r="E773" t="s">
        <v>62</v>
      </c>
      <c r="F773" t="s">
        <v>24</v>
      </c>
      <c r="G773" t="s">
        <v>25</v>
      </c>
      <c r="H773" t="s">
        <v>236</v>
      </c>
      <c r="I773" t="s">
        <v>237</v>
      </c>
      <c r="J773" t="s">
        <v>74</v>
      </c>
      <c r="K773" t="s">
        <v>274</v>
      </c>
      <c r="L773" t="s">
        <v>2390</v>
      </c>
      <c r="M773" t="s">
        <v>31</v>
      </c>
      <c r="N773">
        <v>4</v>
      </c>
      <c r="O773">
        <v>2131.41</v>
      </c>
      <c r="Q773" s="7">
        <f>IF(P773="", 0, P773)</f>
        <v>0</v>
      </c>
      <c r="R773">
        <v>6394.23</v>
      </c>
      <c r="S773">
        <v>3520.69</v>
      </c>
      <c r="T773" s="7">
        <f>N773*O773*(1-Q773)</f>
        <v>8525.64</v>
      </c>
      <c r="U773" s="7">
        <f t="shared" si="72"/>
        <v>5004.9499999999989</v>
      </c>
      <c r="V773">
        <v>2873.54</v>
      </c>
      <c r="W773" s="12">
        <f t="shared" si="73"/>
        <v>0.58704683753946907</v>
      </c>
      <c r="X773" t="s">
        <v>32</v>
      </c>
      <c r="Y773" t="str">
        <f t="shared" si="74"/>
        <v>Paid</v>
      </c>
      <c r="Z773" t="s">
        <v>33</v>
      </c>
      <c r="AA773">
        <f>C773-B773</f>
        <v>638</v>
      </c>
      <c r="AB773" t="str">
        <f>IF(B773="","Missing Order Date",
IF(C773="","Missing Ship Date","OK"))</f>
        <v>OK</v>
      </c>
      <c r="AC773" s="7" t="str">
        <f>IF(C773&lt;B773, "Invalid", "Valid")</f>
        <v>Valid</v>
      </c>
      <c r="AD773" s="7" t="str">
        <f>IF(COUNTIF($A:$A, A773)&gt;1, "Duplicate", "Unique")</f>
        <v>Unique</v>
      </c>
      <c r="AE773" s="7" t="str">
        <f>IF(G773="","Unknown",G773)</f>
        <v>North</v>
      </c>
      <c r="AF773" s="7" t="str">
        <f>IF(M773="","Unknown",M773)</f>
        <v>Second Class</v>
      </c>
      <c r="AG773" s="7" t="str">
        <f>IF(P773&lt;0,"Invalid",
IF(P773&gt;1,"Invalid","Valid"))</f>
        <v>Valid</v>
      </c>
      <c r="AH773" s="7" t="str">
        <f>TEXT(B773,"mmmm")</f>
        <v>December</v>
      </c>
      <c r="AI773" s="7">
        <f t="shared" si="75"/>
        <v>2024</v>
      </c>
      <c r="AJ773" s="7" t="str">
        <f>IF(OR(R773&lt;0,C773&lt;B773),"Invalid",
IF(OR(G773="Unknown",M773="Unknown"),"Warning","Clean"))</f>
        <v>Clean</v>
      </c>
      <c r="AK773" s="7" t="str">
        <f>IF(C773&lt;B773,"Ship Before Order","OK")</f>
        <v>OK</v>
      </c>
      <c r="AL773" s="7" t="str">
        <f>IF(ISNUMBER(B773),"Valid","Invalid")</f>
        <v>Valid</v>
      </c>
      <c r="AM773" s="7" t="str">
        <f t="shared" si="76"/>
        <v>Missmatched</v>
      </c>
      <c r="AN773" s="7" t="str">
        <f t="shared" si="77"/>
        <v>Missmatched</v>
      </c>
    </row>
    <row r="774" spans="1:40">
      <c r="A774" t="s">
        <v>2391</v>
      </c>
      <c r="B774" s="6">
        <v>45853</v>
      </c>
      <c r="C774" s="4">
        <v>46272</v>
      </c>
      <c r="D774" t="s">
        <v>2392</v>
      </c>
      <c r="E774" t="s">
        <v>162</v>
      </c>
      <c r="F774" t="s">
        <v>24</v>
      </c>
      <c r="G774" t="s">
        <v>54</v>
      </c>
      <c r="H774" t="s">
        <v>247</v>
      </c>
      <c r="I774" t="s">
        <v>248</v>
      </c>
      <c r="J774" t="s">
        <v>41</v>
      </c>
      <c r="K774" t="s">
        <v>66</v>
      </c>
      <c r="L774" t="s">
        <v>2393</v>
      </c>
      <c r="M774" t="s">
        <v>44</v>
      </c>
      <c r="N774">
        <v>1</v>
      </c>
      <c r="O774">
        <v>3903.22</v>
      </c>
      <c r="P774">
        <v>0.05</v>
      </c>
      <c r="Q774" s="7">
        <f>IF(P774="", 0, P774)</f>
        <v>0.05</v>
      </c>
      <c r="R774">
        <v>3708.06</v>
      </c>
      <c r="S774">
        <v>2760.29</v>
      </c>
      <c r="T774" s="7">
        <f>N774*O774*(1-Q774)</f>
        <v>3708.0589999999997</v>
      </c>
      <c r="U774" s="7">
        <f t="shared" si="72"/>
        <v>947.76899999999978</v>
      </c>
      <c r="V774">
        <v>947.77</v>
      </c>
      <c r="W774" s="12">
        <f t="shared" si="73"/>
        <v>0.25559706574248142</v>
      </c>
      <c r="X774" t="s">
        <v>111</v>
      </c>
      <c r="Y774" t="str">
        <f t="shared" si="74"/>
        <v>Pending</v>
      </c>
      <c r="Z774" t="s">
        <v>68</v>
      </c>
      <c r="AA774">
        <f>C774-B774</f>
        <v>419</v>
      </c>
      <c r="AB774" t="str">
        <f>IF(B774="","Missing Order Date",
IF(C774="","Missing Ship Date","OK"))</f>
        <v>OK</v>
      </c>
      <c r="AC774" s="7" t="str">
        <f>IF(C774&lt;B774, "Invalid", "Valid")</f>
        <v>Valid</v>
      </c>
      <c r="AD774" s="7" t="str">
        <f>IF(COUNTIF($A:$A, A774)&gt;1, "Duplicate", "Unique")</f>
        <v>Unique</v>
      </c>
      <c r="AE774" s="7" t="str">
        <f>IF(G774="","Unknown",G774)</f>
        <v>South</v>
      </c>
      <c r="AF774" s="7" t="str">
        <f>IF(M774="","Unknown",M774)</f>
        <v>Same Day</v>
      </c>
      <c r="AG774" s="7" t="str">
        <f>IF(P774&lt;0,"Invalid",
IF(P774&gt;1,"Invalid","Valid"))</f>
        <v>Valid</v>
      </c>
      <c r="AH774" s="7" t="str">
        <f>TEXT(B774,"mmmm")</f>
        <v>July</v>
      </c>
      <c r="AI774" s="7">
        <f t="shared" si="75"/>
        <v>2025</v>
      </c>
      <c r="AJ774" s="7" t="str">
        <f>IF(OR(R774&lt;0,C774&lt;B774),"Invalid",
IF(OR(G774="Unknown",M774="Unknown"),"Warning","Clean"))</f>
        <v>Clean</v>
      </c>
      <c r="AK774" s="7" t="str">
        <f>IF(C774&lt;B774,"Ship Before Order","OK")</f>
        <v>OK</v>
      </c>
      <c r="AL774" s="7" t="str">
        <f>IF(ISNUMBER(B774),"Valid","Invalid")</f>
        <v>Valid</v>
      </c>
      <c r="AM774" s="7" t="str">
        <f t="shared" si="76"/>
        <v>Missmatched</v>
      </c>
      <c r="AN774" s="7" t="str">
        <f t="shared" si="77"/>
        <v>Missmatched</v>
      </c>
    </row>
    <row r="775" spans="1:40">
      <c r="A775" t="s">
        <v>2394</v>
      </c>
      <c r="B775" s="6">
        <v>45709</v>
      </c>
      <c r="C775" s="4">
        <v>46273</v>
      </c>
      <c r="D775" t="s">
        <v>2395</v>
      </c>
      <c r="E775" t="s">
        <v>23</v>
      </c>
      <c r="F775" t="s">
        <v>95</v>
      </c>
      <c r="G775" t="s">
        <v>63</v>
      </c>
      <c r="H775" t="s">
        <v>180</v>
      </c>
      <c r="I775" t="s">
        <v>181</v>
      </c>
      <c r="J775" t="s">
        <v>74</v>
      </c>
      <c r="K775" t="s">
        <v>171</v>
      </c>
      <c r="L775" t="s">
        <v>2396</v>
      </c>
      <c r="M775" t="s">
        <v>2785</v>
      </c>
      <c r="N775">
        <v>4</v>
      </c>
      <c r="O775">
        <v>2945.07</v>
      </c>
      <c r="P775">
        <v>0.2</v>
      </c>
      <c r="Q775" s="7">
        <f>IF(P775="", 0, P775)</f>
        <v>0.2</v>
      </c>
      <c r="R775">
        <v>9424.2199999999993</v>
      </c>
      <c r="S775">
        <v>6178.92</v>
      </c>
      <c r="T775" s="7">
        <f>N775*O775*(1-Q775)</f>
        <v>9424.2240000000002</v>
      </c>
      <c r="U775" s="7">
        <f t="shared" si="72"/>
        <v>3245.3040000000001</v>
      </c>
      <c r="V775">
        <v>3245.3</v>
      </c>
      <c r="W775" s="12">
        <f t="shared" si="73"/>
        <v>0.3443576892909167</v>
      </c>
      <c r="X775" t="s">
        <v>32</v>
      </c>
      <c r="Y775" t="str">
        <f t="shared" si="74"/>
        <v>Paid</v>
      </c>
      <c r="Z775" t="s">
        <v>33</v>
      </c>
      <c r="AA775">
        <f>C775-B775</f>
        <v>564</v>
      </c>
      <c r="AB775" t="str">
        <f>IF(B775="","Missing Order Date",
IF(C775="","Missing Ship Date","OK"))</f>
        <v>OK</v>
      </c>
      <c r="AC775" s="7" t="str">
        <f>IF(C775&lt;B775, "Invalid", "Valid")</f>
        <v>Valid</v>
      </c>
      <c r="AD775" s="7" t="str">
        <f>IF(COUNTIF($A:$A, A775)&gt;1, "Duplicate", "Unique")</f>
        <v>Unique</v>
      </c>
      <c r="AE775" s="7" t="str">
        <f>IF(G775="","Unknown",G775)</f>
        <v>West</v>
      </c>
      <c r="AF775" s="7" t="str">
        <f>IF(M775="","Unknown",M775)</f>
        <v>Unknown</v>
      </c>
      <c r="AG775" s="7" t="str">
        <f>IF(P775&lt;0,"Invalid",
IF(P775&gt;1,"Invalid","Valid"))</f>
        <v>Valid</v>
      </c>
      <c r="AH775" s="7" t="str">
        <f>TEXT(B775,"mmmm")</f>
        <v>February</v>
      </c>
      <c r="AI775" s="7">
        <f t="shared" si="75"/>
        <v>2025</v>
      </c>
      <c r="AJ775" s="7" t="str">
        <f>IF(OR(R775&lt;0,C775&lt;B775),"Invalid",
IF(OR(G775="Unknown",M775="Unknown"),"Warning","Clean"))</f>
        <v>Clean</v>
      </c>
      <c r="AK775" s="7" t="str">
        <f>IF(C775&lt;B775,"Ship Before Order","OK")</f>
        <v>OK</v>
      </c>
      <c r="AL775" s="7" t="str">
        <f>IF(ISNUMBER(B775),"Valid","Invalid")</f>
        <v>Valid</v>
      </c>
      <c r="AM775" s="7" t="str">
        <f t="shared" si="76"/>
        <v>Missmatched</v>
      </c>
      <c r="AN775" s="7" t="str">
        <f t="shared" si="77"/>
        <v>Missmatched</v>
      </c>
    </row>
    <row r="776" spans="1:40">
      <c r="A776" t="s">
        <v>2397</v>
      </c>
      <c r="B776" s="6">
        <v>45876</v>
      </c>
      <c r="C776" s="4">
        <v>46274</v>
      </c>
      <c r="D776" t="s">
        <v>2398</v>
      </c>
      <c r="E776" t="s">
        <v>264</v>
      </c>
      <c r="F776" t="s">
        <v>24</v>
      </c>
      <c r="G776" t="s">
        <v>63</v>
      </c>
      <c r="H776" t="s">
        <v>26</v>
      </c>
      <c r="I776" t="s">
        <v>109</v>
      </c>
      <c r="J776" t="s">
        <v>74</v>
      </c>
      <c r="K776" t="s">
        <v>274</v>
      </c>
      <c r="L776" t="s">
        <v>2399</v>
      </c>
      <c r="M776" t="s">
        <v>2785</v>
      </c>
      <c r="N776">
        <v>9</v>
      </c>
      <c r="O776">
        <v>1076.75</v>
      </c>
      <c r="P776">
        <v>0.2</v>
      </c>
      <c r="Q776" s="7">
        <f>IF(P776="", 0, P776)</f>
        <v>0.2</v>
      </c>
      <c r="R776">
        <v>7752.6</v>
      </c>
      <c r="S776">
        <v>4689.3</v>
      </c>
      <c r="T776" s="7">
        <f>N776*O776*(1-Q776)</f>
        <v>7752.6</v>
      </c>
      <c r="U776" s="7">
        <f t="shared" si="72"/>
        <v>3063.3</v>
      </c>
      <c r="V776">
        <v>3063.3</v>
      </c>
      <c r="W776" s="12">
        <f t="shared" si="73"/>
        <v>0.39513195573098059</v>
      </c>
      <c r="X776" t="s">
        <v>32</v>
      </c>
      <c r="Y776" t="str">
        <f t="shared" si="74"/>
        <v>Paid</v>
      </c>
      <c r="Z776" t="s">
        <v>33</v>
      </c>
      <c r="AA776">
        <f>C776-B776</f>
        <v>398</v>
      </c>
      <c r="AB776" t="str">
        <f>IF(B776="","Missing Order Date",
IF(C776="","Missing Ship Date","OK"))</f>
        <v>OK</v>
      </c>
      <c r="AC776" s="7" t="str">
        <f>IF(C776&lt;B776, "Invalid", "Valid")</f>
        <v>Valid</v>
      </c>
      <c r="AD776" s="7" t="str">
        <f>IF(COUNTIF($A:$A, A776)&gt;1, "Duplicate", "Unique")</f>
        <v>Unique</v>
      </c>
      <c r="AE776" s="7" t="str">
        <f>IF(G776="","Unknown",G776)</f>
        <v>West</v>
      </c>
      <c r="AF776" s="7" t="str">
        <f>IF(M776="","Unknown",M776)</f>
        <v>Unknown</v>
      </c>
      <c r="AG776" s="7" t="str">
        <f>IF(P776&lt;0,"Invalid",
IF(P776&gt;1,"Invalid","Valid"))</f>
        <v>Valid</v>
      </c>
      <c r="AH776" s="7" t="str">
        <f>TEXT(B776,"mmmm")</f>
        <v>August</v>
      </c>
      <c r="AI776" s="7">
        <f t="shared" si="75"/>
        <v>2025</v>
      </c>
      <c r="AJ776" s="7" t="str">
        <f>IF(OR(R776&lt;0,C776&lt;B776),"Invalid",
IF(OR(G776="Unknown",M776="Unknown"),"Warning","Clean"))</f>
        <v>Clean</v>
      </c>
      <c r="AK776" s="7" t="str">
        <f>IF(C776&lt;B776,"Ship Before Order","OK")</f>
        <v>OK</v>
      </c>
      <c r="AL776" s="7" t="str">
        <f>IF(ISNUMBER(B776),"Valid","Invalid")</f>
        <v>Valid</v>
      </c>
      <c r="AM776" s="7" t="str">
        <f t="shared" si="76"/>
        <v>Ok</v>
      </c>
      <c r="AN776" s="7" t="str">
        <f t="shared" si="77"/>
        <v>Ok</v>
      </c>
    </row>
    <row r="777" spans="1:40">
      <c r="A777" t="s">
        <v>2400</v>
      </c>
      <c r="B777" s="6">
        <v>45396</v>
      </c>
      <c r="C777" s="4">
        <v>46275</v>
      </c>
      <c r="D777" t="s">
        <v>2401</v>
      </c>
      <c r="E777" t="s">
        <v>53</v>
      </c>
      <c r="F777" t="s">
        <v>24</v>
      </c>
      <c r="G777" t="s">
        <v>25</v>
      </c>
      <c r="H777" t="s">
        <v>236</v>
      </c>
      <c r="I777" t="s">
        <v>237</v>
      </c>
      <c r="J777" t="s">
        <v>74</v>
      </c>
      <c r="K777" t="s">
        <v>75</v>
      </c>
      <c r="L777" t="s">
        <v>2402</v>
      </c>
      <c r="M777" t="s">
        <v>59</v>
      </c>
      <c r="N777">
        <v>8</v>
      </c>
      <c r="O777">
        <v>3956.12</v>
      </c>
      <c r="P777">
        <v>0.25</v>
      </c>
      <c r="Q777" s="7">
        <f>IF(P777="", 0, P777)</f>
        <v>0.25</v>
      </c>
      <c r="R777">
        <v>23736.720000000001</v>
      </c>
      <c r="S777">
        <v>13890.9</v>
      </c>
      <c r="T777" s="7">
        <f>N777*O777*(1-Q777)</f>
        <v>23736.720000000001</v>
      </c>
      <c r="U777" s="7">
        <f t="shared" si="72"/>
        <v>9845.8200000000015</v>
      </c>
      <c r="V777">
        <v>9845.82</v>
      </c>
      <c r="W777" s="12">
        <f t="shared" si="73"/>
        <v>0.41479277676106896</v>
      </c>
      <c r="X777" t="s">
        <v>32</v>
      </c>
      <c r="Y777" t="str">
        <f t="shared" si="74"/>
        <v>Paid</v>
      </c>
      <c r="Z777" t="s">
        <v>33</v>
      </c>
      <c r="AA777">
        <f>C777-B777</f>
        <v>879</v>
      </c>
      <c r="AB777" t="str">
        <f>IF(B777="","Missing Order Date",
IF(C777="","Missing Ship Date","OK"))</f>
        <v>OK</v>
      </c>
      <c r="AC777" s="7" t="str">
        <f>IF(C777&lt;B777, "Invalid", "Valid")</f>
        <v>Valid</v>
      </c>
      <c r="AD777" s="7" t="str">
        <f>IF(COUNTIF($A:$A, A777)&gt;1, "Duplicate", "Unique")</f>
        <v>Unique</v>
      </c>
      <c r="AE777" s="7" t="str">
        <f>IF(G777="","Unknown",G777)</f>
        <v>North</v>
      </c>
      <c r="AF777" s="7" t="str">
        <f>IF(M777="","Unknown",M777)</f>
        <v>Standard Class</v>
      </c>
      <c r="AG777" s="7" t="str">
        <f>IF(P777&lt;0,"Invalid",
IF(P777&gt;1,"Invalid","Valid"))</f>
        <v>Valid</v>
      </c>
      <c r="AH777" s="7" t="str">
        <f>TEXT(B777,"mmmm")</f>
        <v>April</v>
      </c>
      <c r="AI777" s="7">
        <f t="shared" si="75"/>
        <v>2024</v>
      </c>
      <c r="AJ777" s="7" t="str">
        <f>IF(OR(R777&lt;0,C777&lt;B777),"Invalid",
IF(OR(G777="Unknown",M777="Unknown"),"Warning","Clean"))</f>
        <v>Clean</v>
      </c>
      <c r="AK777" s="7" t="str">
        <f>IF(C777&lt;B777,"Ship Before Order","OK")</f>
        <v>OK</v>
      </c>
      <c r="AL777" s="7" t="str">
        <f>IF(ISNUMBER(B777),"Valid","Invalid")</f>
        <v>Valid</v>
      </c>
      <c r="AM777" s="7" t="str">
        <f t="shared" si="76"/>
        <v>Ok</v>
      </c>
      <c r="AN777" s="7" t="str">
        <f t="shared" si="77"/>
        <v>Ok</v>
      </c>
    </row>
    <row r="778" spans="1:40">
      <c r="A778" t="s">
        <v>2403</v>
      </c>
      <c r="B778" s="6">
        <v>45816</v>
      </c>
      <c r="C778" s="4">
        <v>46276</v>
      </c>
      <c r="D778" t="s">
        <v>2404</v>
      </c>
      <c r="E778" t="s">
        <v>89</v>
      </c>
      <c r="F778" t="s">
        <v>37</v>
      </c>
      <c r="G778" t="s">
        <v>25</v>
      </c>
      <c r="H778" t="s">
        <v>26</v>
      </c>
      <c r="I778" t="s">
        <v>27</v>
      </c>
      <c r="J778" t="s">
        <v>74</v>
      </c>
      <c r="K778" t="s">
        <v>80</v>
      </c>
      <c r="L778" t="s">
        <v>2405</v>
      </c>
      <c r="M778" t="s">
        <v>31</v>
      </c>
      <c r="N778">
        <v>7</v>
      </c>
      <c r="O778">
        <v>3857.13</v>
      </c>
      <c r="P778">
        <v>0</v>
      </c>
      <c r="Q778" s="7">
        <f>IF(P778="", 0, P778)</f>
        <v>0</v>
      </c>
      <c r="R778">
        <v>26999.91</v>
      </c>
      <c r="S778">
        <v>17815.98</v>
      </c>
      <c r="T778" s="7">
        <f>N778*O778*(1-Q778)</f>
        <v>26999.91</v>
      </c>
      <c r="U778" s="7">
        <f t="shared" si="72"/>
        <v>9183.93</v>
      </c>
      <c r="V778">
        <v>9183.93</v>
      </c>
      <c r="W778" s="12">
        <f t="shared" si="73"/>
        <v>0.34014668937785347</v>
      </c>
      <c r="X778" t="s">
        <v>32</v>
      </c>
      <c r="Y778" t="str">
        <f t="shared" si="74"/>
        <v>Paid</v>
      </c>
      <c r="Z778" t="s">
        <v>33</v>
      </c>
      <c r="AA778">
        <f>C778-B778</f>
        <v>460</v>
      </c>
      <c r="AB778" t="str">
        <f>IF(B778="","Missing Order Date",
IF(C778="","Missing Ship Date","OK"))</f>
        <v>OK</v>
      </c>
      <c r="AC778" s="7" t="str">
        <f>IF(C778&lt;B778, "Invalid", "Valid")</f>
        <v>Valid</v>
      </c>
      <c r="AD778" s="7" t="str">
        <f>IF(COUNTIF($A:$A, A778)&gt;1, "Duplicate", "Unique")</f>
        <v>Unique</v>
      </c>
      <c r="AE778" s="7" t="str">
        <f>IF(G778="","Unknown",G778)</f>
        <v>North</v>
      </c>
      <c r="AF778" s="7" t="str">
        <f>IF(M778="","Unknown",M778)</f>
        <v>Second Class</v>
      </c>
      <c r="AG778" s="7" t="str">
        <f>IF(P778&lt;0,"Invalid",
IF(P778&gt;1,"Invalid","Valid"))</f>
        <v>Valid</v>
      </c>
      <c r="AH778" s="7" t="str">
        <f>TEXT(B778,"mmmm")</f>
        <v>June</v>
      </c>
      <c r="AI778" s="7">
        <f t="shared" si="75"/>
        <v>2025</v>
      </c>
      <c r="AJ778" s="7" t="str">
        <f>IF(OR(R778&lt;0,C778&lt;B778),"Invalid",
IF(OR(G778="Unknown",M778="Unknown"),"Warning","Clean"))</f>
        <v>Clean</v>
      </c>
      <c r="AK778" s="7" t="str">
        <f>IF(C778&lt;B778,"Ship Before Order","OK")</f>
        <v>OK</v>
      </c>
      <c r="AL778" s="7" t="str">
        <f>IF(ISNUMBER(B778),"Valid","Invalid")</f>
        <v>Valid</v>
      </c>
      <c r="AM778" s="7" t="str">
        <f t="shared" si="76"/>
        <v>Ok</v>
      </c>
      <c r="AN778" s="7" t="str">
        <f t="shared" si="77"/>
        <v>Ok</v>
      </c>
    </row>
    <row r="779" spans="1:40">
      <c r="A779" t="s">
        <v>2406</v>
      </c>
      <c r="B779" s="6">
        <v>45326</v>
      </c>
      <c r="C779" s="4">
        <v>46277</v>
      </c>
      <c r="D779" t="s">
        <v>2407</v>
      </c>
      <c r="E779" t="s">
        <v>264</v>
      </c>
      <c r="F779" t="s">
        <v>37</v>
      </c>
      <c r="G779" t="s">
        <v>63</v>
      </c>
      <c r="H779" t="s">
        <v>72</v>
      </c>
      <c r="I779" t="s">
        <v>73</v>
      </c>
      <c r="J779" t="s">
        <v>74</v>
      </c>
      <c r="K779" t="s">
        <v>75</v>
      </c>
      <c r="L779" t="s">
        <v>2408</v>
      </c>
      <c r="M779" t="s">
        <v>31</v>
      </c>
      <c r="N779">
        <v>4</v>
      </c>
      <c r="O779">
        <v>1489.74</v>
      </c>
      <c r="P779">
        <v>0.15</v>
      </c>
      <c r="Q779" s="7">
        <f>IF(P779="", 0, P779)</f>
        <v>0.15</v>
      </c>
      <c r="R779">
        <v>5065.12</v>
      </c>
      <c r="S779">
        <v>3530.12</v>
      </c>
      <c r="T779" s="7">
        <f>N779*O779*(1-Q779)</f>
        <v>5065.116</v>
      </c>
      <c r="U779" s="7">
        <f t="shared" si="72"/>
        <v>1534.9960000000001</v>
      </c>
      <c r="V779">
        <v>1535</v>
      </c>
      <c r="W779" s="12">
        <f t="shared" si="73"/>
        <v>0.30305248685321323</v>
      </c>
      <c r="X779" t="s">
        <v>155</v>
      </c>
      <c r="Y779" t="str">
        <f t="shared" si="74"/>
        <v>Failed</v>
      </c>
      <c r="Z779" t="s">
        <v>68</v>
      </c>
      <c r="AA779">
        <f>C779-B779</f>
        <v>951</v>
      </c>
      <c r="AB779" t="str">
        <f>IF(B779="","Missing Order Date",
IF(C779="","Missing Ship Date","OK"))</f>
        <v>OK</v>
      </c>
      <c r="AC779" s="7" t="str">
        <f>IF(C779&lt;B779, "Invalid", "Valid")</f>
        <v>Valid</v>
      </c>
      <c r="AD779" s="7" t="str">
        <f>IF(COUNTIF($A:$A, A779)&gt;1, "Duplicate", "Unique")</f>
        <v>Unique</v>
      </c>
      <c r="AE779" s="7" t="str">
        <f>IF(G779="","Unknown",G779)</f>
        <v>West</v>
      </c>
      <c r="AF779" s="7" t="str">
        <f>IF(M779="","Unknown",M779)</f>
        <v>Second Class</v>
      </c>
      <c r="AG779" s="7" t="str">
        <f>IF(P779&lt;0,"Invalid",
IF(P779&gt;1,"Invalid","Valid"))</f>
        <v>Valid</v>
      </c>
      <c r="AH779" s="7" t="str">
        <f>TEXT(B779,"mmmm")</f>
        <v>February</v>
      </c>
      <c r="AI779" s="7">
        <f t="shared" si="75"/>
        <v>2024</v>
      </c>
      <c r="AJ779" s="7" t="str">
        <f>IF(OR(R779&lt;0,C779&lt;B779),"Invalid",
IF(OR(G779="Unknown",M779="Unknown"),"Warning","Clean"))</f>
        <v>Clean</v>
      </c>
      <c r="AK779" s="7" t="str">
        <f>IF(C779&lt;B779,"Ship Before Order","OK")</f>
        <v>OK</v>
      </c>
      <c r="AL779" s="7" t="str">
        <f>IF(ISNUMBER(B779),"Valid","Invalid")</f>
        <v>Valid</v>
      </c>
      <c r="AM779" s="7" t="str">
        <f t="shared" si="76"/>
        <v>Missmatched</v>
      </c>
      <c r="AN779" s="7" t="str">
        <f t="shared" si="77"/>
        <v>Missmatched</v>
      </c>
    </row>
    <row r="780" spans="1:40">
      <c r="A780" t="s">
        <v>2409</v>
      </c>
      <c r="B780" s="6">
        <v>45497</v>
      </c>
      <c r="C780" s="4">
        <v>46278</v>
      </c>
      <c r="D780" t="s">
        <v>2410</v>
      </c>
      <c r="E780" t="s">
        <v>23</v>
      </c>
      <c r="F780" t="s">
        <v>37</v>
      </c>
      <c r="G780" t="s">
        <v>25</v>
      </c>
      <c r="H780" t="s">
        <v>236</v>
      </c>
      <c r="I780" t="s">
        <v>237</v>
      </c>
      <c r="J780" t="s">
        <v>74</v>
      </c>
      <c r="K780" t="s">
        <v>80</v>
      </c>
      <c r="L780" t="s">
        <v>2411</v>
      </c>
      <c r="M780" t="s">
        <v>31</v>
      </c>
      <c r="N780">
        <v>4</v>
      </c>
      <c r="O780">
        <v>1676.88</v>
      </c>
      <c r="P780">
        <v>0</v>
      </c>
      <c r="Q780" s="7">
        <f>IF(P780="", 0, P780)</f>
        <v>0</v>
      </c>
      <c r="R780">
        <v>6707.52</v>
      </c>
      <c r="S780">
        <v>5672.57</v>
      </c>
      <c r="T780" s="7">
        <f>N780*O780*(1-Q780)</f>
        <v>6707.52</v>
      </c>
      <c r="U780" s="7">
        <f t="shared" si="72"/>
        <v>1034.9500000000007</v>
      </c>
      <c r="V780">
        <v>1034.95</v>
      </c>
      <c r="W780" s="12">
        <f t="shared" si="73"/>
        <v>0.15429696817899918</v>
      </c>
      <c r="X780" t="s">
        <v>32</v>
      </c>
      <c r="Y780" t="str">
        <f t="shared" si="74"/>
        <v>Paid</v>
      </c>
      <c r="Z780" t="s">
        <v>33</v>
      </c>
      <c r="AA780">
        <f>C780-B780</f>
        <v>781</v>
      </c>
      <c r="AB780" t="str">
        <f>IF(B780="","Missing Order Date",
IF(C780="","Missing Ship Date","OK"))</f>
        <v>OK</v>
      </c>
      <c r="AC780" s="7" t="str">
        <f>IF(C780&lt;B780, "Invalid", "Valid")</f>
        <v>Valid</v>
      </c>
      <c r="AD780" s="7" t="str">
        <f>IF(COUNTIF($A:$A, A780)&gt;1, "Duplicate", "Unique")</f>
        <v>Unique</v>
      </c>
      <c r="AE780" s="7" t="str">
        <f>IF(G780="","Unknown",G780)</f>
        <v>North</v>
      </c>
      <c r="AF780" s="7" t="str">
        <f>IF(M780="","Unknown",M780)</f>
        <v>Second Class</v>
      </c>
      <c r="AG780" s="7" t="str">
        <f>IF(P780&lt;0,"Invalid",
IF(P780&gt;1,"Invalid","Valid"))</f>
        <v>Valid</v>
      </c>
      <c r="AH780" s="7" t="str">
        <f>TEXT(B780,"mmmm")</f>
        <v>July</v>
      </c>
      <c r="AI780" s="7">
        <f t="shared" si="75"/>
        <v>2024</v>
      </c>
      <c r="AJ780" s="7" t="str">
        <f>IF(OR(R780&lt;0,C780&lt;B780),"Invalid",
IF(OR(G780="Unknown",M780="Unknown"),"Warning","Clean"))</f>
        <v>Clean</v>
      </c>
      <c r="AK780" s="7" t="str">
        <f>IF(C780&lt;B780,"Ship Before Order","OK")</f>
        <v>OK</v>
      </c>
      <c r="AL780" s="7" t="str">
        <f>IF(ISNUMBER(B780),"Valid","Invalid")</f>
        <v>Valid</v>
      </c>
      <c r="AM780" s="7" t="str">
        <f t="shared" si="76"/>
        <v>Ok</v>
      </c>
      <c r="AN780" s="7" t="str">
        <f t="shared" si="77"/>
        <v>Ok</v>
      </c>
    </row>
    <row r="781" spans="1:40">
      <c r="A781" t="s">
        <v>2412</v>
      </c>
      <c r="B781" s="6">
        <v>45306</v>
      </c>
      <c r="C781" s="4">
        <v>46279</v>
      </c>
      <c r="D781" t="s">
        <v>2413</v>
      </c>
      <c r="E781" t="s">
        <v>114</v>
      </c>
      <c r="F781" t="s">
        <v>37</v>
      </c>
      <c r="G781" t="s">
        <v>54</v>
      </c>
      <c r="H781" t="s">
        <v>84</v>
      </c>
      <c r="I781" t="s">
        <v>85</v>
      </c>
      <c r="J781" t="s">
        <v>41</v>
      </c>
      <c r="K781" t="s">
        <v>66</v>
      </c>
      <c r="L781" t="s">
        <v>2414</v>
      </c>
      <c r="M781" t="s">
        <v>59</v>
      </c>
      <c r="N781">
        <v>4</v>
      </c>
      <c r="O781">
        <v>3153.54</v>
      </c>
      <c r="P781">
        <v>0.05</v>
      </c>
      <c r="Q781" s="7">
        <f>IF(P781="", 0, P781)</f>
        <v>0.05</v>
      </c>
      <c r="R781">
        <v>11983.45</v>
      </c>
      <c r="S781">
        <v>8572.9</v>
      </c>
      <c r="T781" s="7">
        <f>N781*O781*(1-Q781)</f>
        <v>11983.451999999999</v>
      </c>
      <c r="U781" s="7">
        <f t="shared" si="72"/>
        <v>3410.5519999999997</v>
      </c>
      <c r="V781">
        <v>3410.55</v>
      </c>
      <c r="W781" s="12">
        <f t="shared" si="73"/>
        <v>0.2846051371507976</v>
      </c>
      <c r="X781" t="s">
        <v>32</v>
      </c>
      <c r="Y781" t="str">
        <f t="shared" si="74"/>
        <v>Paid</v>
      </c>
      <c r="Z781" t="s">
        <v>33</v>
      </c>
      <c r="AA781">
        <f>C781-B781</f>
        <v>973</v>
      </c>
      <c r="AB781" t="str">
        <f>IF(B781="","Missing Order Date",
IF(C781="","Missing Ship Date","OK"))</f>
        <v>OK</v>
      </c>
      <c r="AC781" s="7" t="str">
        <f>IF(C781&lt;B781, "Invalid", "Valid")</f>
        <v>Valid</v>
      </c>
      <c r="AD781" s="7" t="str">
        <f>IF(COUNTIF($A:$A, A781)&gt;1, "Duplicate", "Unique")</f>
        <v>Unique</v>
      </c>
      <c r="AE781" s="7" t="str">
        <f>IF(G781="","Unknown",G781)</f>
        <v>South</v>
      </c>
      <c r="AF781" s="7" t="str">
        <f>IF(M781="","Unknown",M781)</f>
        <v>Standard Class</v>
      </c>
      <c r="AG781" s="7" t="str">
        <f>IF(P781&lt;0,"Invalid",
IF(P781&gt;1,"Invalid","Valid"))</f>
        <v>Valid</v>
      </c>
      <c r="AH781" s="7" t="str">
        <f>TEXT(B781,"mmmm")</f>
        <v>January</v>
      </c>
      <c r="AI781" s="7">
        <f t="shared" si="75"/>
        <v>2024</v>
      </c>
      <c r="AJ781" s="7" t="str">
        <f>IF(OR(R781&lt;0,C781&lt;B781),"Invalid",
IF(OR(G781="Unknown",M781="Unknown"),"Warning","Clean"))</f>
        <v>Clean</v>
      </c>
      <c r="AK781" s="7" t="str">
        <f>IF(C781&lt;B781,"Ship Before Order","OK")</f>
        <v>OK</v>
      </c>
      <c r="AL781" s="7" t="str">
        <f>IF(ISNUMBER(B781),"Valid","Invalid")</f>
        <v>Valid</v>
      </c>
      <c r="AM781" s="7" t="str">
        <f t="shared" si="76"/>
        <v>Missmatched</v>
      </c>
      <c r="AN781" s="7" t="str">
        <f t="shared" si="77"/>
        <v>Missmatched</v>
      </c>
    </row>
    <row r="782" spans="1:40">
      <c r="A782" t="s">
        <v>2415</v>
      </c>
      <c r="B782" s="6">
        <v>45390</v>
      </c>
      <c r="C782" s="4">
        <v>46280</v>
      </c>
      <c r="D782" t="s">
        <v>2416</v>
      </c>
      <c r="E782" t="s">
        <v>162</v>
      </c>
      <c r="F782" t="s">
        <v>37</v>
      </c>
      <c r="G782" t="s">
        <v>63</v>
      </c>
      <c r="H782" t="s">
        <v>26</v>
      </c>
      <c r="I782" t="s">
        <v>109</v>
      </c>
      <c r="J782" t="s">
        <v>41</v>
      </c>
      <c r="K782" t="s">
        <v>66</v>
      </c>
      <c r="L782" t="s">
        <v>2417</v>
      </c>
      <c r="M782" t="s">
        <v>44</v>
      </c>
      <c r="N782">
        <v>4</v>
      </c>
      <c r="O782">
        <v>426.43</v>
      </c>
      <c r="P782">
        <v>0.2</v>
      </c>
      <c r="Q782" s="7">
        <f>IF(P782="", 0, P782)</f>
        <v>0.2</v>
      </c>
      <c r="R782">
        <v>1364.58</v>
      </c>
      <c r="S782">
        <v>978.16</v>
      </c>
      <c r="T782" s="7">
        <f>N782*O782*(1-Q782)</f>
        <v>1364.576</v>
      </c>
      <c r="U782" s="7">
        <f t="shared" si="72"/>
        <v>386.41600000000005</v>
      </c>
      <c r="V782">
        <v>386.42</v>
      </c>
      <c r="W782" s="12">
        <f t="shared" si="73"/>
        <v>0.28317660577351506</v>
      </c>
      <c r="X782" t="s">
        <v>32</v>
      </c>
      <c r="Y782" t="str">
        <f t="shared" si="74"/>
        <v>Paid</v>
      </c>
      <c r="Z782" t="s">
        <v>33</v>
      </c>
      <c r="AA782">
        <f>C782-B782</f>
        <v>890</v>
      </c>
      <c r="AB782" t="str">
        <f>IF(B782="","Missing Order Date",
IF(C782="","Missing Ship Date","OK"))</f>
        <v>OK</v>
      </c>
      <c r="AC782" s="7" t="str">
        <f>IF(C782&lt;B782, "Invalid", "Valid")</f>
        <v>Valid</v>
      </c>
      <c r="AD782" s="7" t="str">
        <f>IF(COUNTIF($A:$A, A782)&gt;1, "Duplicate", "Unique")</f>
        <v>Unique</v>
      </c>
      <c r="AE782" s="7" t="str">
        <f>IF(G782="","Unknown",G782)</f>
        <v>West</v>
      </c>
      <c r="AF782" s="7" t="str">
        <f>IF(M782="","Unknown",M782)</f>
        <v>Same Day</v>
      </c>
      <c r="AG782" s="7" t="str">
        <f>IF(P782&lt;0,"Invalid",
IF(P782&gt;1,"Invalid","Valid"))</f>
        <v>Valid</v>
      </c>
      <c r="AH782" s="7" t="str">
        <f>TEXT(B782,"mmmm")</f>
        <v>April</v>
      </c>
      <c r="AI782" s="7">
        <f t="shared" si="75"/>
        <v>2024</v>
      </c>
      <c r="AJ782" s="7" t="str">
        <f>IF(OR(R782&lt;0,C782&lt;B782),"Invalid",
IF(OR(G782="Unknown",M782="Unknown"),"Warning","Clean"))</f>
        <v>Clean</v>
      </c>
      <c r="AK782" s="7" t="str">
        <f>IF(C782&lt;B782,"Ship Before Order","OK")</f>
        <v>OK</v>
      </c>
      <c r="AL782" s="7" t="str">
        <f>IF(ISNUMBER(B782),"Valid","Invalid")</f>
        <v>Valid</v>
      </c>
      <c r="AM782" s="7" t="str">
        <f t="shared" si="76"/>
        <v>Missmatched</v>
      </c>
      <c r="AN782" s="7" t="str">
        <f t="shared" si="77"/>
        <v>Missmatched</v>
      </c>
    </row>
    <row r="783" spans="1:40">
      <c r="A783" t="s">
        <v>2418</v>
      </c>
      <c r="B783" s="6">
        <v>45324</v>
      </c>
      <c r="C783" s="4">
        <v>46281</v>
      </c>
      <c r="D783" t="s">
        <v>2419</v>
      </c>
      <c r="E783" t="s">
        <v>23</v>
      </c>
      <c r="F783" t="s">
        <v>95</v>
      </c>
      <c r="G783" t="s">
        <v>63</v>
      </c>
      <c r="H783" t="s">
        <v>26</v>
      </c>
      <c r="I783" t="s">
        <v>109</v>
      </c>
      <c r="J783" t="s">
        <v>28</v>
      </c>
      <c r="K783" t="s">
        <v>91</v>
      </c>
      <c r="L783" t="s">
        <v>2420</v>
      </c>
      <c r="M783" t="s">
        <v>50</v>
      </c>
      <c r="N783">
        <v>3</v>
      </c>
      <c r="O783">
        <v>383.4</v>
      </c>
      <c r="P783">
        <v>0.25</v>
      </c>
      <c r="Q783" s="7">
        <f>IF(P783="", 0, P783)</f>
        <v>0.25</v>
      </c>
      <c r="R783">
        <v>862.65</v>
      </c>
      <c r="S783">
        <v>603.73</v>
      </c>
      <c r="T783" s="7">
        <f>N783*O783*(1-Q783)</f>
        <v>862.64999999999986</v>
      </c>
      <c r="U783" s="7">
        <f t="shared" si="72"/>
        <v>258.91999999999985</v>
      </c>
      <c r="V783">
        <v>258.92</v>
      </c>
      <c r="W783" s="12">
        <f t="shared" si="73"/>
        <v>0.30014490233582553</v>
      </c>
      <c r="X783" t="s">
        <v>111</v>
      </c>
      <c r="Y783" t="str">
        <f t="shared" si="74"/>
        <v>Pending</v>
      </c>
      <c r="Z783" t="s">
        <v>103</v>
      </c>
      <c r="AA783">
        <f>C783-B783</f>
        <v>957</v>
      </c>
      <c r="AB783" t="str">
        <f>IF(B783="","Missing Order Date",
IF(C783="","Missing Ship Date","OK"))</f>
        <v>OK</v>
      </c>
      <c r="AC783" s="7" t="str">
        <f>IF(C783&lt;B783, "Invalid", "Valid")</f>
        <v>Valid</v>
      </c>
      <c r="AD783" s="7" t="str">
        <f>IF(COUNTIF($A:$A, A783)&gt;1, "Duplicate", "Unique")</f>
        <v>Unique</v>
      </c>
      <c r="AE783" s="7" t="str">
        <f>IF(G783="","Unknown",G783)</f>
        <v>West</v>
      </c>
      <c r="AF783" s="7" t="str">
        <f>IF(M783="","Unknown",M783)</f>
        <v>First Class</v>
      </c>
      <c r="AG783" s="7" t="str">
        <f>IF(P783&lt;0,"Invalid",
IF(P783&gt;1,"Invalid","Valid"))</f>
        <v>Valid</v>
      </c>
      <c r="AH783" s="7" t="str">
        <f>TEXT(B783,"mmmm")</f>
        <v>February</v>
      </c>
      <c r="AI783" s="7">
        <f t="shared" si="75"/>
        <v>2024</v>
      </c>
      <c r="AJ783" s="7" t="str">
        <f>IF(OR(R783&lt;0,C783&lt;B783),"Invalid",
IF(OR(G783="Unknown",M783="Unknown"),"Warning","Clean"))</f>
        <v>Clean</v>
      </c>
      <c r="AK783" s="7" t="str">
        <f>IF(C783&lt;B783,"Ship Before Order","OK")</f>
        <v>OK</v>
      </c>
      <c r="AL783" s="7" t="str">
        <f>IF(ISNUMBER(B783),"Valid","Invalid")</f>
        <v>Valid</v>
      </c>
      <c r="AM783" s="7" t="str">
        <f t="shared" si="76"/>
        <v>Ok</v>
      </c>
      <c r="AN783" s="7" t="str">
        <f t="shared" si="77"/>
        <v>Ok</v>
      </c>
    </row>
    <row r="784" spans="1:40">
      <c r="A784" t="s">
        <v>2421</v>
      </c>
      <c r="B784" s="6">
        <v>45730</v>
      </c>
      <c r="C784" s="4">
        <v>46282</v>
      </c>
      <c r="D784" t="s">
        <v>2422</v>
      </c>
      <c r="E784" t="s">
        <v>36</v>
      </c>
      <c r="F784" t="s">
        <v>90</v>
      </c>
      <c r="G784" t="s">
        <v>38</v>
      </c>
      <c r="H784" t="s">
        <v>99</v>
      </c>
      <c r="I784" t="s">
        <v>100</v>
      </c>
      <c r="J784" t="s">
        <v>74</v>
      </c>
      <c r="K784" t="s">
        <v>80</v>
      </c>
      <c r="L784" t="s">
        <v>2423</v>
      </c>
      <c r="M784" t="s">
        <v>59</v>
      </c>
      <c r="N784">
        <v>2</v>
      </c>
      <c r="O784">
        <v>669.63</v>
      </c>
      <c r="P784">
        <v>0.15</v>
      </c>
      <c r="Q784" s="7">
        <f>IF(P784="", 0, P784)</f>
        <v>0.15</v>
      </c>
      <c r="R784">
        <v>1138.3699999999999</v>
      </c>
      <c r="S784">
        <v>797.34</v>
      </c>
      <c r="T784" s="7">
        <f>N784*O784*(1-Q784)</f>
        <v>1138.3709999999999</v>
      </c>
      <c r="U784" s="7">
        <f t="shared" si="72"/>
        <v>341.03099999999984</v>
      </c>
      <c r="V784">
        <v>341.03</v>
      </c>
      <c r="W784" s="12">
        <f t="shared" si="73"/>
        <v>0.29957808131092578</v>
      </c>
      <c r="X784" t="s">
        <v>32</v>
      </c>
      <c r="Y784" t="str">
        <f t="shared" si="74"/>
        <v>Paid</v>
      </c>
      <c r="Z784" t="s">
        <v>33</v>
      </c>
      <c r="AA784">
        <f>C784-B784</f>
        <v>552</v>
      </c>
      <c r="AB784" t="str">
        <f>IF(B784="","Missing Order Date",
IF(C784="","Missing Ship Date","OK"))</f>
        <v>OK</v>
      </c>
      <c r="AC784" s="7" t="str">
        <f>IF(C784&lt;B784, "Invalid", "Valid")</f>
        <v>Valid</v>
      </c>
      <c r="AD784" s="7" t="str">
        <f>IF(COUNTIF($A:$A, A784)&gt;1, "Duplicate", "Unique")</f>
        <v>Unique</v>
      </c>
      <c r="AE784" s="7" t="str">
        <f>IF(G784="","Unknown",G784)</f>
        <v>East</v>
      </c>
      <c r="AF784" s="7" t="str">
        <f>IF(M784="","Unknown",M784)</f>
        <v>Standard Class</v>
      </c>
      <c r="AG784" s="7" t="str">
        <f>IF(P784&lt;0,"Invalid",
IF(P784&gt;1,"Invalid","Valid"))</f>
        <v>Valid</v>
      </c>
      <c r="AH784" s="7" t="str">
        <f>TEXT(B784,"mmmm")</f>
        <v>March</v>
      </c>
      <c r="AI784" s="7">
        <f t="shared" si="75"/>
        <v>2025</v>
      </c>
      <c r="AJ784" s="7" t="str">
        <f>IF(OR(R784&lt;0,C784&lt;B784),"Invalid",
IF(OR(G784="Unknown",M784="Unknown"),"Warning","Clean"))</f>
        <v>Clean</v>
      </c>
      <c r="AK784" s="7" t="str">
        <f>IF(C784&lt;B784,"Ship Before Order","OK")</f>
        <v>OK</v>
      </c>
      <c r="AL784" s="7" t="str">
        <f>IF(ISNUMBER(B784),"Valid","Invalid")</f>
        <v>Valid</v>
      </c>
      <c r="AM784" s="7" t="str">
        <f t="shared" si="76"/>
        <v>Missmatched</v>
      </c>
      <c r="AN784" s="7" t="str">
        <f t="shared" si="77"/>
        <v>Missmatched</v>
      </c>
    </row>
    <row r="785" spans="1:40">
      <c r="A785" t="s">
        <v>2424</v>
      </c>
      <c r="B785" s="6">
        <v>45479</v>
      </c>
      <c r="C785" s="4">
        <v>46283</v>
      </c>
      <c r="D785" t="s">
        <v>2425</v>
      </c>
      <c r="E785" t="s">
        <v>128</v>
      </c>
      <c r="F785" t="s">
        <v>37</v>
      </c>
      <c r="G785" t="s">
        <v>38</v>
      </c>
      <c r="H785" t="s">
        <v>145</v>
      </c>
      <c r="I785" t="s">
        <v>146</v>
      </c>
      <c r="J785" t="s">
        <v>28</v>
      </c>
      <c r="K785" t="s">
        <v>48</v>
      </c>
      <c r="L785" t="s">
        <v>2426</v>
      </c>
      <c r="M785" t="s">
        <v>31</v>
      </c>
      <c r="N785">
        <v>1</v>
      </c>
      <c r="O785">
        <v>2581.9299999999998</v>
      </c>
      <c r="P785">
        <v>0.05</v>
      </c>
      <c r="Q785" s="7">
        <f>IF(P785="", 0, P785)</f>
        <v>0.05</v>
      </c>
      <c r="R785">
        <v>2452.83</v>
      </c>
      <c r="S785">
        <v>1906.7</v>
      </c>
      <c r="T785" s="7">
        <f>N785*O785*(1-Q785)</f>
        <v>2452.8334999999997</v>
      </c>
      <c r="U785" s="7">
        <f t="shared" si="72"/>
        <v>546.13349999999969</v>
      </c>
      <c r="V785">
        <v>546.13</v>
      </c>
      <c r="W785" s="12">
        <f t="shared" si="73"/>
        <v>0.22265412634000625</v>
      </c>
      <c r="X785" t="s">
        <v>32</v>
      </c>
      <c r="Y785" t="str">
        <f t="shared" si="74"/>
        <v>Paid</v>
      </c>
      <c r="Z785" t="s">
        <v>33</v>
      </c>
      <c r="AA785">
        <f>C785-B785</f>
        <v>804</v>
      </c>
      <c r="AB785" t="str">
        <f>IF(B785="","Missing Order Date",
IF(C785="","Missing Ship Date","OK"))</f>
        <v>OK</v>
      </c>
      <c r="AC785" s="7" t="str">
        <f>IF(C785&lt;B785, "Invalid", "Valid")</f>
        <v>Valid</v>
      </c>
      <c r="AD785" s="7" t="str">
        <f>IF(COUNTIF($A:$A, A785)&gt;1, "Duplicate", "Unique")</f>
        <v>Unique</v>
      </c>
      <c r="AE785" s="7" t="str">
        <f>IF(G785="","Unknown",G785)</f>
        <v>East</v>
      </c>
      <c r="AF785" s="7" t="str">
        <f>IF(M785="","Unknown",M785)</f>
        <v>Second Class</v>
      </c>
      <c r="AG785" s="7" t="str">
        <f>IF(P785&lt;0,"Invalid",
IF(P785&gt;1,"Invalid","Valid"))</f>
        <v>Valid</v>
      </c>
      <c r="AH785" s="7" t="str">
        <f>TEXT(B785,"mmmm")</f>
        <v>July</v>
      </c>
      <c r="AI785" s="7">
        <f t="shared" si="75"/>
        <v>2024</v>
      </c>
      <c r="AJ785" s="7" t="str">
        <f>IF(OR(R785&lt;0,C785&lt;B785),"Invalid",
IF(OR(G785="Unknown",M785="Unknown"),"Warning","Clean"))</f>
        <v>Clean</v>
      </c>
      <c r="AK785" s="7" t="str">
        <f>IF(C785&lt;B785,"Ship Before Order","OK")</f>
        <v>OK</v>
      </c>
      <c r="AL785" s="7" t="str">
        <f>IF(ISNUMBER(B785),"Valid","Invalid")</f>
        <v>Valid</v>
      </c>
      <c r="AM785" s="7" t="str">
        <f t="shared" si="76"/>
        <v>Missmatched</v>
      </c>
      <c r="AN785" s="7" t="str">
        <f t="shared" si="77"/>
        <v>Missmatched</v>
      </c>
    </row>
    <row r="786" spans="1:40">
      <c r="A786" t="s">
        <v>2427</v>
      </c>
      <c r="B786" s="6">
        <v>45757</v>
      </c>
      <c r="C786" s="4">
        <v>46284</v>
      </c>
      <c r="D786" t="s">
        <v>2428</v>
      </c>
      <c r="E786" t="s">
        <v>114</v>
      </c>
      <c r="F786" t="s">
        <v>90</v>
      </c>
      <c r="G786" t="s">
        <v>25</v>
      </c>
      <c r="H786" t="s">
        <v>122</v>
      </c>
      <c r="I786" t="s">
        <v>123</v>
      </c>
      <c r="J786" t="s">
        <v>74</v>
      </c>
      <c r="K786" t="s">
        <v>80</v>
      </c>
      <c r="L786" t="s">
        <v>2429</v>
      </c>
      <c r="M786" t="s">
        <v>50</v>
      </c>
      <c r="N786">
        <v>4</v>
      </c>
      <c r="O786">
        <v>418.18</v>
      </c>
      <c r="P786">
        <v>0.05</v>
      </c>
      <c r="Q786" s="7">
        <f>IF(P786="", 0, P786)</f>
        <v>0.05</v>
      </c>
      <c r="R786">
        <v>1589.08</v>
      </c>
      <c r="S786">
        <v>1084.6600000000001</v>
      </c>
      <c r="T786" s="7">
        <f>N786*O786*(1-Q786)</f>
        <v>1589.0840000000001</v>
      </c>
      <c r="U786" s="7">
        <f t="shared" si="72"/>
        <v>504.42399999999998</v>
      </c>
      <c r="V786">
        <v>504.42</v>
      </c>
      <c r="W786" s="12">
        <f t="shared" si="73"/>
        <v>0.31743067075120002</v>
      </c>
      <c r="X786" t="s">
        <v>32</v>
      </c>
      <c r="Y786" t="str">
        <f t="shared" si="74"/>
        <v>Paid</v>
      </c>
      <c r="Z786" t="s">
        <v>33</v>
      </c>
      <c r="AA786">
        <f>C786-B786</f>
        <v>527</v>
      </c>
      <c r="AB786" t="str">
        <f>IF(B786="","Missing Order Date",
IF(C786="","Missing Ship Date","OK"))</f>
        <v>OK</v>
      </c>
      <c r="AC786" s="7" t="str">
        <f>IF(C786&lt;B786, "Invalid", "Valid")</f>
        <v>Valid</v>
      </c>
      <c r="AD786" s="7" t="str">
        <f>IF(COUNTIF($A:$A, A786)&gt;1, "Duplicate", "Unique")</f>
        <v>Unique</v>
      </c>
      <c r="AE786" s="7" t="str">
        <f>IF(G786="","Unknown",G786)</f>
        <v>North</v>
      </c>
      <c r="AF786" s="7" t="str">
        <f>IF(M786="","Unknown",M786)</f>
        <v>First Class</v>
      </c>
      <c r="AG786" s="7" t="str">
        <f>IF(P786&lt;0,"Invalid",
IF(P786&gt;1,"Invalid","Valid"))</f>
        <v>Valid</v>
      </c>
      <c r="AH786" s="7" t="str">
        <f>TEXT(B786,"mmmm")</f>
        <v>April</v>
      </c>
      <c r="AI786" s="7">
        <f t="shared" si="75"/>
        <v>2025</v>
      </c>
      <c r="AJ786" s="7" t="str">
        <f>IF(OR(R786&lt;0,C786&lt;B786),"Invalid",
IF(OR(G786="Unknown",M786="Unknown"),"Warning","Clean"))</f>
        <v>Clean</v>
      </c>
      <c r="AK786" s="7" t="str">
        <f>IF(C786&lt;B786,"Ship Before Order","OK")</f>
        <v>OK</v>
      </c>
      <c r="AL786" s="7" t="str">
        <f>IF(ISNUMBER(B786),"Valid","Invalid")</f>
        <v>Valid</v>
      </c>
      <c r="AM786" s="7" t="str">
        <f t="shared" si="76"/>
        <v>Missmatched</v>
      </c>
      <c r="AN786" s="7" t="str">
        <f t="shared" si="77"/>
        <v>Missmatched</v>
      </c>
    </row>
    <row r="787" spans="1:40">
      <c r="A787" t="s">
        <v>2430</v>
      </c>
      <c r="B787" s="6">
        <v>45435</v>
      </c>
      <c r="C787" s="4">
        <v>46285</v>
      </c>
      <c r="D787" t="s">
        <v>2431</v>
      </c>
      <c r="E787" t="s">
        <v>162</v>
      </c>
      <c r="F787" t="s">
        <v>37</v>
      </c>
      <c r="G787" t="s">
        <v>25</v>
      </c>
      <c r="H787" t="s">
        <v>236</v>
      </c>
      <c r="I787" t="s">
        <v>237</v>
      </c>
      <c r="J787" t="s">
        <v>28</v>
      </c>
      <c r="K787" t="s">
        <v>124</v>
      </c>
      <c r="L787" t="s">
        <v>2432</v>
      </c>
      <c r="M787" t="s">
        <v>44</v>
      </c>
      <c r="N787">
        <v>2</v>
      </c>
      <c r="O787">
        <v>3012.94</v>
      </c>
      <c r="P787">
        <v>0.25</v>
      </c>
      <c r="Q787" s="7">
        <f>IF(P787="", 0, P787)</f>
        <v>0.25</v>
      </c>
      <c r="R787">
        <v>4519.41</v>
      </c>
      <c r="S787">
        <v>3504.16</v>
      </c>
      <c r="T787" s="7">
        <f>N787*O787*(1-Q787)</f>
        <v>4519.41</v>
      </c>
      <c r="U787" s="7">
        <f t="shared" si="72"/>
        <v>1015.25</v>
      </c>
      <c r="V787">
        <v>1275.55</v>
      </c>
      <c r="W787" s="12">
        <f t="shared" si="73"/>
        <v>0.22464215461752751</v>
      </c>
      <c r="X787" t="s">
        <v>155</v>
      </c>
      <c r="Y787" t="str">
        <f t="shared" si="74"/>
        <v>Failed</v>
      </c>
      <c r="Z787" t="s">
        <v>68</v>
      </c>
      <c r="AA787">
        <f>C787-B787</f>
        <v>850</v>
      </c>
      <c r="AB787" t="str">
        <f>IF(B787="","Missing Order Date",
IF(C787="","Missing Ship Date","OK"))</f>
        <v>OK</v>
      </c>
      <c r="AC787" s="7" t="str">
        <f>IF(C787&lt;B787, "Invalid", "Valid")</f>
        <v>Valid</v>
      </c>
      <c r="AD787" s="7" t="str">
        <f>IF(COUNTIF($A:$A, A787)&gt;1, "Duplicate", "Unique")</f>
        <v>Unique</v>
      </c>
      <c r="AE787" s="7" t="str">
        <f>IF(G787="","Unknown",G787)</f>
        <v>North</v>
      </c>
      <c r="AF787" s="7" t="str">
        <f>IF(M787="","Unknown",M787)</f>
        <v>Same Day</v>
      </c>
      <c r="AG787" s="7" t="str">
        <f>IF(P787&lt;0,"Invalid",
IF(P787&gt;1,"Invalid","Valid"))</f>
        <v>Valid</v>
      </c>
      <c r="AH787" s="7" t="str">
        <f>TEXT(B787,"mmmm")</f>
        <v>May</v>
      </c>
      <c r="AI787" s="7">
        <f t="shared" si="75"/>
        <v>2024</v>
      </c>
      <c r="AJ787" s="7" t="str">
        <f>IF(OR(R787&lt;0,C787&lt;B787),"Invalid",
IF(OR(G787="Unknown",M787="Unknown"),"Warning","Clean"))</f>
        <v>Clean</v>
      </c>
      <c r="AK787" s="7" t="str">
        <f>IF(C787&lt;B787,"Ship Before Order","OK")</f>
        <v>OK</v>
      </c>
      <c r="AL787" s="7" t="str">
        <f>IF(ISNUMBER(B787),"Valid","Invalid")</f>
        <v>Valid</v>
      </c>
      <c r="AM787" s="7" t="str">
        <f t="shared" si="76"/>
        <v>Ok</v>
      </c>
      <c r="AN787" s="7" t="str">
        <f t="shared" si="77"/>
        <v>Missmatched</v>
      </c>
    </row>
    <row r="788" spans="1:40">
      <c r="A788" t="s">
        <v>2433</v>
      </c>
      <c r="B788" s="6">
        <v>45815</v>
      </c>
      <c r="C788" s="4">
        <v>46286</v>
      </c>
      <c r="D788" t="s">
        <v>2434</v>
      </c>
      <c r="E788" t="s">
        <v>62</v>
      </c>
      <c r="F788" t="s">
        <v>90</v>
      </c>
      <c r="G788" t="s">
        <v>25</v>
      </c>
      <c r="H788" t="s">
        <v>26</v>
      </c>
      <c r="I788" t="s">
        <v>27</v>
      </c>
      <c r="J788" t="s">
        <v>41</v>
      </c>
      <c r="K788" t="s">
        <v>57</v>
      </c>
      <c r="L788" t="s">
        <v>2435</v>
      </c>
      <c r="M788" t="s">
        <v>2785</v>
      </c>
      <c r="N788">
        <v>4</v>
      </c>
      <c r="O788">
        <v>715.45</v>
      </c>
      <c r="P788">
        <v>0.05</v>
      </c>
      <c r="Q788" s="7">
        <f>IF(P788="", 0, P788)</f>
        <v>0.05</v>
      </c>
      <c r="R788">
        <v>2718.71</v>
      </c>
      <c r="S788">
        <v>2065.0500000000002</v>
      </c>
      <c r="T788" s="7">
        <f>N788*O788*(1-Q788)</f>
        <v>2718.71</v>
      </c>
      <c r="U788" s="7">
        <f t="shared" si="72"/>
        <v>653.65999999999985</v>
      </c>
      <c r="V788">
        <v>653.66</v>
      </c>
      <c r="W788" s="12">
        <f t="shared" si="73"/>
        <v>0.24043020403058799</v>
      </c>
      <c r="X788" t="s">
        <v>102</v>
      </c>
      <c r="Y788" t="str">
        <f t="shared" si="74"/>
        <v>Refunded</v>
      </c>
      <c r="Z788" t="s">
        <v>103</v>
      </c>
      <c r="AA788">
        <f>C788-B788</f>
        <v>471</v>
      </c>
      <c r="AB788" t="str">
        <f>IF(B788="","Missing Order Date",
IF(C788="","Missing Ship Date","OK"))</f>
        <v>OK</v>
      </c>
      <c r="AC788" s="7" t="str">
        <f>IF(C788&lt;B788, "Invalid", "Valid")</f>
        <v>Valid</v>
      </c>
      <c r="AD788" s="7" t="str">
        <f>IF(COUNTIF($A:$A, A788)&gt;1, "Duplicate", "Unique")</f>
        <v>Unique</v>
      </c>
      <c r="AE788" s="7" t="str">
        <f>IF(G788="","Unknown",G788)</f>
        <v>North</v>
      </c>
      <c r="AF788" s="7" t="str">
        <f>IF(M788="","Unknown",M788)</f>
        <v>Unknown</v>
      </c>
      <c r="AG788" s="7" t="str">
        <f>IF(P788&lt;0,"Invalid",
IF(P788&gt;1,"Invalid","Valid"))</f>
        <v>Valid</v>
      </c>
      <c r="AH788" s="7" t="str">
        <f>TEXT(B788,"mmmm")</f>
        <v>June</v>
      </c>
      <c r="AI788" s="7">
        <f t="shared" si="75"/>
        <v>2025</v>
      </c>
      <c r="AJ788" s="7" t="str">
        <f>IF(OR(R788&lt;0,C788&lt;B788),"Invalid",
IF(OR(G788="Unknown",M788="Unknown"),"Warning","Clean"))</f>
        <v>Clean</v>
      </c>
      <c r="AK788" s="7" t="str">
        <f>IF(C788&lt;B788,"Ship Before Order","OK")</f>
        <v>OK</v>
      </c>
      <c r="AL788" s="7" t="str">
        <f>IF(ISNUMBER(B788),"Valid","Invalid")</f>
        <v>Valid</v>
      </c>
      <c r="AM788" s="7" t="str">
        <f t="shared" si="76"/>
        <v>Ok</v>
      </c>
      <c r="AN788" s="7" t="str">
        <f t="shared" si="77"/>
        <v>Ok</v>
      </c>
    </row>
    <row r="789" spans="1:40">
      <c r="A789" t="s">
        <v>2436</v>
      </c>
      <c r="B789" s="6">
        <v>45635</v>
      </c>
      <c r="C789" s="4">
        <v>46287</v>
      </c>
      <c r="D789" t="s">
        <v>2437</v>
      </c>
      <c r="E789" t="s">
        <v>62</v>
      </c>
      <c r="F789" t="s">
        <v>95</v>
      </c>
      <c r="G789" t="s">
        <v>38</v>
      </c>
      <c r="H789" t="s">
        <v>145</v>
      </c>
      <c r="I789" t="s">
        <v>146</v>
      </c>
      <c r="J789" t="s">
        <v>28</v>
      </c>
      <c r="K789" t="s">
        <v>29</v>
      </c>
      <c r="L789" t="s">
        <v>2438</v>
      </c>
      <c r="M789" t="s">
        <v>31</v>
      </c>
      <c r="N789">
        <v>2</v>
      </c>
      <c r="O789">
        <v>3718.77</v>
      </c>
      <c r="P789">
        <v>0.05</v>
      </c>
      <c r="Q789" s="7">
        <f>IF(P789="", 0, P789)</f>
        <v>0.05</v>
      </c>
      <c r="R789">
        <v>7065.66</v>
      </c>
      <c r="S789">
        <v>4915.2700000000004</v>
      </c>
      <c r="T789" s="7">
        <f>N789*O789*(1-Q789)</f>
        <v>7065.6629999999996</v>
      </c>
      <c r="U789" s="7">
        <f t="shared" si="72"/>
        <v>2150.3929999999991</v>
      </c>
      <c r="V789">
        <v>2150.39</v>
      </c>
      <c r="W789" s="12">
        <f t="shared" si="73"/>
        <v>0.30434412170521002</v>
      </c>
      <c r="X789" t="s">
        <v>32</v>
      </c>
      <c r="Y789" t="str">
        <f t="shared" si="74"/>
        <v>Paid</v>
      </c>
      <c r="Z789" t="s">
        <v>33</v>
      </c>
      <c r="AA789">
        <f>C789-B789</f>
        <v>652</v>
      </c>
      <c r="AB789" t="str">
        <f>IF(B789="","Missing Order Date",
IF(C789="","Missing Ship Date","OK"))</f>
        <v>OK</v>
      </c>
      <c r="AC789" s="7" t="str">
        <f>IF(C789&lt;B789, "Invalid", "Valid")</f>
        <v>Valid</v>
      </c>
      <c r="AD789" s="7" t="str">
        <f>IF(COUNTIF($A:$A, A789)&gt;1, "Duplicate", "Unique")</f>
        <v>Unique</v>
      </c>
      <c r="AE789" s="7" t="str">
        <f>IF(G789="","Unknown",G789)</f>
        <v>East</v>
      </c>
      <c r="AF789" s="7" t="str">
        <f>IF(M789="","Unknown",M789)</f>
        <v>Second Class</v>
      </c>
      <c r="AG789" s="7" t="str">
        <f>IF(P789&lt;0,"Invalid",
IF(P789&gt;1,"Invalid","Valid"))</f>
        <v>Valid</v>
      </c>
      <c r="AH789" s="7" t="str">
        <f>TEXT(B789,"mmmm")</f>
        <v>December</v>
      </c>
      <c r="AI789" s="7">
        <f t="shared" si="75"/>
        <v>2024</v>
      </c>
      <c r="AJ789" s="7" t="str">
        <f>IF(OR(R789&lt;0,C789&lt;B789),"Invalid",
IF(OR(G789="Unknown",M789="Unknown"),"Warning","Clean"))</f>
        <v>Clean</v>
      </c>
      <c r="AK789" s="7" t="str">
        <f>IF(C789&lt;B789,"Ship Before Order","OK")</f>
        <v>OK</v>
      </c>
      <c r="AL789" s="7" t="str">
        <f>IF(ISNUMBER(B789),"Valid","Invalid")</f>
        <v>Valid</v>
      </c>
      <c r="AM789" s="7" t="str">
        <f t="shared" si="76"/>
        <v>Missmatched</v>
      </c>
      <c r="AN789" s="7" t="str">
        <f t="shared" si="77"/>
        <v>Missmatched</v>
      </c>
    </row>
    <row r="790" spans="1:40">
      <c r="A790" t="s">
        <v>2439</v>
      </c>
      <c r="B790" s="6">
        <v>45299</v>
      </c>
      <c r="C790" s="4">
        <v>46288</v>
      </c>
      <c r="D790" t="s">
        <v>2440</v>
      </c>
      <c r="E790" t="s">
        <v>47</v>
      </c>
      <c r="F790" t="s">
        <v>90</v>
      </c>
      <c r="G790" t="s">
        <v>25</v>
      </c>
      <c r="H790" t="s">
        <v>136</v>
      </c>
      <c r="I790" t="s">
        <v>137</v>
      </c>
      <c r="J790" t="s">
        <v>41</v>
      </c>
      <c r="K790" t="s">
        <v>66</v>
      </c>
      <c r="L790" t="s">
        <v>2441</v>
      </c>
      <c r="M790" t="s">
        <v>59</v>
      </c>
      <c r="N790">
        <v>8</v>
      </c>
      <c r="O790">
        <v>2487.64</v>
      </c>
      <c r="P790">
        <v>0.1</v>
      </c>
      <c r="Q790" s="7">
        <f>IF(P790="", 0, P790)</f>
        <v>0.1</v>
      </c>
      <c r="R790">
        <v>17911.009999999998</v>
      </c>
      <c r="S790">
        <v>11546.05</v>
      </c>
      <c r="T790" s="7">
        <f>N790*O790*(1-Q790)</f>
        <v>17911.007999999998</v>
      </c>
      <c r="U790" s="7">
        <f t="shared" si="72"/>
        <v>6364.9579999999987</v>
      </c>
      <c r="V790">
        <v>6364.96</v>
      </c>
      <c r="W790" s="12">
        <f t="shared" si="73"/>
        <v>0.35536570582738836</v>
      </c>
      <c r="X790" t="s">
        <v>155</v>
      </c>
      <c r="Y790" t="str">
        <f t="shared" si="74"/>
        <v>Failed</v>
      </c>
      <c r="Z790" t="s">
        <v>103</v>
      </c>
      <c r="AA790">
        <f>C790-B790</f>
        <v>989</v>
      </c>
      <c r="AB790" t="str">
        <f>IF(B790="","Missing Order Date",
IF(C790="","Missing Ship Date","OK"))</f>
        <v>OK</v>
      </c>
      <c r="AC790" s="7" t="str">
        <f>IF(C790&lt;B790, "Invalid", "Valid")</f>
        <v>Valid</v>
      </c>
      <c r="AD790" s="7" t="str">
        <f>IF(COUNTIF($A:$A, A790)&gt;1, "Duplicate", "Unique")</f>
        <v>Unique</v>
      </c>
      <c r="AE790" s="7" t="str">
        <f>IF(G790="","Unknown",G790)</f>
        <v>North</v>
      </c>
      <c r="AF790" s="7" t="str">
        <f>IF(M790="","Unknown",M790)</f>
        <v>Standard Class</v>
      </c>
      <c r="AG790" s="7" t="str">
        <f>IF(P790&lt;0,"Invalid",
IF(P790&gt;1,"Invalid","Valid"))</f>
        <v>Valid</v>
      </c>
      <c r="AH790" s="7" t="str">
        <f>TEXT(B790,"mmmm")</f>
        <v>January</v>
      </c>
      <c r="AI790" s="7">
        <f t="shared" si="75"/>
        <v>2024</v>
      </c>
      <c r="AJ790" s="7" t="str">
        <f>IF(OR(R790&lt;0,C790&lt;B790),"Invalid",
IF(OR(G790="Unknown",M790="Unknown"),"Warning","Clean"))</f>
        <v>Clean</v>
      </c>
      <c r="AK790" s="7" t="str">
        <f>IF(C790&lt;B790,"Ship Before Order","OK")</f>
        <v>OK</v>
      </c>
      <c r="AL790" s="7" t="str">
        <f>IF(ISNUMBER(B790),"Valid","Invalid")</f>
        <v>Valid</v>
      </c>
      <c r="AM790" s="7" t="str">
        <f t="shared" si="76"/>
        <v>Missmatched</v>
      </c>
      <c r="AN790" s="7" t="str">
        <f t="shared" si="77"/>
        <v>Missmatched</v>
      </c>
    </row>
    <row r="791" spans="1:40">
      <c r="A791" t="s">
        <v>2442</v>
      </c>
      <c r="B791" s="6">
        <v>45841</v>
      </c>
      <c r="C791" s="4">
        <v>46289</v>
      </c>
      <c r="D791" t="s">
        <v>2443</v>
      </c>
      <c r="E791" t="s">
        <v>114</v>
      </c>
      <c r="F791" t="s">
        <v>95</v>
      </c>
      <c r="G791" t="s">
        <v>2785</v>
      </c>
      <c r="H791" t="s">
        <v>26</v>
      </c>
      <c r="I791" t="s">
        <v>109</v>
      </c>
      <c r="J791" t="s">
        <v>74</v>
      </c>
      <c r="K791" t="s">
        <v>80</v>
      </c>
      <c r="L791" t="s">
        <v>2444</v>
      </c>
      <c r="M791" t="s">
        <v>44</v>
      </c>
      <c r="N791">
        <v>4</v>
      </c>
      <c r="O791">
        <v>3537.48</v>
      </c>
      <c r="P791">
        <v>0</v>
      </c>
      <c r="Q791" s="7">
        <f>IF(P791="", 0, P791)</f>
        <v>0</v>
      </c>
      <c r="R791">
        <v>14149.92</v>
      </c>
      <c r="S791">
        <v>9466.51</v>
      </c>
      <c r="T791" s="7">
        <f>N791*O791*(1-Q791)</f>
        <v>14149.92</v>
      </c>
      <c r="U791" s="7">
        <f t="shared" si="72"/>
        <v>4683.41</v>
      </c>
      <c r="V791">
        <v>4683.41</v>
      </c>
      <c r="W791" s="12">
        <f t="shared" si="73"/>
        <v>0.33098491016203624</v>
      </c>
      <c r="X791" t="s">
        <v>32</v>
      </c>
      <c r="Y791" t="str">
        <f t="shared" si="74"/>
        <v>Paid</v>
      </c>
      <c r="Z791" t="s">
        <v>33</v>
      </c>
      <c r="AA791">
        <f>C791-B791</f>
        <v>448</v>
      </c>
      <c r="AB791" t="str">
        <f>IF(B791="","Missing Order Date",
IF(C791="","Missing Ship Date","OK"))</f>
        <v>OK</v>
      </c>
      <c r="AC791" s="7" t="str">
        <f>IF(C791&lt;B791, "Invalid", "Valid")</f>
        <v>Valid</v>
      </c>
      <c r="AD791" s="7" t="str">
        <f>IF(COUNTIF($A:$A, A791)&gt;1, "Duplicate", "Unique")</f>
        <v>Unique</v>
      </c>
      <c r="AE791" s="7" t="str">
        <f>IF(G791="","Unknown",G791)</f>
        <v>Unknown</v>
      </c>
      <c r="AF791" s="7" t="str">
        <f>IF(M791="","Unknown",M791)</f>
        <v>Same Day</v>
      </c>
      <c r="AG791" s="7" t="str">
        <f>IF(P791&lt;0,"Invalid",
IF(P791&gt;1,"Invalid","Valid"))</f>
        <v>Valid</v>
      </c>
      <c r="AH791" s="7" t="str">
        <f>TEXT(B791,"mmmm")</f>
        <v>July</v>
      </c>
      <c r="AI791" s="7">
        <f t="shared" si="75"/>
        <v>2025</v>
      </c>
      <c r="AJ791" s="7" t="str">
        <f>IF(OR(R791&lt;0,C791&lt;B791),"Invalid",
IF(OR(G791="Unknown",M791="Unknown"),"Warning","Clean"))</f>
        <v>Clean</v>
      </c>
      <c r="AK791" s="7" t="str">
        <f>IF(C791&lt;B791,"Ship Before Order","OK")</f>
        <v>OK</v>
      </c>
      <c r="AL791" s="7" t="str">
        <f>IF(ISNUMBER(B791),"Valid","Invalid")</f>
        <v>Valid</v>
      </c>
      <c r="AM791" s="7" t="str">
        <f t="shared" si="76"/>
        <v>Ok</v>
      </c>
      <c r="AN791" s="7" t="str">
        <f t="shared" si="77"/>
        <v>Ok</v>
      </c>
    </row>
    <row r="792" spans="1:40">
      <c r="A792" t="s">
        <v>2445</v>
      </c>
      <c r="B792" s="6">
        <v>45443</v>
      </c>
      <c r="C792" s="4">
        <v>46290</v>
      </c>
      <c r="D792" t="s">
        <v>2446</v>
      </c>
      <c r="E792" t="s">
        <v>118</v>
      </c>
      <c r="F792" t="s">
        <v>90</v>
      </c>
      <c r="G792" t="s">
        <v>54</v>
      </c>
      <c r="H792" t="s">
        <v>84</v>
      </c>
      <c r="I792" t="s">
        <v>85</v>
      </c>
      <c r="J792" t="s">
        <v>28</v>
      </c>
      <c r="K792" t="s">
        <v>48</v>
      </c>
      <c r="L792" t="s">
        <v>2447</v>
      </c>
      <c r="M792" t="s">
        <v>59</v>
      </c>
      <c r="N792">
        <v>8</v>
      </c>
      <c r="O792">
        <v>667.59</v>
      </c>
      <c r="P792">
        <v>0.2</v>
      </c>
      <c r="Q792" s="7">
        <f>IF(P792="", 0, P792)</f>
        <v>0.2</v>
      </c>
      <c r="R792">
        <v>4272.58</v>
      </c>
      <c r="S792">
        <v>3328.92</v>
      </c>
      <c r="T792" s="7">
        <f>N792*O792*(1-Q792)</f>
        <v>4272.576</v>
      </c>
      <c r="U792" s="7">
        <f t="shared" si="72"/>
        <v>943.65599999999995</v>
      </c>
      <c r="V792">
        <v>943.66</v>
      </c>
      <c r="W792" s="12">
        <f t="shared" si="73"/>
        <v>0.22086347908147214</v>
      </c>
      <c r="X792" t="s">
        <v>32</v>
      </c>
      <c r="Y792" t="str">
        <f t="shared" si="74"/>
        <v>Paid</v>
      </c>
      <c r="Z792" t="s">
        <v>33</v>
      </c>
      <c r="AA792">
        <f>C792-B792</f>
        <v>847</v>
      </c>
      <c r="AB792" t="str">
        <f>IF(B792="","Missing Order Date",
IF(C792="","Missing Ship Date","OK"))</f>
        <v>OK</v>
      </c>
      <c r="AC792" s="7" t="str">
        <f>IF(C792&lt;B792, "Invalid", "Valid")</f>
        <v>Valid</v>
      </c>
      <c r="AD792" s="7" t="str">
        <f>IF(COUNTIF($A:$A, A792)&gt;1, "Duplicate", "Unique")</f>
        <v>Unique</v>
      </c>
      <c r="AE792" s="7" t="str">
        <f>IF(G792="","Unknown",G792)</f>
        <v>South</v>
      </c>
      <c r="AF792" s="7" t="str">
        <f>IF(M792="","Unknown",M792)</f>
        <v>Standard Class</v>
      </c>
      <c r="AG792" s="7" t="str">
        <f>IF(P792&lt;0,"Invalid",
IF(P792&gt;1,"Invalid","Valid"))</f>
        <v>Valid</v>
      </c>
      <c r="AH792" s="7" t="str">
        <f>TEXT(B792,"mmmm")</f>
        <v>May</v>
      </c>
      <c r="AI792" s="7">
        <f t="shared" si="75"/>
        <v>2024</v>
      </c>
      <c r="AJ792" s="7" t="str">
        <f>IF(OR(R792&lt;0,C792&lt;B792),"Invalid",
IF(OR(G792="Unknown",M792="Unknown"),"Warning","Clean"))</f>
        <v>Clean</v>
      </c>
      <c r="AK792" s="7" t="str">
        <f>IF(C792&lt;B792,"Ship Before Order","OK")</f>
        <v>OK</v>
      </c>
      <c r="AL792" s="7" t="str">
        <f>IF(ISNUMBER(B792),"Valid","Invalid")</f>
        <v>Valid</v>
      </c>
      <c r="AM792" s="7" t="str">
        <f t="shared" si="76"/>
        <v>Missmatched</v>
      </c>
      <c r="AN792" s="7" t="str">
        <f t="shared" si="77"/>
        <v>Missmatched</v>
      </c>
    </row>
    <row r="793" spans="1:40">
      <c r="A793" t="s">
        <v>2448</v>
      </c>
      <c r="B793" s="6">
        <v>45332</v>
      </c>
      <c r="C793" s="4">
        <v>46291</v>
      </c>
      <c r="D793" t="s">
        <v>2449</v>
      </c>
      <c r="E793" t="s">
        <v>118</v>
      </c>
      <c r="F793" t="s">
        <v>95</v>
      </c>
      <c r="G793" t="s">
        <v>54</v>
      </c>
      <c r="H793" t="s">
        <v>175</v>
      </c>
      <c r="I793" t="s">
        <v>176</v>
      </c>
      <c r="J793" t="s">
        <v>41</v>
      </c>
      <c r="K793" t="s">
        <v>158</v>
      </c>
      <c r="L793" t="s">
        <v>2450</v>
      </c>
      <c r="M793" t="s">
        <v>44</v>
      </c>
      <c r="N793">
        <v>8</v>
      </c>
      <c r="O793">
        <v>1558.77</v>
      </c>
      <c r="P793">
        <v>0.25</v>
      </c>
      <c r="Q793" s="7">
        <f>IF(P793="", 0, P793)</f>
        <v>0.25</v>
      </c>
      <c r="R793">
        <v>9352.6200000000008</v>
      </c>
      <c r="S793">
        <v>5269.41</v>
      </c>
      <c r="T793" s="7">
        <f>N793*O793*(1-Q793)</f>
        <v>9352.619999999999</v>
      </c>
      <c r="U793" s="7">
        <f t="shared" si="72"/>
        <v>4083.2099999999991</v>
      </c>
      <c r="V793">
        <v>4083.21</v>
      </c>
      <c r="W793" s="12">
        <f t="shared" si="73"/>
        <v>0.43658461479243243</v>
      </c>
      <c r="X793" t="s">
        <v>32</v>
      </c>
      <c r="Y793" t="str">
        <f t="shared" si="74"/>
        <v>Paid</v>
      </c>
      <c r="Z793" t="s">
        <v>33</v>
      </c>
      <c r="AA793">
        <f>C793-B793</f>
        <v>959</v>
      </c>
      <c r="AB793" t="str">
        <f>IF(B793="","Missing Order Date",
IF(C793="","Missing Ship Date","OK"))</f>
        <v>OK</v>
      </c>
      <c r="AC793" s="7" t="str">
        <f>IF(C793&lt;B793, "Invalid", "Valid")</f>
        <v>Valid</v>
      </c>
      <c r="AD793" s="7" t="str">
        <f>IF(COUNTIF($A:$A, A793)&gt;1, "Duplicate", "Unique")</f>
        <v>Unique</v>
      </c>
      <c r="AE793" s="7" t="str">
        <f>IF(G793="","Unknown",G793)</f>
        <v>South</v>
      </c>
      <c r="AF793" s="7" t="str">
        <f>IF(M793="","Unknown",M793)</f>
        <v>Same Day</v>
      </c>
      <c r="AG793" s="7" t="str">
        <f>IF(P793&lt;0,"Invalid",
IF(P793&gt;1,"Invalid","Valid"))</f>
        <v>Valid</v>
      </c>
      <c r="AH793" s="7" t="str">
        <f>TEXT(B793,"mmmm")</f>
        <v>February</v>
      </c>
      <c r="AI793" s="7">
        <f t="shared" si="75"/>
        <v>2024</v>
      </c>
      <c r="AJ793" s="7" t="str">
        <f>IF(OR(R793&lt;0,C793&lt;B793),"Invalid",
IF(OR(G793="Unknown",M793="Unknown"),"Warning","Clean"))</f>
        <v>Clean</v>
      </c>
      <c r="AK793" s="7" t="str">
        <f>IF(C793&lt;B793,"Ship Before Order","OK")</f>
        <v>OK</v>
      </c>
      <c r="AL793" s="7" t="str">
        <f>IF(ISNUMBER(B793),"Valid","Invalid")</f>
        <v>Valid</v>
      </c>
      <c r="AM793" s="7" t="str">
        <f t="shared" si="76"/>
        <v>Ok</v>
      </c>
      <c r="AN793" s="7" t="str">
        <f t="shared" si="77"/>
        <v>Ok</v>
      </c>
    </row>
    <row r="794" spans="1:40">
      <c r="A794" t="s">
        <v>2451</v>
      </c>
      <c r="B794" s="6">
        <v>45753</v>
      </c>
      <c r="C794" s="4">
        <v>46292</v>
      </c>
      <c r="D794" t="s">
        <v>2452</v>
      </c>
      <c r="E794" t="s">
        <v>53</v>
      </c>
      <c r="F794" t="s">
        <v>37</v>
      </c>
      <c r="G794" t="s">
        <v>38</v>
      </c>
      <c r="H794" t="s">
        <v>166</v>
      </c>
      <c r="I794" t="s">
        <v>167</v>
      </c>
      <c r="J794" t="s">
        <v>41</v>
      </c>
      <c r="K794" t="s">
        <v>57</v>
      </c>
      <c r="L794" t="s">
        <v>2453</v>
      </c>
      <c r="M794" t="s">
        <v>31</v>
      </c>
      <c r="N794">
        <v>1</v>
      </c>
      <c r="O794">
        <v>3501.12</v>
      </c>
      <c r="P794">
        <v>0.2</v>
      </c>
      <c r="Q794" s="7">
        <f>IF(P794="", 0, P794)</f>
        <v>0.2</v>
      </c>
      <c r="R794">
        <v>2800.9</v>
      </c>
      <c r="S794">
        <v>1735.98</v>
      </c>
      <c r="T794" s="7">
        <f>N794*O794*(1-Q794)</f>
        <v>2800.8960000000002</v>
      </c>
      <c r="U794" s="7">
        <f t="shared" si="72"/>
        <v>1064.9160000000002</v>
      </c>
      <c r="V794">
        <v>1064.92</v>
      </c>
      <c r="W794" s="12">
        <f t="shared" si="73"/>
        <v>0.38020547710446945</v>
      </c>
      <c r="X794" t="s">
        <v>32</v>
      </c>
      <c r="Y794" t="str">
        <f t="shared" si="74"/>
        <v>Paid</v>
      </c>
      <c r="Z794" t="s">
        <v>103</v>
      </c>
      <c r="AA794">
        <f>C794-B794</f>
        <v>539</v>
      </c>
      <c r="AB794" t="str">
        <f>IF(B794="","Missing Order Date",
IF(C794="","Missing Ship Date","OK"))</f>
        <v>OK</v>
      </c>
      <c r="AC794" s="7" t="str">
        <f>IF(C794&lt;B794, "Invalid", "Valid")</f>
        <v>Valid</v>
      </c>
      <c r="AD794" s="7" t="str">
        <f>IF(COUNTIF($A:$A, A794)&gt;1, "Duplicate", "Unique")</f>
        <v>Unique</v>
      </c>
      <c r="AE794" s="7" t="str">
        <f>IF(G794="","Unknown",G794)</f>
        <v>East</v>
      </c>
      <c r="AF794" s="7" t="str">
        <f>IF(M794="","Unknown",M794)</f>
        <v>Second Class</v>
      </c>
      <c r="AG794" s="7" t="str">
        <f>IF(P794&lt;0,"Invalid",
IF(P794&gt;1,"Invalid","Valid"))</f>
        <v>Valid</v>
      </c>
      <c r="AH794" s="7" t="str">
        <f>TEXT(B794,"mmmm")</f>
        <v>April</v>
      </c>
      <c r="AI794" s="7">
        <f t="shared" si="75"/>
        <v>2025</v>
      </c>
      <c r="AJ794" s="7" t="str">
        <f>IF(OR(R794&lt;0,C794&lt;B794),"Invalid",
IF(OR(G794="Unknown",M794="Unknown"),"Warning","Clean"))</f>
        <v>Clean</v>
      </c>
      <c r="AK794" s="7" t="str">
        <f>IF(C794&lt;B794,"Ship Before Order","OK")</f>
        <v>OK</v>
      </c>
      <c r="AL794" s="7" t="str">
        <f>IF(ISNUMBER(B794),"Valid","Invalid")</f>
        <v>Valid</v>
      </c>
      <c r="AM794" s="7" t="str">
        <f t="shared" si="76"/>
        <v>Missmatched</v>
      </c>
      <c r="AN794" s="7" t="str">
        <f t="shared" si="77"/>
        <v>Missmatched</v>
      </c>
    </row>
    <row r="795" spans="1:40">
      <c r="A795" t="s">
        <v>2454</v>
      </c>
      <c r="B795" s="6">
        <v>45440</v>
      </c>
      <c r="C795" s="4">
        <v>46293</v>
      </c>
      <c r="D795" t="s">
        <v>2455</v>
      </c>
      <c r="E795" t="s">
        <v>71</v>
      </c>
      <c r="F795" t="s">
        <v>90</v>
      </c>
      <c r="G795" t="s">
        <v>25</v>
      </c>
      <c r="H795" t="s">
        <v>26</v>
      </c>
      <c r="I795" t="s">
        <v>27</v>
      </c>
      <c r="J795" t="s">
        <v>74</v>
      </c>
      <c r="K795" t="s">
        <v>80</v>
      </c>
      <c r="L795" t="s">
        <v>2456</v>
      </c>
      <c r="M795" t="s">
        <v>31</v>
      </c>
      <c r="N795">
        <v>5</v>
      </c>
      <c r="O795">
        <v>4302.32</v>
      </c>
      <c r="P795">
        <v>0</v>
      </c>
      <c r="Q795" s="7">
        <f>IF(P795="", 0, P795)</f>
        <v>0</v>
      </c>
      <c r="R795">
        <v>21511.599999999999</v>
      </c>
      <c r="S795">
        <v>15408.47</v>
      </c>
      <c r="T795" s="7">
        <f>N795*O795*(1-Q795)</f>
        <v>21511.599999999999</v>
      </c>
      <c r="U795" s="7">
        <f t="shared" si="72"/>
        <v>6103.1299999999992</v>
      </c>
      <c r="V795">
        <v>6103.13</v>
      </c>
      <c r="W795" s="12">
        <f t="shared" si="73"/>
        <v>0.28371343833094703</v>
      </c>
      <c r="X795" t="s">
        <v>32</v>
      </c>
      <c r="Y795" t="str">
        <f t="shared" si="74"/>
        <v>Paid</v>
      </c>
      <c r="Z795" t="s">
        <v>33</v>
      </c>
      <c r="AA795">
        <f>C795-B795</f>
        <v>853</v>
      </c>
      <c r="AB795" t="str">
        <f>IF(B795="","Missing Order Date",
IF(C795="","Missing Ship Date","OK"))</f>
        <v>OK</v>
      </c>
      <c r="AC795" s="7" t="str">
        <f>IF(C795&lt;B795, "Invalid", "Valid")</f>
        <v>Valid</v>
      </c>
      <c r="AD795" s="7" t="str">
        <f>IF(COUNTIF($A:$A, A795)&gt;1, "Duplicate", "Unique")</f>
        <v>Unique</v>
      </c>
      <c r="AE795" s="7" t="str">
        <f>IF(G795="","Unknown",G795)</f>
        <v>North</v>
      </c>
      <c r="AF795" s="7" t="str">
        <f>IF(M795="","Unknown",M795)</f>
        <v>Second Class</v>
      </c>
      <c r="AG795" s="7" t="str">
        <f>IF(P795&lt;0,"Invalid",
IF(P795&gt;1,"Invalid","Valid"))</f>
        <v>Valid</v>
      </c>
      <c r="AH795" s="7" t="str">
        <f>TEXT(B795,"mmmm")</f>
        <v>May</v>
      </c>
      <c r="AI795" s="7">
        <f t="shared" si="75"/>
        <v>2024</v>
      </c>
      <c r="AJ795" s="7" t="str">
        <f>IF(OR(R795&lt;0,C795&lt;B795),"Invalid",
IF(OR(G795="Unknown",M795="Unknown"),"Warning","Clean"))</f>
        <v>Clean</v>
      </c>
      <c r="AK795" s="7" t="str">
        <f>IF(C795&lt;B795,"Ship Before Order","OK")</f>
        <v>OK</v>
      </c>
      <c r="AL795" s="7" t="str">
        <f>IF(ISNUMBER(B795),"Valid","Invalid")</f>
        <v>Valid</v>
      </c>
      <c r="AM795" s="7" t="str">
        <f t="shared" si="76"/>
        <v>Ok</v>
      </c>
      <c r="AN795" s="7" t="str">
        <f t="shared" si="77"/>
        <v>Ok</v>
      </c>
    </row>
    <row r="796" spans="1:40">
      <c r="A796" t="s">
        <v>2457</v>
      </c>
      <c r="B796" s="6">
        <v>45830</v>
      </c>
      <c r="C796" s="4">
        <v>46294</v>
      </c>
      <c r="D796" t="s">
        <v>2458</v>
      </c>
      <c r="E796" t="s">
        <v>132</v>
      </c>
      <c r="F796" t="s">
        <v>90</v>
      </c>
      <c r="G796" t="s">
        <v>38</v>
      </c>
      <c r="H796" t="s">
        <v>166</v>
      </c>
      <c r="I796" t="s">
        <v>167</v>
      </c>
      <c r="J796" t="s">
        <v>28</v>
      </c>
      <c r="K796" t="s">
        <v>29</v>
      </c>
      <c r="L796" t="s">
        <v>2459</v>
      </c>
      <c r="M796" t="s">
        <v>59</v>
      </c>
      <c r="N796">
        <v>9</v>
      </c>
      <c r="O796">
        <v>951.55</v>
      </c>
      <c r="P796">
        <v>0.15</v>
      </c>
      <c r="Q796" s="7">
        <f>IF(P796="", 0, P796)</f>
        <v>0.15</v>
      </c>
      <c r="R796">
        <v>7279.36</v>
      </c>
      <c r="S796">
        <v>4870.3900000000003</v>
      </c>
      <c r="T796" s="7">
        <f>N796*O796*(1-Q796)</f>
        <v>7279.3574999999992</v>
      </c>
      <c r="U796" s="7">
        <f t="shared" si="72"/>
        <v>2408.9674999999988</v>
      </c>
      <c r="V796">
        <v>2408.9699999999998</v>
      </c>
      <c r="W796" s="12">
        <f t="shared" si="73"/>
        <v>0.33093133562955235</v>
      </c>
      <c r="X796" t="s">
        <v>32</v>
      </c>
      <c r="Y796" t="str">
        <f t="shared" si="74"/>
        <v>Paid</v>
      </c>
      <c r="Z796" t="s">
        <v>33</v>
      </c>
      <c r="AA796">
        <f>C796-B796</f>
        <v>464</v>
      </c>
      <c r="AB796" t="str">
        <f>IF(B796="","Missing Order Date",
IF(C796="","Missing Ship Date","OK"))</f>
        <v>OK</v>
      </c>
      <c r="AC796" s="7" t="str">
        <f>IF(C796&lt;B796, "Invalid", "Valid")</f>
        <v>Valid</v>
      </c>
      <c r="AD796" s="7" t="str">
        <f>IF(COUNTIF($A:$A, A796)&gt;1, "Duplicate", "Unique")</f>
        <v>Unique</v>
      </c>
      <c r="AE796" s="7" t="str">
        <f>IF(G796="","Unknown",G796)</f>
        <v>East</v>
      </c>
      <c r="AF796" s="7" t="str">
        <f>IF(M796="","Unknown",M796)</f>
        <v>Standard Class</v>
      </c>
      <c r="AG796" s="7" t="str">
        <f>IF(P796&lt;0,"Invalid",
IF(P796&gt;1,"Invalid","Valid"))</f>
        <v>Valid</v>
      </c>
      <c r="AH796" s="7" t="str">
        <f>TEXT(B796,"mmmm")</f>
        <v>June</v>
      </c>
      <c r="AI796" s="7">
        <f t="shared" si="75"/>
        <v>2025</v>
      </c>
      <c r="AJ796" s="7" t="str">
        <f>IF(OR(R796&lt;0,C796&lt;B796),"Invalid",
IF(OR(G796="Unknown",M796="Unknown"),"Warning","Clean"))</f>
        <v>Clean</v>
      </c>
      <c r="AK796" s="7" t="str">
        <f>IF(C796&lt;B796,"Ship Before Order","OK")</f>
        <v>OK</v>
      </c>
      <c r="AL796" s="7" t="str">
        <f>IF(ISNUMBER(B796),"Valid","Invalid")</f>
        <v>Valid</v>
      </c>
      <c r="AM796" s="7" t="str">
        <f t="shared" si="76"/>
        <v>Missmatched</v>
      </c>
      <c r="AN796" s="7" t="str">
        <f t="shared" si="77"/>
        <v>Missmatched</v>
      </c>
    </row>
    <row r="797" spans="1:40">
      <c r="A797" t="s">
        <v>2460</v>
      </c>
      <c r="B797" s="6">
        <v>45503</v>
      </c>
      <c r="C797" s="4">
        <v>46295</v>
      </c>
      <c r="D797" t="s">
        <v>2461</v>
      </c>
      <c r="E797" t="s">
        <v>162</v>
      </c>
      <c r="F797" t="s">
        <v>95</v>
      </c>
      <c r="G797" t="s">
        <v>38</v>
      </c>
      <c r="H797" t="s">
        <v>39</v>
      </c>
      <c r="I797" t="s">
        <v>40</v>
      </c>
      <c r="J797" t="s">
        <v>74</v>
      </c>
      <c r="K797" t="s">
        <v>80</v>
      </c>
      <c r="L797" t="s">
        <v>2462</v>
      </c>
      <c r="M797" t="s">
        <v>44</v>
      </c>
      <c r="N797">
        <v>9</v>
      </c>
      <c r="O797">
        <v>2894.66</v>
      </c>
      <c r="P797">
        <v>0</v>
      </c>
      <c r="Q797" s="7">
        <f>IF(P797="", 0, P797)</f>
        <v>0</v>
      </c>
      <c r="R797">
        <v>26051.94</v>
      </c>
      <c r="S797">
        <v>16883.59</v>
      </c>
      <c r="T797" s="7">
        <f>N797*O797*(1-Q797)</f>
        <v>26051.94</v>
      </c>
      <c r="U797" s="7">
        <f t="shared" si="72"/>
        <v>9168.3499999999985</v>
      </c>
      <c r="V797">
        <v>9168.35</v>
      </c>
      <c r="W797" s="12">
        <f t="shared" si="73"/>
        <v>0.3519258066769691</v>
      </c>
      <c r="X797" t="s">
        <v>102</v>
      </c>
      <c r="Y797" t="str">
        <f t="shared" si="74"/>
        <v>Refunded</v>
      </c>
      <c r="Z797" t="s">
        <v>68</v>
      </c>
      <c r="AA797">
        <f>C797-B797</f>
        <v>792</v>
      </c>
      <c r="AB797" t="str">
        <f>IF(B797="","Missing Order Date",
IF(C797="","Missing Ship Date","OK"))</f>
        <v>OK</v>
      </c>
      <c r="AC797" s="7" t="str">
        <f>IF(C797&lt;B797, "Invalid", "Valid")</f>
        <v>Valid</v>
      </c>
      <c r="AD797" s="7" t="str">
        <f>IF(COUNTIF($A:$A, A797)&gt;1, "Duplicate", "Unique")</f>
        <v>Unique</v>
      </c>
      <c r="AE797" s="7" t="str">
        <f>IF(G797="","Unknown",G797)</f>
        <v>East</v>
      </c>
      <c r="AF797" s="7" t="str">
        <f>IF(M797="","Unknown",M797)</f>
        <v>Same Day</v>
      </c>
      <c r="AG797" s="7" t="str">
        <f>IF(P797&lt;0,"Invalid",
IF(P797&gt;1,"Invalid","Valid"))</f>
        <v>Valid</v>
      </c>
      <c r="AH797" s="7" t="str">
        <f>TEXT(B797,"mmmm")</f>
        <v>July</v>
      </c>
      <c r="AI797" s="7">
        <f t="shared" si="75"/>
        <v>2024</v>
      </c>
      <c r="AJ797" s="7" t="str">
        <f>IF(OR(R797&lt;0,C797&lt;B797),"Invalid",
IF(OR(G797="Unknown",M797="Unknown"),"Warning","Clean"))</f>
        <v>Clean</v>
      </c>
      <c r="AK797" s="7" t="str">
        <f>IF(C797&lt;B797,"Ship Before Order","OK")</f>
        <v>OK</v>
      </c>
      <c r="AL797" s="7" t="str">
        <f>IF(ISNUMBER(B797),"Valid","Invalid")</f>
        <v>Valid</v>
      </c>
      <c r="AM797" s="7" t="str">
        <f t="shared" si="76"/>
        <v>Ok</v>
      </c>
      <c r="AN797" s="7" t="str">
        <f t="shared" si="77"/>
        <v>Ok</v>
      </c>
    </row>
    <row r="798" spans="1:40">
      <c r="A798" t="s">
        <v>2463</v>
      </c>
      <c r="B798" s="6">
        <v>45374</v>
      </c>
      <c r="C798" s="4">
        <v>46296</v>
      </c>
      <c r="D798" t="s">
        <v>2464</v>
      </c>
      <c r="E798" t="s">
        <v>141</v>
      </c>
      <c r="F798" t="s">
        <v>37</v>
      </c>
      <c r="G798" t="s">
        <v>54</v>
      </c>
      <c r="H798" t="s">
        <v>84</v>
      </c>
      <c r="I798" t="s">
        <v>85</v>
      </c>
      <c r="J798" t="s">
        <v>74</v>
      </c>
      <c r="K798" t="s">
        <v>274</v>
      </c>
      <c r="L798" t="s">
        <v>2465</v>
      </c>
      <c r="M798" t="s">
        <v>50</v>
      </c>
      <c r="N798">
        <v>6</v>
      </c>
      <c r="O798">
        <v>1894.44</v>
      </c>
      <c r="P798">
        <v>0.15</v>
      </c>
      <c r="Q798" s="7">
        <f>IF(P798="", 0, P798)</f>
        <v>0.15</v>
      </c>
      <c r="R798">
        <v>9661.64</v>
      </c>
      <c r="S798">
        <v>6303.77</v>
      </c>
      <c r="T798" s="7">
        <f>N798*O798*(1-Q798)</f>
        <v>9661.6439999999984</v>
      </c>
      <c r="U798" s="7">
        <f t="shared" si="72"/>
        <v>3357.873999999998</v>
      </c>
      <c r="V798">
        <v>3357.87</v>
      </c>
      <c r="W798" s="12">
        <f t="shared" si="73"/>
        <v>0.34754685641491223</v>
      </c>
      <c r="X798" t="s">
        <v>32</v>
      </c>
      <c r="Y798" t="str">
        <f t="shared" si="74"/>
        <v>Paid</v>
      </c>
      <c r="Z798" t="s">
        <v>33</v>
      </c>
      <c r="AA798">
        <f>C798-B798</f>
        <v>922</v>
      </c>
      <c r="AB798" t="str">
        <f>IF(B798="","Missing Order Date",
IF(C798="","Missing Ship Date","OK"))</f>
        <v>OK</v>
      </c>
      <c r="AC798" s="7" t="str">
        <f>IF(C798&lt;B798, "Invalid", "Valid")</f>
        <v>Valid</v>
      </c>
      <c r="AD798" s="7" t="str">
        <f>IF(COUNTIF($A:$A, A798)&gt;1, "Duplicate", "Unique")</f>
        <v>Unique</v>
      </c>
      <c r="AE798" s="7" t="str">
        <f>IF(G798="","Unknown",G798)</f>
        <v>South</v>
      </c>
      <c r="AF798" s="7" t="str">
        <f>IF(M798="","Unknown",M798)</f>
        <v>First Class</v>
      </c>
      <c r="AG798" s="7" t="str">
        <f>IF(P798&lt;0,"Invalid",
IF(P798&gt;1,"Invalid","Valid"))</f>
        <v>Valid</v>
      </c>
      <c r="AH798" s="7" t="str">
        <f>TEXT(B798,"mmmm")</f>
        <v>March</v>
      </c>
      <c r="AI798" s="7">
        <f t="shared" si="75"/>
        <v>2024</v>
      </c>
      <c r="AJ798" s="7" t="str">
        <f>IF(OR(R798&lt;0,C798&lt;B798),"Invalid",
IF(OR(G798="Unknown",M798="Unknown"),"Warning","Clean"))</f>
        <v>Clean</v>
      </c>
      <c r="AK798" s="7" t="str">
        <f>IF(C798&lt;B798,"Ship Before Order","OK")</f>
        <v>OK</v>
      </c>
      <c r="AL798" s="7" t="str">
        <f>IF(ISNUMBER(B798),"Valid","Invalid")</f>
        <v>Valid</v>
      </c>
      <c r="AM798" s="7" t="str">
        <f t="shared" si="76"/>
        <v>Missmatched</v>
      </c>
      <c r="AN798" s="7" t="str">
        <f t="shared" si="77"/>
        <v>Missmatched</v>
      </c>
    </row>
    <row r="799" spans="1:40">
      <c r="A799" t="s">
        <v>2466</v>
      </c>
      <c r="B799" s="6">
        <v>45400</v>
      </c>
      <c r="C799" s="4">
        <v>46297</v>
      </c>
      <c r="D799" t="s">
        <v>2467</v>
      </c>
      <c r="E799" t="s">
        <v>128</v>
      </c>
      <c r="F799" t="s">
        <v>24</v>
      </c>
      <c r="G799" t="s">
        <v>38</v>
      </c>
      <c r="H799" t="s">
        <v>39</v>
      </c>
      <c r="I799" t="s">
        <v>40</v>
      </c>
      <c r="J799" t="s">
        <v>28</v>
      </c>
      <c r="K799" t="s">
        <v>153</v>
      </c>
      <c r="L799" t="s">
        <v>2468</v>
      </c>
      <c r="M799" t="s">
        <v>50</v>
      </c>
      <c r="N799">
        <v>8</v>
      </c>
      <c r="O799">
        <v>1714.37</v>
      </c>
      <c r="P799">
        <v>0</v>
      </c>
      <c r="Q799" s="7">
        <f>IF(P799="", 0, P799)</f>
        <v>0</v>
      </c>
      <c r="R799">
        <v>13714.96</v>
      </c>
      <c r="S799">
        <v>10550.47</v>
      </c>
      <c r="T799" s="7">
        <f>N799*O799*(1-Q799)</f>
        <v>13714.96</v>
      </c>
      <c r="U799" s="7">
        <f t="shared" si="72"/>
        <v>3164.49</v>
      </c>
      <c r="V799">
        <v>3164.49</v>
      </c>
      <c r="W799" s="12">
        <f t="shared" si="73"/>
        <v>0.23073271814135804</v>
      </c>
      <c r="X799" t="s">
        <v>155</v>
      </c>
      <c r="Y799" t="str">
        <f t="shared" si="74"/>
        <v>Failed</v>
      </c>
      <c r="Z799" t="s">
        <v>68</v>
      </c>
      <c r="AA799">
        <f>C799-B799</f>
        <v>897</v>
      </c>
      <c r="AB799" t="str">
        <f>IF(B799="","Missing Order Date",
IF(C799="","Missing Ship Date","OK"))</f>
        <v>OK</v>
      </c>
      <c r="AC799" s="7" t="str">
        <f>IF(C799&lt;B799, "Invalid", "Valid")</f>
        <v>Valid</v>
      </c>
      <c r="AD799" s="7" t="str">
        <f>IF(COUNTIF($A:$A, A799)&gt;1, "Duplicate", "Unique")</f>
        <v>Unique</v>
      </c>
      <c r="AE799" s="7" t="str">
        <f>IF(G799="","Unknown",G799)</f>
        <v>East</v>
      </c>
      <c r="AF799" s="7" t="str">
        <f>IF(M799="","Unknown",M799)</f>
        <v>First Class</v>
      </c>
      <c r="AG799" s="7" t="str">
        <f>IF(P799&lt;0,"Invalid",
IF(P799&gt;1,"Invalid","Valid"))</f>
        <v>Valid</v>
      </c>
      <c r="AH799" s="7" t="str">
        <f>TEXT(B799,"mmmm")</f>
        <v>April</v>
      </c>
      <c r="AI799" s="7">
        <f t="shared" si="75"/>
        <v>2024</v>
      </c>
      <c r="AJ799" s="7" t="str">
        <f>IF(OR(R799&lt;0,C799&lt;B799),"Invalid",
IF(OR(G799="Unknown",M799="Unknown"),"Warning","Clean"))</f>
        <v>Clean</v>
      </c>
      <c r="AK799" s="7" t="str">
        <f>IF(C799&lt;B799,"Ship Before Order","OK")</f>
        <v>OK</v>
      </c>
      <c r="AL799" s="7" t="str">
        <f>IF(ISNUMBER(B799),"Valid","Invalid")</f>
        <v>Valid</v>
      </c>
      <c r="AM799" s="7" t="str">
        <f t="shared" si="76"/>
        <v>Ok</v>
      </c>
      <c r="AN799" s="7" t="str">
        <f t="shared" si="77"/>
        <v>Ok</v>
      </c>
    </row>
    <row r="800" spans="1:40">
      <c r="A800" t="s">
        <v>2469</v>
      </c>
      <c r="B800" s="6">
        <v>45968</v>
      </c>
      <c r="C800" s="4">
        <v>46298</v>
      </c>
      <c r="D800" t="s">
        <v>2470</v>
      </c>
      <c r="E800" t="s">
        <v>89</v>
      </c>
      <c r="F800" t="s">
        <v>90</v>
      </c>
      <c r="G800" t="s">
        <v>25</v>
      </c>
      <c r="H800" t="s">
        <v>350</v>
      </c>
      <c r="I800" t="s">
        <v>351</v>
      </c>
      <c r="J800" t="s">
        <v>41</v>
      </c>
      <c r="K800" t="s">
        <v>57</v>
      </c>
      <c r="L800" t="s">
        <v>2471</v>
      </c>
      <c r="M800" t="s">
        <v>59</v>
      </c>
      <c r="N800">
        <v>9</v>
      </c>
      <c r="O800">
        <v>1706.05</v>
      </c>
      <c r="P800">
        <v>0</v>
      </c>
      <c r="Q800" s="7">
        <f>IF(P800="", 0, P800)</f>
        <v>0</v>
      </c>
      <c r="R800">
        <v>15354.45</v>
      </c>
      <c r="S800">
        <v>9656.5</v>
      </c>
      <c r="T800" s="7">
        <f>N800*O800*(1-Q800)</f>
        <v>15354.449999999999</v>
      </c>
      <c r="U800" s="7">
        <f t="shared" si="72"/>
        <v>5697.9499999999989</v>
      </c>
      <c r="V800">
        <v>5697.95</v>
      </c>
      <c r="W800" s="12">
        <f t="shared" si="73"/>
        <v>0.37109437329243311</v>
      </c>
      <c r="X800" t="s">
        <v>32</v>
      </c>
      <c r="Y800" t="str">
        <f t="shared" si="74"/>
        <v>Paid</v>
      </c>
      <c r="Z800" t="s">
        <v>33</v>
      </c>
      <c r="AA800">
        <f>C800-B800</f>
        <v>330</v>
      </c>
      <c r="AB800" t="str">
        <f>IF(B800="","Missing Order Date",
IF(C800="","Missing Ship Date","OK"))</f>
        <v>OK</v>
      </c>
      <c r="AC800" s="7" t="str">
        <f>IF(C800&lt;B800, "Invalid", "Valid")</f>
        <v>Valid</v>
      </c>
      <c r="AD800" s="7" t="str">
        <f>IF(COUNTIF($A:$A, A800)&gt;1, "Duplicate", "Unique")</f>
        <v>Unique</v>
      </c>
      <c r="AE800" s="7" t="str">
        <f>IF(G800="","Unknown",G800)</f>
        <v>North</v>
      </c>
      <c r="AF800" s="7" t="str">
        <f>IF(M800="","Unknown",M800)</f>
        <v>Standard Class</v>
      </c>
      <c r="AG800" s="7" t="str">
        <f>IF(P800&lt;0,"Invalid",
IF(P800&gt;1,"Invalid","Valid"))</f>
        <v>Valid</v>
      </c>
      <c r="AH800" s="7" t="str">
        <f>TEXT(B800,"mmmm")</f>
        <v>November</v>
      </c>
      <c r="AI800" s="7">
        <f t="shared" si="75"/>
        <v>2025</v>
      </c>
      <c r="AJ800" s="7" t="str">
        <f>IF(OR(R800&lt;0,C800&lt;B800),"Invalid",
IF(OR(G800="Unknown",M800="Unknown"),"Warning","Clean"))</f>
        <v>Clean</v>
      </c>
      <c r="AK800" s="7" t="str">
        <f>IF(C800&lt;B800,"Ship Before Order","OK")</f>
        <v>OK</v>
      </c>
      <c r="AL800" s="7" t="str">
        <f>IF(ISNUMBER(B800),"Valid","Invalid")</f>
        <v>Valid</v>
      </c>
      <c r="AM800" s="7" t="str">
        <f t="shared" si="76"/>
        <v>Ok</v>
      </c>
      <c r="AN800" s="7" t="str">
        <f t="shared" si="77"/>
        <v>Ok</v>
      </c>
    </row>
    <row r="801" spans="1:40">
      <c r="A801" t="s">
        <v>2472</v>
      </c>
      <c r="B801" s="6">
        <v>45575</v>
      </c>
      <c r="C801" s="4">
        <v>46299</v>
      </c>
      <c r="D801" t="s">
        <v>2473</v>
      </c>
      <c r="E801" t="s">
        <v>47</v>
      </c>
      <c r="F801" t="s">
        <v>95</v>
      </c>
      <c r="G801" t="s">
        <v>25</v>
      </c>
      <c r="H801" t="s">
        <v>236</v>
      </c>
      <c r="I801" t="s">
        <v>237</v>
      </c>
      <c r="J801" t="s">
        <v>74</v>
      </c>
      <c r="K801" t="s">
        <v>75</v>
      </c>
      <c r="L801" t="s">
        <v>2474</v>
      </c>
      <c r="M801" t="s">
        <v>2785</v>
      </c>
      <c r="N801">
        <v>5</v>
      </c>
      <c r="O801">
        <v>967.41</v>
      </c>
      <c r="P801">
        <v>0.05</v>
      </c>
      <c r="Q801" s="7">
        <f>IF(P801="", 0, P801)</f>
        <v>0.05</v>
      </c>
      <c r="R801">
        <v>4595.2</v>
      </c>
      <c r="S801">
        <v>3887.41</v>
      </c>
      <c r="T801" s="7">
        <f>N801*O801*(1-Q801)</f>
        <v>4595.1975000000002</v>
      </c>
      <c r="U801" s="7">
        <f t="shared" si="72"/>
        <v>707.78750000000036</v>
      </c>
      <c r="V801">
        <v>707.79</v>
      </c>
      <c r="W801" s="12">
        <f t="shared" si="73"/>
        <v>0.15402765604742785</v>
      </c>
      <c r="X801" t="s">
        <v>32</v>
      </c>
      <c r="Y801" t="str">
        <f t="shared" si="74"/>
        <v>Paid</v>
      </c>
      <c r="Z801" t="s">
        <v>103</v>
      </c>
      <c r="AA801">
        <f>C801-B801</f>
        <v>724</v>
      </c>
      <c r="AB801" t="str">
        <f>IF(B801="","Missing Order Date",
IF(C801="","Missing Ship Date","OK"))</f>
        <v>OK</v>
      </c>
      <c r="AC801" s="7" t="str">
        <f>IF(C801&lt;B801, "Invalid", "Valid")</f>
        <v>Valid</v>
      </c>
      <c r="AD801" s="7" t="str">
        <f>IF(COUNTIF($A:$A, A801)&gt;1, "Duplicate", "Unique")</f>
        <v>Unique</v>
      </c>
      <c r="AE801" s="7" t="str">
        <f>IF(G801="","Unknown",G801)</f>
        <v>North</v>
      </c>
      <c r="AF801" s="7" t="str">
        <f>IF(M801="","Unknown",M801)</f>
        <v>Unknown</v>
      </c>
      <c r="AG801" s="7" t="str">
        <f>IF(P801&lt;0,"Invalid",
IF(P801&gt;1,"Invalid","Valid"))</f>
        <v>Valid</v>
      </c>
      <c r="AH801" s="7" t="str">
        <f>TEXT(B801,"mmmm")</f>
        <v>October</v>
      </c>
      <c r="AI801" s="7">
        <f t="shared" si="75"/>
        <v>2024</v>
      </c>
      <c r="AJ801" s="7" t="str">
        <f>IF(OR(R801&lt;0,C801&lt;B801),"Invalid",
IF(OR(G801="Unknown",M801="Unknown"),"Warning","Clean"))</f>
        <v>Clean</v>
      </c>
      <c r="AK801" s="7" t="str">
        <f>IF(C801&lt;B801,"Ship Before Order","OK")</f>
        <v>OK</v>
      </c>
      <c r="AL801" s="7" t="str">
        <f>IF(ISNUMBER(B801),"Valid","Invalid")</f>
        <v>Valid</v>
      </c>
      <c r="AM801" s="7" t="str">
        <f t="shared" si="76"/>
        <v>Missmatched</v>
      </c>
      <c r="AN801" s="7" t="str">
        <f t="shared" si="77"/>
        <v>Missmatched</v>
      </c>
    </row>
    <row r="802" spans="1:40">
      <c r="A802" t="s">
        <v>2475</v>
      </c>
      <c r="B802" s="6">
        <v>45294</v>
      </c>
      <c r="C802" s="4">
        <v>46300</v>
      </c>
      <c r="D802" t="s">
        <v>2476</v>
      </c>
      <c r="E802" t="s">
        <v>71</v>
      </c>
      <c r="F802" t="s">
        <v>37</v>
      </c>
      <c r="G802" t="s">
        <v>63</v>
      </c>
      <c r="H802" t="s">
        <v>64</v>
      </c>
      <c r="I802" t="s">
        <v>65</v>
      </c>
      <c r="J802" t="s">
        <v>28</v>
      </c>
      <c r="K802" t="s">
        <v>124</v>
      </c>
      <c r="L802" t="s">
        <v>2477</v>
      </c>
      <c r="M802" t="s">
        <v>31</v>
      </c>
      <c r="N802">
        <v>6</v>
      </c>
      <c r="O802">
        <v>4163.72</v>
      </c>
      <c r="P802">
        <v>0.15</v>
      </c>
      <c r="Q802" s="7">
        <f>IF(P802="", 0, P802)</f>
        <v>0.15</v>
      </c>
      <c r="R802">
        <v>21234.97</v>
      </c>
      <c r="S802">
        <v>16736.09</v>
      </c>
      <c r="T802" s="7">
        <f>N802*O802*(1-Q802)</f>
        <v>21234.971999999998</v>
      </c>
      <c r="U802" s="7">
        <f t="shared" si="72"/>
        <v>4498.8819999999978</v>
      </c>
      <c r="V802">
        <v>4498.88</v>
      </c>
      <c r="W802" s="12">
        <f t="shared" si="73"/>
        <v>0.21186192286950029</v>
      </c>
      <c r="X802" t="s">
        <v>32</v>
      </c>
      <c r="Y802" t="str">
        <f t="shared" si="74"/>
        <v>Paid</v>
      </c>
      <c r="Z802" t="s">
        <v>33</v>
      </c>
      <c r="AA802">
        <f>C802-B802</f>
        <v>1006</v>
      </c>
      <c r="AB802" t="str">
        <f>IF(B802="","Missing Order Date",
IF(C802="","Missing Ship Date","OK"))</f>
        <v>OK</v>
      </c>
      <c r="AC802" s="7" t="str">
        <f>IF(C802&lt;B802, "Invalid", "Valid")</f>
        <v>Valid</v>
      </c>
      <c r="AD802" s="7" t="str">
        <f>IF(COUNTIF($A:$A, A802)&gt;1, "Duplicate", "Unique")</f>
        <v>Unique</v>
      </c>
      <c r="AE802" s="7" t="str">
        <f>IF(G802="","Unknown",G802)</f>
        <v>West</v>
      </c>
      <c r="AF802" s="7" t="str">
        <f>IF(M802="","Unknown",M802)</f>
        <v>Second Class</v>
      </c>
      <c r="AG802" s="7" t="str">
        <f>IF(P802&lt;0,"Invalid",
IF(P802&gt;1,"Invalid","Valid"))</f>
        <v>Valid</v>
      </c>
      <c r="AH802" s="7" t="str">
        <f>TEXT(B802,"mmmm")</f>
        <v>January</v>
      </c>
      <c r="AI802" s="7">
        <f t="shared" si="75"/>
        <v>2024</v>
      </c>
      <c r="AJ802" s="7" t="str">
        <f>IF(OR(R802&lt;0,C802&lt;B802),"Invalid",
IF(OR(G802="Unknown",M802="Unknown"),"Warning","Clean"))</f>
        <v>Clean</v>
      </c>
      <c r="AK802" s="7" t="str">
        <f>IF(C802&lt;B802,"Ship Before Order","OK")</f>
        <v>OK</v>
      </c>
      <c r="AL802" s="7" t="str">
        <f>IF(ISNUMBER(B802),"Valid","Invalid")</f>
        <v>Valid</v>
      </c>
      <c r="AM802" s="7" t="str">
        <f t="shared" si="76"/>
        <v>Missmatched</v>
      </c>
      <c r="AN802" s="7" t="str">
        <f t="shared" si="77"/>
        <v>Missmatched</v>
      </c>
    </row>
    <row r="803" spans="1:40">
      <c r="A803" t="s">
        <v>2478</v>
      </c>
      <c r="B803" s="6">
        <v>45879</v>
      </c>
      <c r="C803" s="4">
        <v>46301</v>
      </c>
      <c r="D803" t="s">
        <v>2479</v>
      </c>
      <c r="E803" t="s">
        <v>128</v>
      </c>
      <c r="F803" t="s">
        <v>95</v>
      </c>
      <c r="G803" t="s">
        <v>38</v>
      </c>
      <c r="H803" t="s">
        <v>39</v>
      </c>
      <c r="I803" t="s">
        <v>40</v>
      </c>
      <c r="J803" t="s">
        <v>74</v>
      </c>
      <c r="K803" t="s">
        <v>75</v>
      </c>
      <c r="L803" t="s">
        <v>2480</v>
      </c>
      <c r="M803" t="s">
        <v>31</v>
      </c>
      <c r="N803">
        <v>3</v>
      </c>
      <c r="O803">
        <v>3372.21</v>
      </c>
      <c r="P803">
        <v>0.2</v>
      </c>
      <c r="Q803" s="7">
        <f>IF(P803="", 0, P803)</f>
        <v>0.2</v>
      </c>
      <c r="R803">
        <v>8093.3</v>
      </c>
      <c r="S803">
        <v>6052.43</v>
      </c>
      <c r="T803" s="7">
        <f>N803*O803*(1-Q803)</f>
        <v>8093.304000000001</v>
      </c>
      <c r="U803" s="7">
        <f t="shared" si="72"/>
        <v>2040.8740000000007</v>
      </c>
      <c r="V803">
        <v>2040.87</v>
      </c>
      <c r="W803" s="12">
        <f t="shared" si="73"/>
        <v>0.25216821214179036</v>
      </c>
      <c r="X803" t="s">
        <v>111</v>
      </c>
      <c r="Y803" t="str">
        <f t="shared" si="74"/>
        <v>Pending</v>
      </c>
      <c r="Z803" t="s">
        <v>68</v>
      </c>
      <c r="AA803">
        <f>C803-B803</f>
        <v>422</v>
      </c>
      <c r="AB803" t="str">
        <f>IF(B803="","Missing Order Date",
IF(C803="","Missing Ship Date","OK"))</f>
        <v>OK</v>
      </c>
      <c r="AC803" s="7" t="str">
        <f>IF(C803&lt;B803, "Invalid", "Valid")</f>
        <v>Valid</v>
      </c>
      <c r="AD803" s="7" t="str">
        <f>IF(COUNTIF($A:$A, A803)&gt;1, "Duplicate", "Unique")</f>
        <v>Unique</v>
      </c>
      <c r="AE803" s="7" t="str">
        <f>IF(G803="","Unknown",G803)</f>
        <v>East</v>
      </c>
      <c r="AF803" s="7" t="str">
        <f>IF(M803="","Unknown",M803)</f>
        <v>Second Class</v>
      </c>
      <c r="AG803" s="7" t="str">
        <f>IF(P803&lt;0,"Invalid",
IF(P803&gt;1,"Invalid","Valid"))</f>
        <v>Valid</v>
      </c>
      <c r="AH803" s="7" t="str">
        <f>TEXT(B803,"mmmm")</f>
        <v>August</v>
      </c>
      <c r="AI803" s="7">
        <f t="shared" si="75"/>
        <v>2025</v>
      </c>
      <c r="AJ803" s="7" t="str">
        <f>IF(OR(R803&lt;0,C803&lt;B803),"Invalid",
IF(OR(G803="Unknown",M803="Unknown"),"Warning","Clean"))</f>
        <v>Clean</v>
      </c>
      <c r="AK803" s="7" t="str">
        <f>IF(C803&lt;B803,"Ship Before Order","OK")</f>
        <v>OK</v>
      </c>
      <c r="AL803" s="7" t="str">
        <f>IF(ISNUMBER(B803),"Valid","Invalid")</f>
        <v>Valid</v>
      </c>
      <c r="AM803" s="7" t="str">
        <f t="shared" si="76"/>
        <v>Missmatched</v>
      </c>
      <c r="AN803" s="7" t="str">
        <f t="shared" si="77"/>
        <v>Missmatched</v>
      </c>
    </row>
    <row r="804" spans="1:40">
      <c r="A804" t="s">
        <v>2481</v>
      </c>
      <c r="B804" s="6">
        <v>45704</v>
      </c>
      <c r="C804" s="4">
        <v>46302</v>
      </c>
      <c r="D804" t="s">
        <v>2482</v>
      </c>
      <c r="E804" t="s">
        <v>141</v>
      </c>
      <c r="F804" t="s">
        <v>37</v>
      </c>
      <c r="G804" t="s">
        <v>38</v>
      </c>
      <c r="H804" t="s">
        <v>166</v>
      </c>
      <c r="I804" t="s">
        <v>167</v>
      </c>
      <c r="J804" t="s">
        <v>41</v>
      </c>
      <c r="K804" t="s">
        <v>57</v>
      </c>
      <c r="L804" t="s">
        <v>2483</v>
      </c>
      <c r="M804" t="s">
        <v>31</v>
      </c>
      <c r="N804">
        <v>6</v>
      </c>
      <c r="O804">
        <v>1441.91</v>
      </c>
      <c r="P804">
        <v>0</v>
      </c>
      <c r="Q804" s="7">
        <f>IF(P804="", 0, P804)</f>
        <v>0</v>
      </c>
      <c r="R804">
        <v>8651.4599999999991</v>
      </c>
      <c r="S804">
        <v>5254.62</v>
      </c>
      <c r="T804" s="7">
        <f>N804*O804*(1-Q804)</f>
        <v>8651.4600000000009</v>
      </c>
      <c r="U804" s="7">
        <f t="shared" si="72"/>
        <v>3396.8400000000011</v>
      </c>
      <c r="V804">
        <v>3396.84</v>
      </c>
      <c r="W804" s="12">
        <f t="shared" si="73"/>
        <v>0.39263199506210522</v>
      </c>
      <c r="X804" t="s">
        <v>155</v>
      </c>
      <c r="Y804" t="str">
        <f t="shared" si="74"/>
        <v>Failed</v>
      </c>
      <c r="Z804" t="s">
        <v>103</v>
      </c>
      <c r="AA804">
        <f>C804-B804</f>
        <v>598</v>
      </c>
      <c r="AB804" t="str">
        <f>IF(B804="","Missing Order Date",
IF(C804="","Missing Ship Date","OK"))</f>
        <v>OK</v>
      </c>
      <c r="AC804" s="7" t="str">
        <f>IF(C804&lt;B804, "Invalid", "Valid")</f>
        <v>Valid</v>
      </c>
      <c r="AD804" s="7" t="str">
        <f>IF(COUNTIF($A:$A, A804)&gt;1, "Duplicate", "Unique")</f>
        <v>Unique</v>
      </c>
      <c r="AE804" s="7" t="str">
        <f>IF(G804="","Unknown",G804)</f>
        <v>East</v>
      </c>
      <c r="AF804" s="7" t="str">
        <f>IF(M804="","Unknown",M804)</f>
        <v>Second Class</v>
      </c>
      <c r="AG804" s="7" t="str">
        <f>IF(P804&lt;0,"Invalid",
IF(P804&gt;1,"Invalid","Valid"))</f>
        <v>Valid</v>
      </c>
      <c r="AH804" s="7" t="str">
        <f>TEXT(B804,"mmmm")</f>
        <v>February</v>
      </c>
      <c r="AI804" s="7">
        <f t="shared" si="75"/>
        <v>2025</v>
      </c>
      <c r="AJ804" s="7" t="str">
        <f>IF(OR(R804&lt;0,C804&lt;B804),"Invalid",
IF(OR(G804="Unknown",M804="Unknown"),"Warning","Clean"))</f>
        <v>Clean</v>
      </c>
      <c r="AK804" s="7" t="str">
        <f>IF(C804&lt;B804,"Ship Before Order","OK")</f>
        <v>OK</v>
      </c>
      <c r="AL804" s="7" t="str">
        <f>IF(ISNUMBER(B804),"Valid","Invalid")</f>
        <v>Valid</v>
      </c>
      <c r="AM804" s="7" t="str">
        <f t="shared" si="76"/>
        <v>Ok</v>
      </c>
      <c r="AN804" s="7" t="str">
        <f t="shared" si="77"/>
        <v>Ok</v>
      </c>
    </row>
    <row r="805" spans="1:40">
      <c r="A805" t="s">
        <v>2484</v>
      </c>
      <c r="B805" s="6">
        <v>45547</v>
      </c>
      <c r="C805" s="4">
        <v>46303</v>
      </c>
      <c r="D805" t="s">
        <v>2485</v>
      </c>
      <c r="E805" t="s">
        <v>141</v>
      </c>
      <c r="F805" t="s">
        <v>24</v>
      </c>
      <c r="G805" t="s">
        <v>2785</v>
      </c>
      <c r="H805" t="s">
        <v>228</v>
      </c>
      <c r="I805" t="s">
        <v>229</v>
      </c>
      <c r="J805" t="s">
        <v>28</v>
      </c>
      <c r="K805" t="s">
        <v>91</v>
      </c>
      <c r="L805" t="s">
        <v>2486</v>
      </c>
      <c r="M805" t="s">
        <v>50</v>
      </c>
      <c r="N805">
        <v>1</v>
      </c>
      <c r="O805">
        <v>4306.6499999999996</v>
      </c>
      <c r="P805">
        <v>0</v>
      </c>
      <c r="Q805" s="7">
        <f>IF(P805="", 0, P805)</f>
        <v>0</v>
      </c>
      <c r="R805">
        <v>4306.6499999999996</v>
      </c>
      <c r="S805">
        <v>2568.8200000000002</v>
      </c>
      <c r="T805" s="7">
        <f>N805*O805*(1-Q805)</f>
        <v>4306.6499999999996</v>
      </c>
      <c r="U805" s="7">
        <f t="shared" si="72"/>
        <v>1737.8299999999995</v>
      </c>
      <c r="V805">
        <v>1737.83</v>
      </c>
      <c r="W805" s="12">
        <f t="shared" si="73"/>
        <v>0.40352245945224235</v>
      </c>
      <c r="X805" t="s">
        <v>32</v>
      </c>
      <c r="Y805" t="str">
        <f t="shared" si="74"/>
        <v>Paid</v>
      </c>
      <c r="Z805" t="s">
        <v>33</v>
      </c>
      <c r="AA805">
        <f>C805-B805</f>
        <v>756</v>
      </c>
      <c r="AB805" t="str">
        <f>IF(B805="","Missing Order Date",
IF(C805="","Missing Ship Date","OK"))</f>
        <v>OK</v>
      </c>
      <c r="AC805" s="7" t="str">
        <f>IF(C805&lt;B805, "Invalid", "Valid")</f>
        <v>Valid</v>
      </c>
      <c r="AD805" s="7" t="str">
        <f>IF(COUNTIF($A:$A, A805)&gt;1, "Duplicate", "Unique")</f>
        <v>Unique</v>
      </c>
      <c r="AE805" s="7" t="str">
        <f>IF(G805="","Unknown",G805)</f>
        <v>Unknown</v>
      </c>
      <c r="AF805" s="7" t="str">
        <f>IF(M805="","Unknown",M805)</f>
        <v>First Class</v>
      </c>
      <c r="AG805" s="7" t="str">
        <f>IF(P805&lt;0,"Invalid",
IF(P805&gt;1,"Invalid","Valid"))</f>
        <v>Valid</v>
      </c>
      <c r="AH805" s="7" t="str">
        <f>TEXT(B805,"mmmm")</f>
        <v>September</v>
      </c>
      <c r="AI805" s="7">
        <f t="shared" si="75"/>
        <v>2024</v>
      </c>
      <c r="AJ805" s="7" t="str">
        <f>IF(OR(R805&lt;0,C805&lt;B805),"Invalid",
IF(OR(G805="Unknown",M805="Unknown"),"Warning","Clean"))</f>
        <v>Clean</v>
      </c>
      <c r="AK805" s="7" t="str">
        <f>IF(C805&lt;B805,"Ship Before Order","OK")</f>
        <v>OK</v>
      </c>
      <c r="AL805" s="7" t="str">
        <f>IF(ISNUMBER(B805),"Valid","Invalid")</f>
        <v>Valid</v>
      </c>
      <c r="AM805" s="7" t="str">
        <f t="shared" si="76"/>
        <v>Ok</v>
      </c>
      <c r="AN805" s="7" t="str">
        <f t="shared" si="77"/>
        <v>Ok</v>
      </c>
    </row>
    <row r="806" spans="1:40">
      <c r="A806" t="s">
        <v>2487</v>
      </c>
      <c r="B806" s="6">
        <v>45910</v>
      </c>
      <c r="C806" s="4">
        <v>46304</v>
      </c>
      <c r="D806" t="s">
        <v>2488</v>
      </c>
      <c r="E806" t="s">
        <v>118</v>
      </c>
      <c r="F806" t="s">
        <v>95</v>
      </c>
      <c r="G806" t="s">
        <v>54</v>
      </c>
      <c r="H806" t="s">
        <v>55</v>
      </c>
      <c r="I806" t="s">
        <v>56</v>
      </c>
      <c r="J806" t="s">
        <v>41</v>
      </c>
      <c r="K806" t="s">
        <v>57</v>
      </c>
      <c r="L806" t="s">
        <v>2489</v>
      </c>
      <c r="M806" t="s">
        <v>59</v>
      </c>
      <c r="N806">
        <v>1</v>
      </c>
      <c r="O806">
        <v>2050.62</v>
      </c>
      <c r="P806">
        <v>0.05</v>
      </c>
      <c r="Q806" s="7">
        <f>IF(P806="", 0, P806)</f>
        <v>0.05</v>
      </c>
      <c r="R806">
        <v>1948.09</v>
      </c>
      <c r="S806">
        <v>1507.08</v>
      </c>
      <c r="T806" s="7">
        <f>N806*O806*(1-Q806)</f>
        <v>1948.0889999999997</v>
      </c>
      <c r="U806" s="7">
        <f t="shared" si="72"/>
        <v>441.00899999999979</v>
      </c>
      <c r="V806">
        <v>441.01</v>
      </c>
      <c r="W806" s="12">
        <f t="shared" si="73"/>
        <v>0.22638031424642296</v>
      </c>
      <c r="X806" t="s">
        <v>32</v>
      </c>
      <c r="Y806" t="str">
        <f t="shared" si="74"/>
        <v>Paid</v>
      </c>
      <c r="Z806" t="s">
        <v>33</v>
      </c>
      <c r="AA806">
        <f>C806-B806</f>
        <v>394</v>
      </c>
      <c r="AB806" t="str">
        <f>IF(B806="","Missing Order Date",
IF(C806="","Missing Ship Date","OK"))</f>
        <v>OK</v>
      </c>
      <c r="AC806" s="7" t="str">
        <f>IF(C806&lt;B806, "Invalid", "Valid")</f>
        <v>Valid</v>
      </c>
      <c r="AD806" s="7" t="str">
        <f>IF(COUNTIF($A:$A, A806)&gt;1, "Duplicate", "Unique")</f>
        <v>Unique</v>
      </c>
      <c r="AE806" s="7" t="str">
        <f>IF(G806="","Unknown",G806)</f>
        <v>South</v>
      </c>
      <c r="AF806" s="7" t="str">
        <f>IF(M806="","Unknown",M806)</f>
        <v>Standard Class</v>
      </c>
      <c r="AG806" s="7" t="str">
        <f>IF(P806&lt;0,"Invalid",
IF(P806&gt;1,"Invalid","Valid"))</f>
        <v>Valid</v>
      </c>
      <c r="AH806" s="7" t="str">
        <f>TEXT(B806,"mmmm")</f>
        <v>September</v>
      </c>
      <c r="AI806" s="7">
        <f t="shared" si="75"/>
        <v>2025</v>
      </c>
      <c r="AJ806" s="7" t="str">
        <f>IF(OR(R806&lt;0,C806&lt;B806),"Invalid",
IF(OR(G806="Unknown",M806="Unknown"),"Warning","Clean"))</f>
        <v>Clean</v>
      </c>
      <c r="AK806" s="7" t="str">
        <f>IF(C806&lt;B806,"Ship Before Order","OK")</f>
        <v>OK</v>
      </c>
      <c r="AL806" s="7" t="str">
        <f>IF(ISNUMBER(B806),"Valid","Invalid")</f>
        <v>Valid</v>
      </c>
      <c r="AM806" s="7" t="str">
        <f t="shared" si="76"/>
        <v>Missmatched</v>
      </c>
      <c r="AN806" s="7" t="str">
        <f t="shared" si="77"/>
        <v>Missmatched</v>
      </c>
    </row>
    <row r="807" spans="1:40">
      <c r="A807" t="s">
        <v>2490</v>
      </c>
      <c r="B807" s="6">
        <v>45812</v>
      </c>
      <c r="C807" s="4">
        <v>46305</v>
      </c>
      <c r="D807" t="s">
        <v>2355</v>
      </c>
      <c r="E807" t="s">
        <v>114</v>
      </c>
      <c r="F807" t="s">
        <v>95</v>
      </c>
      <c r="G807" t="s">
        <v>38</v>
      </c>
      <c r="H807" t="s">
        <v>166</v>
      </c>
      <c r="I807" t="s">
        <v>167</v>
      </c>
      <c r="J807" t="s">
        <v>28</v>
      </c>
      <c r="K807" t="s">
        <v>153</v>
      </c>
      <c r="L807" t="s">
        <v>2491</v>
      </c>
      <c r="M807" t="s">
        <v>31</v>
      </c>
      <c r="N807">
        <v>2</v>
      </c>
      <c r="O807">
        <v>2030.06</v>
      </c>
      <c r="P807">
        <v>0.25</v>
      </c>
      <c r="Q807" s="7">
        <f>IF(P807="", 0, P807)</f>
        <v>0.25</v>
      </c>
      <c r="R807">
        <v>3045.09</v>
      </c>
      <c r="S807">
        <v>2601.09</v>
      </c>
      <c r="T807" s="7">
        <f>N807*O807*(1-Q807)</f>
        <v>3045.09</v>
      </c>
      <c r="U807" s="7">
        <f t="shared" si="72"/>
        <v>444</v>
      </c>
      <c r="V807">
        <v>444</v>
      </c>
      <c r="W807" s="12">
        <f t="shared" si="73"/>
        <v>0.14580849827098705</v>
      </c>
      <c r="X807" t="s">
        <v>32</v>
      </c>
      <c r="Y807" t="str">
        <f t="shared" si="74"/>
        <v>Paid</v>
      </c>
      <c r="Z807" t="s">
        <v>33</v>
      </c>
      <c r="AA807">
        <f>C807-B807</f>
        <v>493</v>
      </c>
      <c r="AB807" t="str">
        <f>IF(B807="","Missing Order Date",
IF(C807="","Missing Ship Date","OK"))</f>
        <v>OK</v>
      </c>
      <c r="AC807" s="7" t="str">
        <f>IF(C807&lt;B807, "Invalid", "Valid")</f>
        <v>Valid</v>
      </c>
      <c r="AD807" s="7" t="str">
        <f>IF(COUNTIF($A:$A, A807)&gt;1, "Duplicate", "Unique")</f>
        <v>Unique</v>
      </c>
      <c r="AE807" s="7" t="str">
        <f>IF(G807="","Unknown",G807)</f>
        <v>East</v>
      </c>
      <c r="AF807" s="7" t="str">
        <f>IF(M807="","Unknown",M807)</f>
        <v>Second Class</v>
      </c>
      <c r="AG807" s="7" t="str">
        <f>IF(P807&lt;0,"Invalid",
IF(P807&gt;1,"Invalid","Valid"))</f>
        <v>Valid</v>
      </c>
      <c r="AH807" s="7" t="str">
        <f>TEXT(B807,"mmmm")</f>
        <v>June</v>
      </c>
      <c r="AI807" s="7">
        <f t="shared" si="75"/>
        <v>2025</v>
      </c>
      <c r="AJ807" s="7" t="str">
        <f>IF(OR(R807&lt;0,C807&lt;B807),"Invalid",
IF(OR(G807="Unknown",M807="Unknown"),"Warning","Clean"))</f>
        <v>Clean</v>
      </c>
      <c r="AK807" s="7" t="str">
        <f>IF(C807&lt;B807,"Ship Before Order","OK")</f>
        <v>OK</v>
      </c>
      <c r="AL807" s="7" t="str">
        <f>IF(ISNUMBER(B807),"Valid","Invalid")</f>
        <v>Valid</v>
      </c>
      <c r="AM807" s="7" t="str">
        <f t="shared" si="76"/>
        <v>Ok</v>
      </c>
      <c r="AN807" s="7" t="str">
        <f t="shared" si="77"/>
        <v>Ok</v>
      </c>
    </row>
    <row r="808" spans="1:40">
      <c r="A808" t="s">
        <v>2492</v>
      </c>
      <c r="B808" s="6">
        <v>45605</v>
      </c>
      <c r="C808" s="4">
        <v>46306</v>
      </c>
      <c r="D808" t="s">
        <v>2493</v>
      </c>
      <c r="E808" t="s">
        <v>47</v>
      </c>
      <c r="F808" t="s">
        <v>95</v>
      </c>
      <c r="G808" t="s">
        <v>25</v>
      </c>
      <c r="H808" t="s">
        <v>26</v>
      </c>
      <c r="I808" t="s">
        <v>27</v>
      </c>
      <c r="J808" t="s">
        <v>74</v>
      </c>
      <c r="K808" t="s">
        <v>80</v>
      </c>
      <c r="L808" t="s">
        <v>2494</v>
      </c>
      <c r="M808" t="s">
        <v>59</v>
      </c>
      <c r="N808">
        <v>1</v>
      </c>
      <c r="O808">
        <v>3665.97</v>
      </c>
      <c r="P808">
        <v>0.2</v>
      </c>
      <c r="Q808" s="7">
        <f>IF(P808="", 0, P808)</f>
        <v>0.2</v>
      </c>
      <c r="R808">
        <v>2932.78</v>
      </c>
      <c r="S808">
        <v>1900.35</v>
      </c>
      <c r="T808" s="7">
        <f>N808*O808*(1-Q808)</f>
        <v>2932.7759999999998</v>
      </c>
      <c r="U808" s="7">
        <f t="shared" si="72"/>
        <v>1032.4259999999999</v>
      </c>
      <c r="V808">
        <v>1032.43</v>
      </c>
      <c r="W808" s="12">
        <f t="shared" si="73"/>
        <v>0.35203029484692999</v>
      </c>
      <c r="X808" t="s">
        <v>155</v>
      </c>
      <c r="Y808" t="str">
        <f t="shared" si="74"/>
        <v>Failed</v>
      </c>
      <c r="Z808" t="s">
        <v>68</v>
      </c>
      <c r="AA808">
        <f>C808-B808</f>
        <v>701</v>
      </c>
      <c r="AB808" t="str">
        <f>IF(B808="","Missing Order Date",
IF(C808="","Missing Ship Date","OK"))</f>
        <v>OK</v>
      </c>
      <c r="AC808" s="7" t="str">
        <f>IF(C808&lt;B808, "Invalid", "Valid")</f>
        <v>Valid</v>
      </c>
      <c r="AD808" s="7" t="str">
        <f>IF(COUNTIF($A:$A, A808)&gt;1, "Duplicate", "Unique")</f>
        <v>Unique</v>
      </c>
      <c r="AE808" s="7" t="str">
        <f>IF(G808="","Unknown",G808)</f>
        <v>North</v>
      </c>
      <c r="AF808" s="7" t="str">
        <f>IF(M808="","Unknown",M808)</f>
        <v>Standard Class</v>
      </c>
      <c r="AG808" s="7" t="str">
        <f>IF(P808&lt;0,"Invalid",
IF(P808&gt;1,"Invalid","Valid"))</f>
        <v>Valid</v>
      </c>
      <c r="AH808" s="7" t="str">
        <f>TEXT(B808,"mmmm")</f>
        <v>November</v>
      </c>
      <c r="AI808" s="7">
        <f t="shared" si="75"/>
        <v>2024</v>
      </c>
      <c r="AJ808" s="7" t="str">
        <f>IF(OR(R808&lt;0,C808&lt;B808),"Invalid",
IF(OR(G808="Unknown",M808="Unknown"),"Warning","Clean"))</f>
        <v>Clean</v>
      </c>
      <c r="AK808" s="7" t="str">
        <f>IF(C808&lt;B808,"Ship Before Order","OK")</f>
        <v>OK</v>
      </c>
      <c r="AL808" s="7" t="str">
        <f>IF(ISNUMBER(B808),"Valid","Invalid")</f>
        <v>Valid</v>
      </c>
      <c r="AM808" s="7" t="str">
        <f t="shared" si="76"/>
        <v>Missmatched</v>
      </c>
      <c r="AN808" s="7" t="str">
        <f t="shared" si="77"/>
        <v>Missmatched</v>
      </c>
    </row>
    <row r="809" spans="1:40">
      <c r="A809" t="s">
        <v>2495</v>
      </c>
      <c r="B809" s="6">
        <v>45840</v>
      </c>
      <c r="C809" s="4">
        <v>46307</v>
      </c>
      <c r="D809" t="s">
        <v>2496</v>
      </c>
      <c r="E809" t="s">
        <v>23</v>
      </c>
      <c r="F809" t="s">
        <v>37</v>
      </c>
      <c r="G809" t="s">
        <v>54</v>
      </c>
      <c r="H809" t="s">
        <v>55</v>
      </c>
      <c r="I809" t="s">
        <v>56</v>
      </c>
      <c r="J809" t="s">
        <v>28</v>
      </c>
      <c r="K809" t="s">
        <v>91</v>
      </c>
      <c r="L809" t="s">
        <v>2497</v>
      </c>
      <c r="M809" t="s">
        <v>59</v>
      </c>
      <c r="N809">
        <v>2</v>
      </c>
      <c r="O809">
        <v>2432.98</v>
      </c>
      <c r="P809">
        <v>0.1</v>
      </c>
      <c r="Q809" s="7">
        <f>IF(P809="", 0, P809)</f>
        <v>0.1</v>
      </c>
      <c r="R809">
        <v>4379.3599999999997</v>
      </c>
      <c r="S809">
        <v>3723.93</v>
      </c>
      <c r="T809" s="7">
        <f>N809*O809*(1-Q809)</f>
        <v>4379.3640000000005</v>
      </c>
      <c r="U809" s="7">
        <f t="shared" si="72"/>
        <v>655.43400000000065</v>
      </c>
      <c r="V809">
        <v>655.43</v>
      </c>
      <c r="W809" s="12">
        <f t="shared" si="73"/>
        <v>0.14966419781502532</v>
      </c>
      <c r="X809" t="s">
        <v>32</v>
      </c>
      <c r="Y809" t="str">
        <f t="shared" si="74"/>
        <v>Paid</v>
      </c>
      <c r="Z809" t="s">
        <v>33</v>
      </c>
      <c r="AA809">
        <f>C809-B809</f>
        <v>467</v>
      </c>
      <c r="AB809" t="str">
        <f>IF(B809="","Missing Order Date",
IF(C809="","Missing Ship Date","OK"))</f>
        <v>OK</v>
      </c>
      <c r="AC809" s="7" t="str">
        <f>IF(C809&lt;B809, "Invalid", "Valid")</f>
        <v>Valid</v>
      </c>
      <c r="AD809" s="7" t="str">
        <f>IF(COUNTIF($A:$A, A809)&gt;1, "Duplicate", "Unique")</f>
        <v>Unique</v>
      </c>
      <c r="AE809" s="7" t="str">
        <f>IF(G809="","Unknown",G809)</f>
        <v>South</v>
      </c>
      <c r="AF809" s="7" t="str">
        <f>IF(M809="","Unknown",M809)</f>
        <v>Standard Class</v>
      </c>
      <c r="AG809" s="7" t="str">
        <f>IF(P809&lt;0,"Invalid",
IF(P809&gt;1,"Invalid","Valid"))</f>
        <v>Valid</v>
      </c>
      <c r="AH809" s="7" t="str">
        <f>TEXT(B809,"mmmm")</f>
        <v>July</v>
      </c>
      <c r="AI809" s="7">
        <f t="shared" si="75"/>
        <v>2025</v>
      </c>
      <c r="AJ809" s="7" t="str">
        <f>IF(OR(R809&lt;0,C809&lt;B809),"Invalid",
IF(OR(G809="Unknown",M809="Unknown"),"Warning","Clean"))</f>
        <v>Clean</v>
      </c>
      <c r="AK809" s="7" t="str">
        <f>IF(C809&lt;B809,"Ship Before Order","OK")</f>
        <v>OK</v>
      </c>
      <c r="AL809" s="7" t="str">
        <f>IF(ISNUMBER(B809),"Valid","Invalid")</f>
        <v>Valid</v>
      </c>
      <c r="AM809" s="7" t="str">
        <f t="shared" si="76"/>
        <v>Missmatched</v>
      </c>
      <c r="AN809" s="7" t="str">
        <f t="shared" si="77"/>
        <v>Missmatched</v>
      </c>
    </row>
    <row r="810" spans="1:40">
      <c r="A810" t="s">
        <v>2498</v>
      </c>
      <c r="B810" s="6">
        <v>45900</v>
      </c>
      <c r="C810" s="4">
        <v>46308</v>
      </c>
      <c r="D810" t="s">
        <v>2499</v>
      </c>
      <c r="E810" t="s">
        <v>128</v>
      </c>
      <c r="F810" t="s">
        <v>37</v>
      </c>
      <c r="G810" t="s">
        <v>54</v>
      </c>
      <c r="H810" t="s">
        <v>247</v>
      </c>
      <c r="I810" t="s">
        <v>248</v>
      </c>
      <c r="J810" t="s">
        <v>41</v>
      </c>
      <c r="K810" t="s">
        <v>57</v>
      </c>
      <c r="L810" t="s">
        <v>2500</v>
      </c>
      <c r="M810" t="s">
        <v>50</v>
      </c>
      <c r="N810">
        <v>7</v>
      </c>
      <c r="O810">
        <v>977.28</v>
      </c>
      <c r="P810">
        <v>0.2</v>
      </c>
      <c r="Q810" s="7">
        <f>IF(P810="", 0, P810)</f>
        <v>0.2</v>
      </c>
      <c r="R810">
        <v>5472.77</v>
      </c>
      <c r="S810">
        <v>4477.33</v>
      </c>
      <c r="T810" s="7">
        <f>N810*O810*(1-Q810)</f>
        <v>5472.768</v>
      </c>
      <c r="U810" s="7">
        <f t="shared" si="72"/>
        <v>995.4380000000001</v>
      </c>
      <c r="V810">
        <v>995.44</v>
      </c>
      <c r="W810" s="12">
        <f t="shared" si="73"/>
        <v>0.18188931085695575</v>
      </c>
      <c r="X810" t="s">
        <v>32</v>
      </c>
      <c r="Y810" t="str">
        <f t="shared" si="74"/>
        <v>Paid</v>
      </c>
      <c r="Z810" t="s">
        <v>33</v>
      </c>
      <c r="AA810">
        <f>C810-B810</f>
        <v>408</v>
      </c>
      <c r="AB810" t="str">
        <f>IF(B810="","Missing Order Date",
IF(C810="","Missing Ship Date","OK"))</f>
        <v>OK</v>
      </c>
      <c r="AC810" s="7" t="str">
        <f>IF(C810&lt;B810, "Invalid", "Valid")</f>
        <v>Valid</v>
      </c>
      <c r="AD810" s="7" t="str">
        <f>IF(COUNTIF($A:$A, A810)&gt;1, "Duplicate", "Unique")</f>
        <v>Unique</v>
      </c>
      <c r="AE810" s="7" t="str">
        <f>IF(G810="","Unknown",G810)</f>
        <v>South</v>
      </c>
      <c r="AF810" s="7" t="str">
        <f>IF(M810="","Unknown",M810)</f>
        <v>First Class</v>
      </c>
      <c r="AG810" s="7" t="str">
        <f>IF(P810&lt;0,"Invalid",
IF(P810&gt;1,"Invalid","Valid"))</f>
        <v>Valid</v>
      </c>
      <c r="AH810" s="7" t="str">
        <f>TEXT(B810,"mmmm")</f>
        <v>August</v>
      </c>
      <c r="AI810" s="7">
        <f t="shared" si="75"/>
        <v>2025</v>
      </c>
      <c r="AJ810" s="7" t="str">
        <f>IF(OR(R810&lt;0,C810&lt;B810),"Invalid",
IF(OR(G810="Unknown",M810="Unknown"),"Warning","Clean"))</f>
        <v>Clean</v>
      </c>
      <c r="AK810" s="7" t="str">
        <f>IF(C810&lt;B810,"Ship Before Order","OK")</f>
        <v>OK</v>
      </c>
      <c r="AL810" s="7" t="str">
        <f>IF(ISNUMBER(B810),"Valid","Invalid")</f>
        <v>Valid</v>
      </c>
      <c r="AM810" s="7" t="str">
        <f t="shared" si="76"/>
        <v>Missmatched</v>
      </c>
      <c r="AN810" s="7" t="str">
        <f t="shared" si="77"/>
        <v>Missmatched</v>
      </c>
    </row>
    <row r="811" spans="1:40">
      <c r="A811" t="s">
        <v>2501</v>
      </c>
      <c r="B811" s="6">
        <v>45833</v>
      </c>
      <c r="C811" s="4">
        <v>46309</v>
      </c>
      <c r="D811" t="s">
        <v>2502</v>
      </c>
      <c r="E811" t="s">
        <v>53</v>
      </c>
      <c r="F811" t="s">
        <v>37</v>
      </c>
      <c r="G811" t="s">
        <v>2785</v>
      </c>
      <c r="H811" t="s">
        <v>122</v>
      </c>
      <c r="I811" t="s">
        <v>123</v>
      </c>
      <c r="J811" t="s">
        <v>28</v>
      </c>
      <c r="K811" t="s">
        <v>153</v>
      </c>
      <c r="L811" t="s">
        <v>2503</v>
      </c>
      <c r="M811" t="s">
        <v>31</v>
      </c>
      <c r="N811">
        <v>6</v>
      </c>
      <c r="O811">
        <v>1366.13</v>
      </c>
      <c r="P811">
        <v>0.1</v>
      </c>
      <c r="Q811" s="7">
        <f>IF(P811="", 0, P811)</f>
        <v>0.1</v>
      </c>
      <c r="R811">
        <v>7377.1</v>
      </c>
      <c r="S811">
        <v>5085.21</v>
      </c>
      <c r="T811" s="7">
        <f>N811*O811*(1-Q811)</f>
        <v>7377.1020000000008</v>
      </c>
      <c r="U811" s="7">
        <f t="shared" si="72"/>
        <v>2291.8920000000007</v>
      </c>
      <c r="V811">
        <v>2291.89</v>
      </c>
      <c r="W811" s="12">
        <f t="shared" si="73"/>
        <v>0.31067646888981615</v>
      </c>
      <c r="X811" t="s">
        <v>32</v>
      </c>
      <c r="Y811" t="str">
        <f t="shared" si="74"/>
        <v>Paid</v>
      </c>
      <c r="Z811" t="s">
        <v>33</v>
      </c>
      <c r="AA811">
        <f>C811-B811</f>
        <v>476</v>
      </c>
      <c r="AB811" t="str">
        <f>IF(B811="","Missing Order Date",
IF(C811="","Missing Ship Date","OK"))</f>
        <v>OK</v>
      </c>
      <c r="AC811" s="7" t="str">
        <f>IF(C811&lt;B811, "Invalid", "Valid")</f>
        <v>Valid</v>
      </c>
      <c r="AD811" s="7" t="str">
        <f>IF(COUNTIF($A:$A, A811)&gt;1, "Duplicate", "Unique")</f>
        <v>Unique</v>
      </c>
      <c r="AE811" s="7" t="str">
        <f>IF(G811="","Unknown",G811)</f>
        <v>Unknown</v>
      </c>
      <c r="AF811" s="7" t="str">
        <f>IF(M811="","Unknown",M811)</f>
        <v>Second Class</v>
      </c>
      <c r="AG811" s="7" t="str">
        <f>IF(P811&lt;0,"Invalid",
IF(P811&gt;1,"Invalid","Valid"))</f>
        <v>Valid</v>
      </c>
      <c r="AH811" s="7" t="str">
        <f>TEXT(B811,"mmmm")</f>
        <v>June</v>
      </c>
      <c r="AI811" s="7">
        <f t="shared" si="75"/>
        <v>2025</v>
      </c>
      <c r="AJ811" s="7" t="str">
        <f>IF(OR(R811&lt;0,C811&lt;B811),"Invalid",
IF(OR(G811="Unknown",M811="Unknown"),"Warning","Clean"))</f>
        <v>Clean</v>
      </c>
      <c r="AK811" s="7" t="str">
        <f>IF(C811&lt;B811,"Ship Before Order","OK")</f>
        <v>OK</v>
      </c>
      <c r="AL811" s="7" t="str">
        <f>IF(ISNUMBER(B811),"Valid","Invalid")</f>
        <v>Valid</v>
      </c>
      <c r="AM811" s="7" t="str">
        <f t="shared" si="76"/>
        <v>Missmatched</v>
      </c>
      <c r="AN811" s="7" t="str">
        <f t="shared" si="77"/>
        <v>Missmatched</v>
      </c>
    </row>
    <row r="812" spans="1:40">
      <c r="A812" t="s">
        <v>2504</v>
      </c>
      <c r="B812" s="6">
        <v>45355</v>
      </c>
      <c r="C812" s="4">
        <v>46310</v>
      </c>
      <c r="D812" t="s">
        <v>1668</v>
      </c>
      <c r="E812" t="s">
        <v>264</v>
      </c>
      <c r="F812" t="s">
        <v>95</v>
      </c>
      <c r="G812" t="s">
        <v>63</v>
      </c>
      <c r="H812" t="s">
        <v>180</v>
      </c>
      <c r="I812" t="s">
        <v>181</v>
      </c>
      <c r="J812" t="s">
        <v>74</v>
      </c>
      <c r="K812" t="s">
        <v>80</v>
      </c>
      <c r="L812" t="s">
        <v>2505</v>
      </c>
      <c r="M812" t="s">
        <v>50</v>
      </c>
      <c r="N812">
        <v>1</v>
      </c>
      <c r="O812">
        <v>3151.85</v>
      </c>
      <c r="P812">
        <v>0.25</v>
      </c>
      <c r="Q812" s="7">
        <f>IF(P812="", 0, P812)</f>
        <v>0.25</v>
      </c>
      <c r="R812">
        <v>2363.89</v>
      </c>
      <c r="S812">
        <v>1471.51</v>
      </c>
      <c r="T812" s="7">
        <f>N812*O812*(1-Q812)</f>
        <v>2363.8874999999998</v>
      </c>
      <c r="U812" s="7">
        <f t="shared" si="72"/>
        <v>892.37749999999983</v>
      </c>
      <c r="V812">
        <v>892.38</v>
      </c>
      <c r="W812" s="12">
        <f t="shared" si="73"/>
        <v>0.37750421710000998</v>
      </c>
      <c r="X812" t="s">
        <v>32</v>
      </c>
      <c r="Y812" t="str">
        <f t="shared" si="74"/>
        <v>Paid</v>
      </c>
      <c r="Z812" t="s">
        <v>33</v>
      </c>
      <c r="AA812">
        <f>C812-B812</f>
        <v>955</v>
      </c>
      <c r="AB812" t="str">
        <f>IF(B812="","Missing Order Date",
IF(C812="","Missing Ship Date","OK"))</f>
        <v>OK</v>
      </c>
      <c r="AC812" s="7" t="str">
        <f>IF(C812&lt;B812, "Invalid", "Valid")</f>
        <v>Valid</v>
      </c>
      <c r="AD812" s="7" t="str">
        <f>IF(COUNTIF($A:$A, A812)&gt;1, "Duplicate", "Unique")</f>
        <v>Unique</v>
      </c>
      <c r="AE812" s="7" t="str">
        <f>IF(G812="","Unknown",G812)</f>
        <v>West</v>
      </c>
      <c r="AF812" s="7" t="str">
        <f>IF(M812="","Unknown",M812)</f>
        <v>First Class</v>
      </c>
      <c r="AG812" s="7" t="str">
        <f>IF(P812&lt;0,"Invalid",
IF(P812&gt;1,"Invalid","Valid"))</f>
        <v>Valid</v>
      </c>
      <c r="AH812" s="7" t="str">
        <f>TEXT(B812,"mmmm")</f>
        <v>March</v>
      </c>
      <c r="AI812" s="7">
        <f t="shared" si="75"/>
        <v>2024</v>
      </c>
      <c r="AJ812" s="7" t="str">
        <f>IF(OR(R812&lt;0,C812&lt;B812),"Invalid",
IF(OR(G812="Unknown",M812="Unknown"),"Warning","Clean"))</f>
        <v>Clean</v>
      </c>
      <c r="AK812" s="7" t="str">
        <f>IF(C812&lt;B812,"Ship Before Order","OK")</f>
        <v>OK</v>
      </c>
      <c r="AL812" s="7" t="str">
        <f>IF(ISNUMBER(B812),"Valid","Invalid")</f>
        <v>Valid</v>
      </c>
      <c r="AM812" s="7" t="str">
        <f t="shared" si="76"/>
        <v>Missmatched</v>
      </c>
      <c r="AN812" s="7" t="str">
        <f t="shared" si="77"/>
        <v>Missmatched</v>
      </c>
    </row>
    <row r="813" spans="1:40">
      <c r="A813" t="s">
        <v>2506</v>
      </c>
      <c r="B813" s="6">
        <v>45638</v>
      </c>
      <c r="C813" s="4">
        <v>46311</v>
      </c>
      <c r="D813" t="s">
        <v>2507</v>
      </c>
      <c r="E813" t="s">
        <v>141</v>
      </c>
      <c r="F813" t="s">
        <v>95</v>
      </c>
      <c r="G813" t="s">
        <v>25</v>
      </c>
      <c r="H813" t="s">
        <v>236</v>
      </c>
      <c r="I813" t="s">
        <v>237</v>
      </c>
      <c r="J813" t="s">
        <v>74</v>
      </c>
      <c r="K813" t="s">
        <v>75</v>
      </c>
      <c r="L813" t="s">
        <v>2508</v>
      </c>
      <c r="M813" t="s">
        <v>50</v>
      </c>
      <c r="N813">
        <v>2</v>
      </c>
      <c r="O813">
        <v>1610.75</v>
      </c>
      <c r="P813">
        <v>0.2</v>
      </c>
      <c r="Q813" s="7">
        <f>IF(P813="", 0, P813)</f>
        <v>0.2</v>
      </c>
      <c r="R813">
        <v>2577.1999999999998</v>
      </c>
      <c r="S813">
        <v>1475.87</v>
      </c>
      <c r="T813" s="7">
        <f>N813*O813*(1-Q813)</f>
        <v>2577.2000000000003</v>
      </c>
      <c r="U813" s="7">
        <f t="shared" si="72"/>
        <v>1101.3300000000004</v>
      </c>
      <c r="V813">
        <v>1101.33</v>
      </c>
      <c r="W813" s="12">
        <f t="shared" si="73"/>
        <v>0.42733586838429316</v>
      </c>
      <c r="X813" t="s">
        <v>32</v>
      </c>
      <c r="Y813" t="str">
        <f t="shared" si="74"/>
        <v>Paid</v>
      </c>
      <c r="Z813" t="s">
        <v>33</v>
      </c>
      <c r="AA813">
        <f>C813-B813</f>
        <v>673</v>
      </c>
      <c r="AB813" t="str">
        <f>IF(B813="","Missing Order Date",
IF(C813="","Missing Ship Date","OK"))</f>
        <v>OK</v>
      </c>
      <c r="AC813" s="7" t="str">
        <f>IF(C813&lt;B813, "Invalid", "Valid")</f>
        <v>Valid</v>
      </c>
      <c r="AD813" s="7" t="str">
        <f>IF(COUNTIF($A:$A, A813)&gt;1, "Duplicate", "Unique")</f>
        <v>Unique</v>
      </c>
      <c r="AE813" s="7" t="str">
        <f>IF(G813="","Unknown",G813)</f>
        <v>North</v>
      </c>
      <c r="AF813" s="7" t="str">
        <f>IF(M813="","Unknown",M813)</f>
        <v>First Class</v>
      </c>
      <c r="AG813" s="7" t="str">
        <f>IF(P813&lt;0,"Invalid",
IF(P813&gt;1,"Invalid","Valid"))</f>
        <v>Valid</v>
      </c>
      <c r="AH813" s="7" t="str">
        <f>TEXT(B813,"mmmm")</f>
        <v>December</v>
      </c>
      <c r="AI813" s="7">
        <f t="shared" si="75"/>
        <v>2024</v>
      </c>
      <c r="AJ813" s="7" t="str">
        <f>IF(OR(R813&lt;0,C813&lt;B813),"Invalid",
IF(OR(G813="Unknown",M813="Unknown"),"Warning","Clean"))</f>
        <v>Clean</v>
      </c>
      <c r="AK813" s="7" t="str">
        <f>IF(C813&lt;B813,"Ship Before Order","OK")</f>
        <v>OK</v>
      </c>
      <c r="AL813" s="7" t="str">
        <f>IF(ISNUMBER(B813),"Valid","Invalid")</f>
        <v>Valid</v>
      </c>
      <c r="AM813" s="7" t="str">
        <f t="shared" si="76"/>
        <v>Ok</v>
      </c>
      <c r="AN813" s="7" t="str">
        <f t="shared" si="77"/>
        <v>Ok</v>
      </c>
    </row>
    <row r="814" spans="1:40">
      <c r="A814" t="s">
        <v>2509</v>
      </c>
      <c r="B814" s="6">
        <v>45458</v>
      </c>
      <c r="C814" s="4">
        <v>46312</v>
      </c>
      <c r="D814" t="s">
        <v>2510</v>
      </c>
      <c r="E814" t="s">
        <v>132</v>
      </c>
      <c r="F814" t="s">
        <v>37</v>
      </c>
      <c r="G814" t="s">
        <v>38</v>
      </c>
      <c r="H814" t="s">
        <v>228</v>
      </c>
      <c r="I814" t="s">
        <v>229</v>
      </c>
      <c r="J814" t="s">
        <v>41</v>
      </c>
      <c r="K814" t="s">
        <v>42</v>
      </c>
      <c r="L814" t="s">
        <v>2511</v>
      </c>
      <c r="M814" t="s">
        <v>50</v>
      </c>
      <c r="N814">
        <v>8</v>
      </c>
      <c r="O814">
        <v>2228.4699999999998</v>
      </c>
      <c r="P814">
        <v>0</v>
      </c>
      <c r="Q814" s="7">
        <f>IF(P814="", 0, P814)</f>
        <v>0</v>
      </c>
      <c r="R814">
        <v>17827.759999999998</v>
      </c>
      <c r="S814">
        <v>14122.13</v>
      </c>
      <c r="T814" s="7">
        <f>N814*O814*(1-Q814)</f>
        <v>17827.759999999998</v>
      </c>
      <c r="U814" s="7">
        <f t="shared" si="72"/>
        <v>3705.6299999999992</v>
      </c>
      <c r="V814">
        <v>3705.63</v>
      </c>
      <c r="W814" s="12">
        <f t="shared" si="73"/>
        <v>0.20785729671029896</v>
      </c>
      <c r="X814" t="s">
        <v>32</v>
      </c>
      <c r="Y814" t="str">
        <f t="shared" si="74"/>
        <v>Paid</v>
      </c>
      <c r="Z814" t="s">
        <v>33</v>
      </c>
      <c r="AA814">
        <f>C814-B814</f>
        <v>854</v>
      </c>
      <c r="AB814" t="str">
        <f>IF(B814="","Missing Order Date",
IF(C814="","Missing Ship Date","OK"))</f>
        <v>OK</v>
      </c>
      <c r="AC814" s="7" t="str">
        <f>IF(C814&lt;B814, "Invalid", "Valid")</f>
        <v>Valid</v>
      </c>
      <c r="AD814" s="7" t="str">
        <f>IF(COUNTIF($A:$A, A814)&gt;1, "Duplicate", "Unique")</f>
        <v>Unique</v>
      </c>
      <c r="AE814" s="7" t="str">
        <f>IF(G814="","Unknown",G814)</f>
        <v>East</v>
      </c>
      <c r="AF814" s="7" t="str">
        <f>IF(M814="","Unknown",M814)</f>
        <v>First Class</v>
      </c>
      <c r="AG814" s="7" t="str">
        <f>IF(P814&lt;0,"Invalid",
IF(P814&gt;1,"Invalid","Valid"))</f>
        <v>Valid</v>
      </c>
      <c r="AH814" s="7" t="str">
        <f>TEXT(B814,"mmmm")</f>
        <v>June</v>
      </c>
      <c r="AI814" s="7">
        <f t="shared" si="75"/>
        <v>2024</v>
      </c>
      <c r="AJ814" s="7" t="str">
        <f>IF(OR(R814&lt;0,C814&lt;B814),"Invalid",
IF(OR(G814="Unknown",M814="Unknown"),"Warning","Clean"))</f>
        <v>Clean</v>
      </c>
      <c r="AK814" s="7" t="str">
        <f>IF(C814&lt;B814,"Ship Before Order","OK")</f>
        <v>OK</v>
      </c>
      <c r="AL814" s="7" t="str">
        <f>IF(ISNUMBER(B814),"Valid","Invalid")</f>
        <v>Valid</v>
      </c>
      <c r="AM814" s="7" t="str">
        <f t="shared" si="76"/>
        <v>Ok</v>
      </c>
      <c r="AN814" s="7" t="str">
        <f t="shared" si="77"/>
        <v>Ok</v>
      </c>
    </row>
    <row r="815" spans="1:40">
      <c r="A815" t="s">
        <v>2512</v>
      </c>
      <c r="B815" s="6">
        <v>45812</v>
      </c>
      <c r="C815" s="4">
        <v>46313</v>
      </c>
      <c r="D815" t="s">
        <v>2513</v>
      </c>
      <c r="E815" t="s">
        <v>141</v>
      </c>
      <c r="F815" t="s">
        <v>24</v>
      </c>
      <c r="G815" t="s">
        <v>38</v>
      </c>
      <c r="H815" t="s">
        <v>39</v>
      </c>
      <c r="I815" t="s">
        <v>40</v>
      </c>
      <c r="J815" t="s">
        <v>41</v>
      </c>
      <c r="K815" t="s">
        <v>158</v>
      </c>
      <c r="L815" t="s">
        <v>1123</v>
      </c>
      <c r="M815" t="s">
        <v>59</v>
      </c>
      <c r="N815">
        <v>2</v>
      </c>
      <c r="O815">
        <v>1337.67</v>
      </c>
      <c r="P815">
        <v>0</v>
      </c>
      <c r="Q815" s="7">
        <f>IF(P815="", 0, P815)</f>
        <v>0</v>
      </c>
      <c r="R815">
        <v>2675.34</v>
      </c>
      <c r="S815">
        <v>1595.87</v>
      </c>
      <c r="T815" s="7">
        <f>N815*O815*(1-Q815)</f>
        <v>2675.34</v>
      </c>
      <c r="U815" s="7">
        <f t="shared" si="72"/>
        <v>1079.4700000000003</v>
      </c>
      <c r="V815">
        <v>1079.47</v>
      </c>
      <c r="W815" s="12">
        <f t="shared" si="73"/>
        <v>0.40348890234512258</v>
      </c>
      <c r="X815" t="s">
        <v>32</v>
      </c>
      <c r="Y815" t="str">
        <f t="shared" si="74"/>
        <v>Paid</v>
      </c>
      <c r="Z815" t="s">
        <v>33</v>
      </c>
      <c r="AA815">
        <f>C815-B815</f>
        <v>501</v>
      </c>
      <c r="AB815" t="str">
        <f>IF(B815="","Missing Order Date",
IF(C815="","Missing Ship Date","OK"))</f>
        <v>OK</v>
      </c>
      <c r="AC815" s="7" t="str">
        <f>IF(C815&lt;B815, "Invalid", "Valid")</f>
        <v>Valid</v>
      </c>
      <c r="AD815" s="7" t="str">
        <f>IF(COUNTIF($A:$A, A815)&gt;1, "Duplicate", "Unique")</f>
        <v>Unique</v>
      </c>
      <c r="AE815" s="7" t="str">
        <f>IF(G815="","Unknown",G815)</f>
        <v>East</v>
      </c>
      <c r="AF815" s="7" t="str">
        <f>IF(M815="","Unknown",M815)</f>
        <v>Standard Class</v>
      </c>
      <c r="AG815" s="7" t="str">
        <f>IF(P815&lt;0,"Invalid",
IF(P815&gt;1,"Invalid","Valid"))</f>
        <v>Valid</v>
      </c>
      <c r="AH815" s="7" t="str">
        <f>TEXT(B815,"mmmm")</f>
        <v>June</v>
      </c>
      <c r="AI815" s="7">
        <f t="shared" si="75"/>
        <v>2025</v>
      </c>
      <c r="AJ815" s="7" t="str">
        <f>IF(OR(R815&lt;0,C815&lt;B815),"Invalid",
IF(OR(G815="Unknown",M815="Unknown"),"Warning","Clean"))</f>
        <v>Clean</v>
      </c>
      <c r="AK815" s="7" t="str">
        <f>IF(C815&lt;B815,"Ship Before Order","OK")</f>
        <v>OK</v>
      </c>
      <c r="AL815" s="7" t="str">
        <f>IF(ISNUMBER(B815),"Valid","Invalid")</f>
        <v>Valid</v>
      </c>
      <c r="AM815" s="7" t="str">
        <f t="shared" si="76"/>
        <v>Ok</v>
      </c>
      <c r="AN815" s="7" t="str">
        <f t="shared" si="77"/>
        <v>Ok</v>
      </c>
    </row>
    <row r="816" spans="1:40">
      <c r="A816" t="s">
        <v>2514</v>
      </c>
      <c r="B816" s="6">
        <v>45816</v>
      </c>
      <c r="C816" s="4">
        <v>46314</v>
      </c>
      <c r="D816" t="s">
        <v>2515</v>
      </c>
      <c r="E816" t="s">
        <v>53</v>
      </c>
      <c r="F816" t="s">
        <v>24</v>
      </c>
      <c r="G816" t="s">
        <v>63</v>
      </c>
      <c r="H816" t="s">
        <v>72</v>
      </c>
      <c r="I816" t="s">
        <v>73</v>
      </c>
      <c r="J816" t="s">
        <v>28</v>
      </c>
      <c r="K816" t="s">
        <v>91</v>
      </c>
      <c r="L816" t="s">
        <v>2516</v>
      </c>
      <c r="M816" t="s">
        <v>50</v>
      </c>
      <c r="N816">
        <v>2</v>
      </c>
      <c r="O816">
        <v>2375.94</v>
      </c>
      <c r="P816">
        <v>0.25</v>
      </c>
      <c r="Q816" s="7">
        <f>IF(P816="", 0, P816)</f>
        <v>0.25</v>
      </c>
      <c r="R816">
        <v>3563.91</v>
      </c>
      <c r="S816">
        <v>2639.7</v>
      </c>
      <c r="T816" s="7">
        <f>N816*O816*(1-Q816)</f>
        <v>3563.91</v>
      </c>
      <c r="U816" s="7">
        <f t="shared" si="72"/>
        <v>924.21</v>
      </c>
      <c r="V816">
        <v>924.21</v>
      </c>
      <c r="W816" s="12">
        <f t="shared" si="73"/>
        <v>0.25932473042248544</v>
      </c>
      <c r="X816" t="s">
        <v>32</v>
      </c>
      <c r="Y816" t="str">
        <f t="shared" si="74"/>
        <v>Paid</v>
      </c>
      <c r="Z816" t="s">
        <v>33</v>
      </c>
      <c r="AA816">
        <f>C816-B816</f>
        <v>498</v>
      </c>
      <c r="AB816" t="str">
        <f>IF(B816="","Missing Order Date",
IF(C816="","Missing Ship Date","OK"))</f>
        <v>OK</v>
      </c>
      <c r="AC816" s="7" t="str">
        <f>IF(C816&lt;B816, "Invalid", "Valid")</f>
        <v>Valid</v>
      </c>
      <c r="AD816" s="7" t="str">
        <f>IF(COUNTIF($A:$A, A816)&gt;1, "Duplicate", "Unique")</f>
        <v>Unique</v>
      </c>
      <c r="AE816" s="7" t="str">
        <f>IF(G816="","Unknown",G816)</f>
        <v>West</v>
      </c>
      <c r="AF816" s="7" t="str">
        <f>IF(M816="","Unknown",M816)</f>
        <v>First Class</v>
      </c>
      <c r="AG816" s="7" t="str">
        <f>IF(P816&lt;0,"Invalid",
IF(P816&gt;1,"Invalid","Valid"))</f>
        <v>Valid</v>
      </c>
      <c r="AH816" s="7" t="str">
        <f>TEXT(B816,"mmmm")</f>
        <v>June</v>
      </c>
      <c r="AI816" s="7">
        <f t="shared" si="75"/>
        <v>2025</v>
      </c>
      <c r="AJ816" s="7" t="str">
        <f>IF(OR(R816&lt;0,C816&lt;B816),"Invalid",
IF(OR(G816="Unknown",M816="Unknown"),"Warning","Clean"))</f>
        <v>Clean</v>
      </c>
      <c r="AK816" s="7" t="str">
        <f>IF(C816&lt;B816,"Ship Before Order","OK")</f>
        <v>OK</v>
      </c>
      <c r="AL816" s="7" t="str">
        <f>IF(ISNUMBER(B816),"Valid","Invalid")</f>
        <v>Valid</v>
      </c>
      <c r="AM816" s="7" t="str">
        <f t="shared" si="76"/>
        <v>Ok</v>
      </c>
      <c r="AN816" s="7" t="str">
        <f t="shared" si="77"/>
        <v>Ok</v>
      </c>
    </row>
    <row r="817" spans="1:40">
      <c r="A817" t="s">
        <v>2517</v>
      </c>
      <c r="B817" s="6">
        <v>45295</v>
      </c>
      <c r="C817" s="4">
        <v>46315</v>
      </c>
      <c r="D817" t="s">
        <v>2518</v>
      </c>
      <c r="E817" t="s">
        <v>162</v>
      </c>
      <c r="F817" t="s">
        <v>24</v>
      </c>
      <c r="G817" t="s">
        <v>38</v>
      </c>
      <c r="H817" t="s">
        <v>39</v>
      </c>
      <c r="I817" t="s">
        <v>40</v>
      </c>
      <c r="J817" t="s">
        <v>74</v>
      </c>
      <c r="K817" t="s">
        <v>274</v>
      </c>
      <c r="L817" t="s">
        <v>2519</v>
      </c>
      <c r="M817" t="s">
        <v>59</v>
      </c>
      <c r="N817">
        <v>7</v>
      </c>
      <c r="O817">
        <v>715.81</v>
      </c>
      <c r="P817">
        <v>0.15</v>
      </c>
      <c r="Q817" s="7">
        <f>IF(P817="", 0, P817)</f>
        <v>0.15</v>
      </c>
      <c r="R817">
        <v>4259.07</v>
      </c>
      <c r="S817">
        <v>3130.32</v>
      </c>
      <c r="T817" s="7">
        <f>N817*O817*(1-Q817)</f>
        <v>4259.0694999999996</v>
      </c>
      <c r="U817" s="7">
        <f t="shared" si="72"/>
        <v>1128.7494999999994</v>
      </c>
      <c r="V817">
        <v>1128.75</v>
      </c>
      <c r="W817" s="12">
        <f t="shared" si="73"/>
        <v>0.26502255950507486</v>
      </c>
      <c r="X817" t="s">
        <v>111</v>
      </c>
      <c r="Y817" t="str">
        <f t="shared" si="74"/>
        <v>Pending</v>
      </c>
      <c r="Z817" t="s">
        <v>68</v>
      </c>
      <c r="AA817">
        <f>C817-B817</f>
        <v>1020</v>
      </c>
      <c r="AB817" t="str">
        <f>IF(B817="","Missing Order Date",
IF(C817="","Missing Ship Date","OK"))</f>
        <v>OK</v>
      </c>
      <c r="AC817" s="7" t="str">
        <f>IF(C817&lt;B817, "Invalid", "Valid")</f>
        <v>Valid</v>
      </c>
      <c r="AD817" s="7" t="str">
        <f>IF(COUNTIF($A:$A, A817)&gt;1, "Duplicate", "Unique")</f>
        <v>Unique</v>
      </c>
      <c r="AE817" s="7" t="str">
        <f>IF(G817="","Unknown",G817)</f>
        <v>East</v>
      </c>
      <c r="AF817" s="7" t="str">
        <f>IF(M817="","Unknown",M817)</f>
        <v>Standard Class</v>
      </c>
      <c r="AG817" s="7" t="str">
        <f>IF(P817&lt;0,"Invalid",
IF(P817&gt;1,"Invalid","Valid"))</f>
        <v>Valid</v>
      </c>
      <c r="AH817" s="7" t="str">
        <f>TEXT(B817,"mmmm")</f>
        <v>January</v>
      </c>
      <c r="AI817" s="7">
        <f t="shared" si="75"/>
        <v>2024</v>
      </c>
      <c r="AJ817" s="7" t="str">
        <f>IF(OR(R817&lt;0,C817&lt;B817),"Invalid",
IF(OR(G817="Unknown",M817="Unknown"),"Warning","Clean"))</f>
        <v>Clean</v>
      </c>
      <c r="AK817" s="7" t="str">
        <f>IF(C817&lt;B817,"Ship Before Order","OK")</f>
        <v>OK</v>
      </c>
      <c r="AL817" s="7" t="str">
        <f>IF(ISNUMBER(B817),"Valid","Invalid")</f>
        <v>Valid</v>
      </c>
      <c r="AM817" s="7" t="str">
        <f t="shared" si="76"/>
        <v>Missmatched</v>
      </c>
      <c r="AN817" s="7" t="str">
        <f t="shared" si="77"/>
        <v>Missmatched</v>
      </c>
    </row>
    <row r="818" spans="1:40">
      <c r="A818" t="s">
        <v>2520</v>
      </c>
      <c r="B818" s="6">
        <v>45623</v>
      </c>
      <c r="C818" s="4">
        <v>46316</v>
      </c>
      <c r="D818" t="s">
        <v>2521</v>
      </c>
      <c r="E818" t="s">
        <v>118</v>
      </c>
      <c r="F818" t="s">
        <v>37</v>
      </c>
      <c r="G818" t="s">
        <v>38</v>
      </c>
      <c r="H818" t="s">
        <v>228</v>
      </c>
      <c r="I818" t="s">
        <v>229</v>
      </c>
      <c r="J818" t="s">
        <v>41</v>
      </c>
      <c r="K818" t="s">
        <v>57</v>
      </c>
      <c r="L818" t="s">
        <v>2522</v>
      </c>
      <c r="M818" t="s">
        <v>50</v>
      </c>
      <c r="N818">
        <v>1</v>
      </c>
      <c r="O818">
        <v>874.3</v>
      </c>
      <c r="P818">
        <v>0.1</v>
      </c>
      <c r="Q818" s="7">
        <f>IF(P818="", 0, P818)</f>
        <v>0.1</v>
      </c>
      <c r="R818">
        <v>786.87</v>
      </c>
      <c r="S818">
        <v>498.5</v>
      </c>
      <c r="T818" s="7">
        <f>N818*O818*(1-Q818)</f>
        <v>786.87</v>
      </c>
      <c r="U818" s="7">
        <f t="shared" si="72"/>
        <v>288.37</v>
      </c>
      <c r="V818">
        <v>288.37</v>
      </c>
      <c r="W818" s="12">
        <f t="shared" si="73"/>
        <v>0.36647730883119195</v>
      </c>
      <c r="X818" t="s">
        <v>32</v>
      </c>
      <c r="Y818" t="str">
        <f t="shared" si="74"/>
        <v>Paid</v>
      </c>
      <c r="Z818" t="s">
        <v>33</v>
      </c>
      <c r="AA818">
        <f>C818-B818</f>
        <v>693</v>
      </c>
      <c r="AB818" t="str">
        <f>IF(B818="","Missing Order Date",
IF(C818="","Missing Ship Date","OK"))</f>
        <v>OK</v>
      </c>
      <c r="AC818" s="7" t="str">
        <f>IF(C818&lt;B818, "Invalid", "Valid")</f>
        <v>Valid</v>
      </c>
      <c r="AD818" s="7" t="str">
        <f>IF(COUNTIF($A:$A, A818)&gt;1, "Duplicate", "Unique")</f>
        <v>Unique</v>
      </c>
      <c r="AE818" s="7" t="str">
        <f>IF(G818="","Unknown",G818)</f>
        <v>East</v>
      </c>
      <c r="AF818" s="7" t="str">
        <f>IF(M818="","Unknown",M818)</f>
        <v>First Class</v>
      </c>
      <c r="AG818" s="7" t="str">
        <f>IF(P818&lt;0,"Invalid",
IF(P818&gt;1,"Invalid","Valid"))</f>
        <v>Valid</v>
      </c>
      <c r="AH818" s="7" t="str">
        <f>TEXT(B818,"mmmm")</f>
        <v>November</v>
      </c>
      <c r="AI818" s="7">
        <f t="shared" si="75"/>
        <v>2024</v>
      </c>
      <c r="AJ818" s="7" t="str">
        <f>IF(OR(R818&lt;0,C818&lt;B818),"Invalid",
IF(OR(G818="Unknown",M818="Unknown"),"Warning","Clean"))</f>
        <v>Clean</v>
      </c>
      <c r="AK818" s="7" t="str">
        <f>IF(C818&lt;B818,"Ship Before Order","OK")</f>
        <v>OK</v>
      </c>
      <c r="AL818" s="7" t="str">
        <f>IF(ISNUMBER(B818),"Valid","Invalid")</f>
        <v>Valid</v>
      </c>
      <c r="AM818" s="7" t="str">
        <f t="shared" si="76"/>
        <v>Ok</v>
      </c>
      <c r="AN818" s="7" t="str">
        <f t="shared" si="77"/>
        <v>Ok</v>
      </c>
    </row>
    <row r="819" spans="1:40">
      <c r="A819" t="s">
        <v>2523</v>
      </c>
      <c r="B819" s="6">
        <v>45781</v>
      </c>
      <c r="C819" s="4">
        <v>46317</v>
      </c>
      <c r="D819" t="s">
        <v>2524</v>
      </c>
      <c r="E819" t="s">
        <v>132</v>
      </c>
      <c r="F819" t="s">
        <v>24</v>
      </c>
      <c r="G819" t="s">
        <v>38</v>
      </c>
      <c r="H819" t="s">
        <v>145</v>
      </c>
      <c r="I819" t="s">
        <v>146</v>
      </c>
      <c r="J819" t="s">
        <v>28</v>
      </c>
      <c r="K819" t="s">
        <v>153</v>
      </c>
      <c r="L819" t="s">
        <v>2525</v>
      </c>
      <c r="M819" t="s">
        <v>59</v>
      </c>
      <c r="N819">
        <v>6</v>
      </c>
      <c r="O819">
        <v>1829.69</v>
      </c>
      <c r="P819">
        <v>0.25</v>
      </c>
      <c r="Q819" s="7">
        <f>IF(P819="", 0, P819)</f>
        <v>0.25</v>
      </c>
      <c r="R819">
        <v>8233.6</v>
      </c>
      <c r="S819">
        <v>4713.79</v>
      </c>
      <c r="T819" s="7">
        <f>N819*O819*(1-Q819)</f>
        <v>8233.6049999999996</v>
      </c>
      <c r="U819" s="7">
        <f t="shared" si="72"/>
        <v>3519.8149999999996</v>
      </c>
      <c r="V819">
        <v>3519.81</v>
      </c>
      <c r="W819" s="12">
        <f t="shared" si="73"/>
        <v>0.42749378917254349</v>
      </c>
      <c r="X819" t="s">
        <v>32</v>
      </c>
      <c r="Y819" t="str">
        <f t="shared" si="74"/>
        <v>Paid</v>
      </c>
      <c r="Z819" t="s">
        <v>33</v>
      </c>
      <c r="AA819">
        <f>C819-B819</f>
        <v>536</v>
      </c>
      <c r="AB819" t="str">
        <f>IF(B819="","Missing Order Date",
IF(C819="","Missing Ship Date","OK"))</f>
        <v>OK</v>
      </c>
      <c r="AC819" s="7" t="str">
        <f>IF(C819&lt;B819, "Invalid", "Valid")</f>
        <v>Valid</v>
      </c>
      <c r="AD819" s="7" t="str">
        <f>IF(COUNTIF($A:$A, A819)&gt;1, "Duplicate", "Unique")</f>
        <v>Unique</v>
      </c>
      <c r="AE819" s="7" t="str">
        <f>IF(G819="","Unknown",G819)</f>
        <v>East</v>
      </c>
      <c r="AF819" s="7" t="str">
        <f>IF(M819="","Unknown",M819)</f>
        <v>Standard Class</v>
      </c>
      <c r="AG819" s="7" t="str">
        <f>IF(P819&lt;0,"Invalid",
IF(P819&gt;1,"Invalid","Valid"))</f>
        <v>Valid</v>
      </c>
      <c r="AH819" s="7" t="str">
        <f>TEXT(B819,"mmmm")</f>
        <v>May</v>
      </c>
      <c r="AI819" s="7">
        <f t="shared" si="75"/>
        <v>2025</v>
      </c>
      <c r="AJ819" s="7" t="str">
        <f>IF(OR(R819&lt;0,C819&lt;B819),"Invalid",
IF(OR(G819="Unknown",M819="Unknown"),"Warning","Clean"))</f>
        <v>Clean</v>
      </c>
      <c r="AK819" s="7" t="str">
        <f>IF(C819&lt;B819,"Ship Before Order","OK")</f>
        <v>OK</v>
      </c>
      <c r="AL819" s="7" t="str">
        <f>IF(ISNUMBER(B819),"Valid","Invalid")</f>
        <v>Valid</v>
      </c>
      <c r="AM819" s="7" t="str">
        <f t="shared" si="76"/>
        <v>Missmatched</v>
      </c>
      <c r="AN819" s="7" t="str">
        <f t="shared" si="77"/>
        <v>Missmatched</v>
      </c>
    </row>
    <row r="820" spans="1:40">
      <c r="A820" t="s">
        <v>2526</v>
      </c>
      <c r="B820" s="6">
        <v>45564</v>
      </c>
      <c r="C820" s="4">
        <v>46318</v>
      </c>
      <c r="D820" t="s">
        <v>2527</v>
      </c>
      <c r="E820" t="s">
        <v>114</v>
      </c>
      <c r="F820" t="s">
        <v>37</v>
      </c>
      <c r="G820" t="s">
        <v>63</v>
      </c>
      <c r="H820" t="s">
        <v>64</v>
      </c>
      <c r="I820" t="s">
        <v>65</v>
      </c>
      <c r="J820" t="s">
        <v>28</v>
      </c>
      <c r="K820" t="s">
        <v>91</v>
      </c>
      <c r="L820" t="s">
        <v>2528</v>
      </c>
      <c r="M820" t="s">
        <v>50</v>
      </c>
      <c r="N820">
        <v>8</v>
      </c>
      <c r="O820">
        <v>1981.04</v>
      </c>
      <c r="P820">
        <v>-0.14000000000000001</v>
      </c>
      <c r="Q820" s="7">
        <f>IF(P820="", 0, P820)</f>
        <v>-0.14000000000000001</v>
      </c>
      <c r="R820">
        <v>12678.66</v>
      </c>
      <c r="S820">
        <v>10088.65</v>
      </c>
      <c r="T820" s="7">
        <f>N820*O820*(1-Q820)</f>
        <v>18067.084800000001</v>
      </c>
      <c r="U820" s="7">
        <f t="shared" si="72"/>
        <v>7978.4348000000009</v>
      </c>
      <c r="V820">
        <v>2590.0100000000002</v>
      </c>
      <c r="W820" s="12">
        <f t="shared" si="73"/>
        <v>0.44160056192352631</v>
      </c>
      <c r="X820" t="s">
        <v>32</v>
      </c>
      <c r="Y820" t="str">
        <f t="shared" si="74"/>
        <v>Paid</v>
      </c>
      <c r="Z820" t="s">
        <v>33</v>
      </c>
      <c r="AA820">
        <f>C820-B820</f>
        <v>754</v>
      </c>
      <c r="AB820" t="str">
        <f>IF(B820="","Missing Order Date",
IF(C820="","Missing Ship Date","OK"))</f>
        <v>OK</v>
      </c>
      <c r="AC820" s="7" t="str">
        <f>IF(C820&lt;B820, "Invalid", "Valid")</f>
        <v>Valid</v>
      </c>
      <c r="AD820" s="7" t="str">
        <f>IF(COUNTIF($A:$A, A820)&gt;1, "Duplicate", "Unique")</f>
        <v>Unique</v>
      </c>
      <c r="AE820" s="7" t="str">
        <f>IF(G820="","Unknown",G820)</f>
        <v>West</v>
      </c>
      <c r="AF820" s="7" t="str">
        <f>IF(M820="","Unknown",M820)</f>
        <v>First Class</v>
      </c>
      <c r="AG820" s="7" t="str">
        <f>IF(P820&lt;0,"Invalid",
IF(P820&gt;1,"Invalid","Valid"))</f>
        <v>Invalid</v>
      </c>
      <c r="AH820" s="7" t="str">
        <f>TEXT(B820,"mmmm")</f>
        <v>September</v>
      </c>
      <c r="AI820" s="7">
        <f t="shared" si="75"/>
        <v>2024</v>
      </c>
      <c r="AJ820" s="7" t="str">
        <f>IF(OR(R820&lt;0,C820&lt;B820),"Invalid",
IF(OR(G820="Unknown",M820="Unknown"),"Warning","Clean"))</f>
        <v>Clean</v>
      </c>
      <c r="AK820" s="7" t="str">
        <f>IF(C820&lt;B820,"Ship Before Order","OK")</f>
        <v>OK</v>
      </c>
      <c r="AL820" s="7" t="str">
        <f>IF(ISNUMBER(B820),"Valid","Invalid")</f>
        <v>Valid</v>
      </c>
      <c r="AM820" s="7" t="str">
        <f t="shared" si="76"/>
        <v>Missmatched</v>
      </c>
      <c r="AN820" s="7" t="str">
        <f t="shared" si="77"/>
        <v>Missmatched</v>
      </c>
    </row>
    <row r="821" spans="1:40">
      <c r="A821" t="s">
        <v>2529</v>
      </c>
      <c r="B821" s="6">
        <v>45504</v>
      </c>
      <c r="C821" s="4">
        <v>46319</v>
      </c>
      <c r="D821" t="s">
        <v>2530</v>
      </c>
      <c r="E821" t="s">
        <v>23</v>
      </c>
      <c r="F821" t="s">
        <v>95</v>
      </c>
      <c r="G821" t="s">
        <v>54</v>
      </c>
      <c r="H821" t="s">
        <v>185</v>
      </c>
      <c r="I821" t="s">
        <v>186</v>
      </c>
      <c r="J821" t="s">
        <v>74</v>
      </c>
      <c r="K821" t="s">
        <v>274</v>
      </c>
      <c r="L821" t="s">
        <v>2531</v>
      </c>
      <c r="M821" t="s">
        <v>59</v>
      </c>
      <c r="N821">
        <v>8</v>
      </c>
      <c r="O821">
        <v>4246.01</v>
      </c>
      <c r="P821">
        <v>0</v>
      </c>
      <c r="Q821" s="7">
        <f>IF(P821="", 0, P821)</f>
        <v>0</v>
      </c>
      <c r="R821">
        <v>33968.080000000002</v>
      </c>
      <c r="S821">
        <v>26902.44</v>
      </c>
      <c r="T821" s="7">
        <f>N821*O821*(1-Q821)</f>
        <v>33968.080000000002</v>
      </c>
      <c r="U821" s="7">
        <f t="shared" si="72"/>
        <v>7065.6400000000031</v>
      </c>
      <c r="V821">
        <v>7065.64</v>
      </c>
      <c r="W821" s="12">
        <f t="shared" si="73"/>
        <v>0.20800822419165294</v>
      </c>
      <c r="X821" t="s">
        <v>155</v>
      </c>
      <c r="Y821" t="str">
        <f t="shared" si="74"/>
        <v>Failed</v>
      </c>
      <c r="Z821" t="s">
        <v>68</v>
      </c>
      <c r="AA821">
        <f>C821-B821</f>
        <v>815</v>
      </c>
      <c r="AB821" t="str">
        <f>IF(B821="","Missing Order Date",
IF(C821="","Missing Ship Date","OK"))</f>
        <v>OK</v>
      </c>
      <c r="AC821" s="7" t="str">
        <f>IF(C821&lt;B821, "Invalid", "Valid")</f>
        <v>Valid</v>
      </c>
      <c r="AD821" s="7" t="str">
        <f>IF(COUNTIF($A:$A, A821)&gt;1, "Duplicate", "Unique")</f>
        <v>Unique</v>
      </c>
      <c r="AE821" s="7" t="str">
        <f>IF(G821="","Unknown",G821)</f>
        <v>South</v>
      </c>
      <c r="AF821" s="7" t="str">
        <f>IF(M821="","Unknown",M821)</f>
        <v>Standard Class</v>
      </c>
      <c r="AG821" s="7" t="str">
        <f>IF(P821&lt;0,"Invalid",
IF(P821&gt;1,"Invalid","Valid"))</f>
        <v>Valid</v>
      </c>
      <c r="AH821" s="7" t="str">
        <f>TEXT(B821,"mmmm")</f>
        <v>July</v>
      </c>
      <c r="AI821" s="7">
        <f t="shared" si="75"/>
        <v>2024</v>
      </c>
      <c r="AJ821" s="7" t="str">
        <f>IF(OR(R821&lt;0,C821&lt;B821),"Invalid",
IF(OR(G821="Unknown",M821="Unknown"),"Warning","Clean"))</f>
        <v>Clean</v>
      </c>
      <c r="AK821" s="7" t="str">
        <f>IF(C821&lt;B821,"Ship Before Order","OK")</f>
        <v>OK</v>
      </c>
      <c r="AL821" s="7" t="str">
        <f>IF(ISNUMBER(B821),"Valid","Invalid")</f>
        <v>Valid</v>
      </c>
      <c r="AM821" s="7" t="str">
        <f t="shared" si="76"/>
        <v>Ok</v>
      </c>
      <c r="AN821" s="7" t="str">
        <f t="shared" si="77"/>
        <v>Ok</v>
      </c>
    </row>
    <row r="822" spans="1:40">
      <c r="A822" t="s">
        <v>2532</v>
      </c>
      <c r="B822" s="6">
        <v>45694</v>
      </c>
      <c r="C822" s="4">
        <v>46320</v>
      </c>
      <c r="D822" t="s">
        <v>2533</v>
      </c>
      <c r="E822" t="s">
        <v>62</v>
      </c>
      <c r="F822" t="s">
        <v>95</v>
      </c>
      <c r="G822" t="s">
        <v>25</v>
      </c>
      <c r="H822" t="s">
        <v>136</v>
      </c>
      <c r="I822" t="s">
        <v>137</v>
      </c>
      <c r="J822" t="s">
        <v>41</v>
      </c>
      <c r="K822" t="s">
        <v>158</v>
      </c>
      <c r="L822" t="s">
        <v>2534</v>
      </c>
      <c r="M822" t="s">
        <v>59</v>
      </c>
      <c r="N822">
        <v>2</v>
      </c>
      <c r="O822">
        <v>319.57</v>
      </c>
      <c r="P822">
        <v>0.2</v>
      </c>
      <c r="Q822" s="7">
        <f>IF(P822="", 0, P822)</f>
        <v>0.2</v>
      </c>
      <c r="R822">
        <v>511.31</v>
      </c>
      <c r="S822">
        <v>436.43</v>
      </c>
      <c r="T822" s="7">
        <f>N822*O822*(1-Q822)</f>
        <v>511.31200000000001</v>
      </c>
      <c r="U822" s="7">
        <f t="shared" si="72"/>
        <v>74.882000000000005</v>
      </c>
      <c r="V822">
        <v>74.88</v>
      </c>
      <c r="W822" s="12">
        <f t="shared" si="73"/>
        <v>0.14645069937728825</v>
      </c>
      <c r="X822" t="s">
        <v>32</v>
      </c>
      <c r="Y822" t="str">
        <f t="shared" si="74"/>
        <v>Paid</v>
      </c>
      <c r="Z822" t="s">
        <v>33</v>
      </c>
      <c r="AA822">
        <f>C822-B822</f>
        <v>626</v>
      </c>
      <c r="AB822" t="str">
        <f>IF(B822="","Missing Order Date",
IF(C822="","Missing Ship Date","OK"))</f>
        <v>OK</v>
      </c>
      <c r="AC822" s="7" t="str">
        <f>IF(C822&lt;B822, "Invalid", "Valid")</f>
        <v>Valid</v>
      </c>
      <c r="AD822" s="7" t="str">
        <f>IF(COUNTIF($A:$A, A822)&gt;1, "Duplicate", "Unique")</f>
        <v>Unique</v>
      </c>
      <c r="AE822" s="7" t="str">
        <f>IF(G822="","Unknown",G822)</f>
        <v>North</v>
      </c>
      <c r="AF822" s="7" t="str">
        <f>IF(M822="","Unknown",M822)</f>
        <v>Standard Class</v>
      </c>
      <c r="AG822" s="7" t="str">
        <f>IF(P822&lt;0,"Invalid",
IF(P822&gt;1,"Invalid","Valid"))</f>
        <v>Valid</v>
      </c>
      <c r="AH822" s="7" t="str">
        <f>TEXT(B822,"mmmm")</f>
        <v>February</v>
      </c>
      <c r="AI822" s="7">
        <f t="shared" si="75"/>
        <v>2025</v>
      </c>
      <c r="AJ822" s="7" t="str">
        <f>IF(OR(R822&lt;0,C822&lt;B822),"Invalid",
IF(OR(G822="Unknown",M822="Unknown"),"Warning","Clean"))</f>
        <v>Clean</v>
      </c>
      <c r="AK822" s="7" t="str">
        <f>IF(C822&lt;B822,"Ship Before Order","OK")</f>
        <v>OK</v>
      </c>
      <c r="AL822" s="7" t="str">
        <f>IF(ISNUMBER(B822),"Valid","Invalid")</f>
        <v>Valid</v>
      </c>
      <c r="AM822" s="7" t="str">
        <f t="shared" si="76"/>
        <v>Missmatched</v>
      </c>
      <c r="AN822" s="7" t="str">
        <f t="shared" si="77"/>
        <v>Missmatched</v>
      </c>
    </row>
    <row r="823" spans="1:40">
      <c r="A823" t="s">
        <v>2535</v>
      </c>
      <c r="B823" s="6">
        <v>45358</v>
      </c>
      <c r="C823" s="4">
        <v>46321</v>
      </c>
      <c r="D823" t="s">
        <v>2536</v>
      </c>
      <c r="E823" t="s">
        <v>128</v>
      </c>
      <c r="F823" t="s">
        <v>90</v>
      </c>
      <c r="G823" t="s">
        <v>54</v>
      </c>
      <c r="H823" t="s">
        <v>175</v>
      </c>
      <c r="I823" t="s">
        <v>176</v>
      </c>
      <c r="J823" t="s">
        <v>74</v>
      </c>
      <c r="K823" t="s">
        <v>75</v>
      </c>
      <c r="L823" t="s">
        <v>2537</v>
      </c>
      <c r="M823" t="s">
        <v>50</v>
      </c>
      <c r="N823">
        <v>7</v>
      </c>
      <c r="O823">
        <v>1942.49</v>
      </c>
      <c r="P823">
        <v>0.2</v>
      </c>
      <c r="Q823" s="7">
        <f>IF(P823="", 0, P823)</f>
        <v>0.2</v>
      </c>
      <c r="R823">
        <v>10877.94</v>
      </c>
      <c r="S823">
        <v>9110.14</v>
      </c>
      <c r="T823" s="7">
        <f>N823*O823*(1-Q823)</f>
        <v>10877.944000000001</v>
      </c>
      <c r="U823" s="7">
        <f t="shared" si="72"/>
        <v>1767.8040000000019</v>
      </c>
      <c r="V823">
        <v>1767.8</v>
      </c>
      <c r="W823" s="12">
        <f t="shared" si="73"/>
        <v>0.16251269541376584</v>
      </c>
      <c r="X823" t="s">
        <v>32</v>
      </c>
      <c r="Y823" t="str">
        <f t="shared" si="74"/>
        <v>Paid</v>
      </c>
      <c r="Z823" t="s">
        <v>33</v>
      </c>
      <c r="AA823">
        <f>C823-B823</f>
        <v>963</v>
      </c>
      <c r="AB823" t="str">
        <f>IF(B823="","Missing Order Date",
IF(C823="","Missing Ship Date","OK"))</f>
        <v>OK</v>
      </c>
      <c r="AC823" s="7" t="str">
        <f>IF(C823&lt;B823, "Invalid", "Valid")</f>
        <v>Valid</v>
      </c>
      <c r="AD823" s="7" t="str">
        <f>IF(COUNTIF($A:$A, A823)&gt;1, "Duplicate", "Unique")</f>
        <v>Unique</v>
      </c>
      <c r="AE823" s="7" t="str">
        <f>IF(G823="","Unknown",G823)</f>
        <v>South</v>
      </c>
      <c r="AF823" s="7" t="str">
        <f>IF(M823="","Unknown",M823)</f>
        <v>First Class</v>
      </c>
      <c r="AG823" s="7" t="str">
        <f>IF(P823&lt;0,"Invalid",
IF(P823&gt;1,"Invalid","Valid"))</f>
        <v>Valid</v>
      </c>
      <c r="AH823" s="7" t="str">
        <f>TEXT(B823,"mmmm")</f>
        <v>March</v>
      </c>
      <c r="AI823" s="7">
        <f t="shared" si="75"/>
        <v>2024</v>
      </c>
      <c r="AJ823" s="7" t="str">
        <f>IF(OR(R823&lt;0,C823&lt;B823),"Invalid",
IF(OR(G823="Unknown",M823="Unknown"),"Warning","Clean"))</f>
        <v>Clean</v>
      </c>
      <c r="AK823" s="7" t="str">
        <f>IF(C823&lt;B823,"Ship Before Order","OK")</f>
        <v>OK</v>
      </c>
      <c r="AL823" s="7" t="str">
        <f>IF(ISNUMBER(B823),"Valid","Invalid")</f>
        <v>Valid</v>
      </c>
      <c r="AM823" s="7" t="str">
        <f t="shared" si="76"/>
        <v>Missmatched</v>
      </c>
      <c r="AN823" s="7" t="str">
        <f t="shared" si="77"/>
        <v>Missmatched</v>
      </c>
    </row>
    <row r="824" spans="1:40">
      <c r="A824" t="s">
        <v>2538</v>
      </c>
      <c r="B824" s="6">
        <v>45636</v>
      </c>
      <c r="C824" s="4">
        <v>46322</v>
      </c>
      <c r="D824" t="s">
        <v>2539</v>
      </c>
      <c r="E824" t="s">
        <v>36</v>
      </c>
      <c r="F824" t="s">
        <v>90</v>
      </c>
      <c r="G824" t="s">
        <v>38</v>
      </c>
      <c r="H824" t="s">
        <v>166</v>
      </c>
      <c r="I824" t="s">
        <v>167</v>
      </c>
      <c r="J824" t="s">
        <v>41</v>
      </c>
      <c r="K824" t="s">
        <v>57</v>
      </c>
      <c r="L824" t="s">
        <v>2540</v>
      </c>
      <c r="M824" t="s">
        <v>31</v>
      </c>
      <c r="N824">
        <v>4</v>
      </c>
      <c r="O824">
        <v>3202.04</v>
      </c>
      <c r="P824">
        <v>0.2</v>
      </c>
      <c r="Q824" s="7">
        <f>IF(P824="", 0, P824)</f>
        <v>0.2</v>
      </c>
      <c r="R824">
        <v>10246.530000000001</v>
      </c>
      <c r="S824">
        <v>8634.42</v>
      </c>
      <c r="T824" s="7">
        <f>N824*O824*(1-Q824)</f>
        <v>10246.528</v>
      </c>
      <c r="U824" s="7">
        <f t="shared" si="72"/>
        <v>1612.1080000000002</v>
      </c>
      <c r="V824">
        <v>1612.11</v>
      </c>
      <c r="W824" s="12">
        <f t="shared" si="73"/>
        <v>0.15733212264681268</v>
      </c>
      <c r="X824" t="s">
        <v>111</v>
      </c>
      <c r="Y824" t="str">
        <f t="shared" si="74"/>
        <v>Pending</v>
      </c>
      <c r="Z824" t="s">
        <v>103</v>
      </c>
      <c r="AA824">
        <f>C824-B824</f>
        <v>686</v>
      </c>
      <c r="AB824" t="str">
        <f>IF(B824="","Missing Order Date",
IF(C824="","Missing Ship Date","OK"))</f>
        <v>OK</v>
      </c>
      <c r="AC824" s="7" t="str">
        <f>IF(C824&lt;B824, "Invalid", "Valid")</f>
        <v>Valid</v>
      </c>
      <c r="AD824" s="7" t="str">
        <f>IF(COUNTIF($A:$A, A824)&gt;1, "Duplicate", "Unique")</f>
        <v>Unique</v>
      </c>
      <c r="AE824" s="7" t="str">
        <f>IF(G824="","Unknown",G824)</f>
        <v>East</v>
      </c>
      <c r="AF824" s="7" t="str">
        <f>IF(M824="","Unknown",M824)</f>
        <v>Second Class</v>
      </c>
      <c r="AG824" s="7" t="str">
        <f>IF(P824&lt;0,"Invalid",
IF(P824&gt;1,"Invalid","Valid"))</f>
        <v>Valid</v>
      </c>
      <c r="AH824" s="7" t="str">
        <f>TEXT(B824,"mmmm")</f>
        <v>December</v>
      </c>
      <c r="AI824" s="7">
        <f t="shared" si="75"/>
        <v>2024</v>
      </c>
      <c r="AJ824" s="7" t="str">
        <f>IF(OR(R824&lt;0,C824&lt;B824),"Invalid",
IF(OR(G824="Unknown",M824="Unknown"),"Warning","Clean"))</f>
        <v>Clean</v>
      </c>
      <c r="AK824" s="7" t="str">
        <f>IF(C824&lt;B824,"Ship Before Order","OK")</f>
        <v>OK</v>
      </c>
      <c r="AL824" s="7" t="str">
        <f>IF(ISNUMBER(B824),"Valid","Invalid")</f>
        <v>Valid</v>
      </c>
      <c r="AM824" s="7" t="str">
        <f t="shared" si="76"/>
        <v>Missmatched</v>
      </c>
      <c r="AN824" s="7" t="str">
        <f t="shared" si="77"/>
        <v>Missmatched</v>
      </c>
    </row>
    <row r="825" spans="1:40">
      <c r="A825" t="s">
        <v>2541</v>
      </c>
      <c r="B825" s="6">
        <v>45809</v>
      </c>
      <c r="C825" s="4">
        <v>46323</v>
      </c>
      <c r="D825" t="s">
        <v>2542</v>
      </c>
      <c r="E825" t="s">
        <v>36</v>
      </c>
      <c r="F825" t="s">
        <v>95</v>
      </c>
      <c r="G825" t="s">
        <v>63</v>
      </c>
      <c r="H825" t="s">
        <v>190</v>
      </c>
      <c r="I825" t="s">
        <v>191</v>
      </c>
      <c r="J825" t="s">
        <v>28</v>
      </c>
      <c r="K825" t="s">
        <v>29</v>
      </c>
      <c r="L825" t="s">
        <v>2543</v>
      </c>
      <c r="M825" t="s">
        <v>44</v>
      </c>
      <c r="N825">
        <v>3</v>
      </c>
      <c r="O825">
        <v>668.33</v>
      </c>
      <c r="P825">
        <v>0.15</v>
      </c>
      <c r="Q825" s="7">
        <f>IF(P825="", 0, P825)</f>
        <v>0.15</v>
      </c>
      <c r="R825">
        <v>1704.24</v>
      </c>
      <c r="S825">
        <v>957.55</v>
      </c>
      <c r="T825" s="7">
        <f>N825*O825*(1-Q825)</f>
        <v>1704.2415000000001</v>
      </c>
      <c r="U825" s="7">
        <f t="shared" si="72"/>
        <v>746.69150000000013</v>
      </c>
      <c r="V825">
        <v>746.69</v>
      </c>
      <c r="W825" s="12">
        <f t="shared" si="73"/>
        <v>0.43813714194848563</v>
      </c>
      <c r="X825" t="s">
        <v>32</v>
      </c>
      <c r="Y825" t="str">
        <f t="shared" si="74"/>
        <v>Paid</v>
      </c>
      <c r="Z825" t="s">
        <v>33</v>
      </c>
      <c r="AA825">
        <f>C825-B825</f>
        <v>514</v>
      </c>
      <c r="AB825" t="str">
        <f>IF(B825="","Missing Order Date",
IF(C825="","Missing Ship Date","OK"))</f>
        <v>OK</v>
      </c>
      <c r="AC825" s="7" t="str">
        <f>IF(C825&lt;B825, "Invalid", "Valid")</f>
        <v>Valid</v>
      </c>
      <c r="AD825" s="7" t="str">
        <f>IF(COUNTIF($A:$A, A825)&gt;1, "Duplicate", "Unique")</f>
        <v>Unique</v>
      </c>
      <c r="AE825" s="7" t="str">
        <f>IF(G825="","Unknown",G825)</f>
        <v>West</v>
      </c>
      <c r="AF825" s="7" t="str">
        <f>IF(M825="","Unknown",M825)</f>
        <v>Same Day</v>
      </c>
      <c r="AG825" s="7" t="str">
        <f>IF(P825&lt;0,"Invalid",
IF(P825&gt;1,"Invalid","Valid"))</f>
        <v>Valid</v>
      </c>
      <c r="AH825" s="7" t="str">
        <f>TEXT(B825,"mmmm")</f>
        <v>June</v>
      </c>
      <c r="AI825" s="7">
        <f t="shared" si="75"/>
        <v>2025</v>
      </c>
      <c r="AJ825" s="7" t="str">
        <f>IF(OR(R825&lt;0,C825&lt;B825),"Invalid",
IF(OR(G825="Unknown",M825="Unknown"),"Warning","Clean"))</f>
        <v>Clean</v>
      </c>
      <c r="AK825" s="7" t="str">
        <f>IF(C825&lt;B825,"Ship Before Order","OK")</f>
        <v>OK</v>
      </c>
      <c r="AL825" s="7" t="str">
        <f>IF(ISNUMBER(B825),"Valid","Invalid")</f>
        <v>Valid</v>
      </c>
      <c r="AM825" s="7" t="str">
        <f t="shared" si="76"/>
        <v>Missmatched</v>
      </c>
      <c r="AN825" s="7" t="str">
        <f t="shared" si="77"/>
        <v>Missmatched</v>
      </c>
    </row>
    <row r="826" spans="1:40">
      <c r="A826" t="s">
        <v>2544</v>
      </c>
      <c r="B826" s="6">
        <v>45737</v>
      </c>
      <c r="C826" s="4">
        <v>46324</v>
      </c>
      <c r="D826" t="s">
        <v>2545</v>
      </c>
      <c r="E826" t="s">
        <v>114</v>
      </c>
      <c r="F826" t="s">
        <v>24</v>
      </c>
      <c r="G826" t="s">
        <v>63</v>
      </c>
      <c r="H826" t="s">
        <v>190</v>
      </c>
      <c r="I826" t="s">
        <v>191</v>
      </c>
      <c r="J826" t="s">
        <v>28</v>
      </c>
      <c r="K826" t="s">
        <v>29</v>
      </c>
      <c r="L826" t="s">
        <v>2546</v>
      </c>
      <c r="M826" t="s">
        <v>50</v>
      </c>
      <c r="N826">
        <v>8</v>
      </c>
      <c r="O826">
        <v>4436.74</v>
      </c>
      <c r="P826">
        <v>0.05</v>
      </c>
      <c r="Q826" s="7">
        <f>IF(P826="", 0, P826)</f>
        <v>0.05</v>
      </c>
      <c r="R826">
        <v>33719.22</v>
      </c>
      <c r="S826">
        <v>28924.43</v>
      </c>
      <c r="T826" s="7">
        <f>N826*O826*(1-Q826)</f>
        <v>33719.223999999995</v>
      </c>
      <c r="U826" s="7">
        <f t="shared" si="72"/>
        <v>4794.7939999999944</v>
      </c>
      <c r="V826">
        <v>4794.79</v>
      </c>
      <c r="W826" s="12">
        <f t="shared" si="73"/>
        <v>0.14219763776295669</v>
      </c>
      <c r="X826" t="s">
        <v>32</v>
      </c>
      <c r="Y826" t="str">
        <f t="shared" si="74"/>
        <v>Paid</v>
      </c>
      <c r="Z826" t="s">
        <v>33</v>
      </c>
      <c r="AA826">
        <f>C826-B826</f>
        <v>587</v>
      </c>
      <c r="AB826" t="str">
        <f>IF(B826="","Missing Order Date",
IF(C826="","Missing Ship Date","OK"))</f>
        <v>OK</v>
      </c>
      <c r="AC826" s="7" t="str">
        <f>IF(C826&lt;B826, "Invalid", "Valid")</f>
        <v>Valid</v>
      </c>
      <c r="AD826" s="7" t="str">
        <f>IF(COUNTIF($A:$A, A826)&gt;1, "Duplicate", "Unique")</f>
        <v>Unique</v>
      </c>
      <c r="AE826" s="7" t="str">
        <f>IF(G826="","Unknown",G826)</f>
        <v>West</v>
      </c>
      <c r="AF826" s="7" t="str">
        <f>IF(M826="","Unknown",M826)</f>
        <v>First Class</v>
      </c>
      <c r="AG826" s="7" t="str">
        <f>IF(P826&lt;0,"Invalid",
IF(P826&gt;1,"Invalid","Valid"))</f>
        <v>Valid</v>
      </c>
      <c r="AH826" s="7" t="str">
        <f>TEXT(B826,"mmmm")</f>
        <v>March</v>
      </c>
      <c r="AI826" s="7">
        <f t="shared" si="75"/>
        <v>2025</v>
      </c>
      <c r="AJ826" s="7" t="str">
        <f>IF(OR(R826&lt;0,C826&lt;B826),"Invalid",
IF(OR(G826="Unknown",M826="Unknown"),"Warning","Clean"))</f>
        <v>Clean</v>
      </c>
      <c r="AK826" s="7" t="str">
        <f>IF(C826&lt;B826,"Ship Before Order","OK")</f>
        <v>OK</v>
      </c>
      <c r="AL826" s="7" t="str">
        <f>IF(ISNUMBER(B826),"Valid","Invalid")</f>
        <v>Valid</v>
      </c>
      <c r="AM826" s="7" t="str">
        <f t="shared" si="76"/>
        <v>Missmatched</v>
      </c>
      <c r="AN826" s="7" t="str">
        <f t="shared" si="77"/>
        <v>Missmatched</v>
      </c>
    </row>
    <row r="827" spans="1:40">
      <c r="A827" t="s">
        <v>2547</v>
      </c>
      <c r="B827" s="6">
        <v>45763</v>
      </c>
      <c r="C827" s="4">
        <v>46325</v>
      </c>
      <c r="D827" t="s">
        <v>2548</v>
      </c>
      <c r="E827" t="s">
        <v>71</v>
      </c>
      <c r="F827" t="s">
        <v>37</v>
      </c>
      <c r="G827" t="s">
        <v>25</v>
      </c>
      <c r="H827" t="s">
        <v>136</v>
      </c>
      <c r="I827" t="s">
        <v>137</v>
      </c>
      <c r="J827" t="s">
        <v>74</v>
      </c>
      <c r="K827" t="s">
        <v>274</v>
      </c>
      <c r="L827" t="s">
        <v>2549</v>
      </c>
      <c r="M827" t="s">
        <v>50</v>
      </c>
      <c r="N827">
        <v>1</v>
      </c>
      <c r="O827">
        <v>2720.17</v>
      </c>
      <c r="P827">
        <v>0</v>
      </c>
      <c r="Q827" s="7">
        <f>IF(P827="", 0, P827)</f>
        <v>0</v>
      </c>
      <c r="R827">
        <v>2720.17</v>
      </c>
      <c r="S827">
        <v>1834.23</v>
      </c>
      <c r="T827" s="7">
        <f>N827*O827*(1-Q827)</f>
        <v>2720.17</v>
      </c>
      <c r="U827" s="7">
        <f t="shared" si="72"/>
        <v>885.94</v>
      </c>
      <c r="V827">
        <v>885.94</v>
      </c>
      <c r="W827" s="12">
        <f t="shared" si="73"/>
        <v>0.3256928794891496</v>
      </c>
      <c r="X827" t="s">
        <v>32</v>
      </c>
      <c r="Y827" t="str">
        <f t="shared" si="74"/>
        <v>Paid</v>
      </c>
      <c r="Z827" t="s">
        <v>33</v>
      </c>
      <c r="AA827">
        <f>C827-B827</f>
        <v>562</v>
      </c>
      <c r="AB827" t="str">
        <f>IF(B827="","Missing Order Date",
IF(C827="","Missing Ship Date","OK"))</f>
        <v>OK</v>
      </c>
      <c r="AC827" s="7" t="str">
        <f>IF(C827&lt;B827, "Invalid", "Valid")</f>
        <v>Valid</v>
      </c>
      <c r="AD827" s="7" t="str">
        <f>IF(COUNTIF($A:$A, A827)&gt;1, "Duplicate", "Unique")</f>
        <v>Unique</v>
      </c>
      <c r="AE827" s="7" t="str">
        <f>IF(G827="","Unknown",G827)</f>
        <v>North</v>
      </c>
      <c r="AF827" s="7" t="str">
        <f>IF(M827="","Unknown",M827)</f>
        <v>First Class</v>
      </c>
      <c r="AG827" s="7" t="str">
        <f>IF(P827&lt;0,"Invalid",
IF(P827&gt;1,"Invalid","Valid"))</f>
        <v>Valid</v>
      </c>
      <c r="AH827" s="7" t="str">
        <f>TEXT(B827,"mmmm")</f>
        <v>April</v>
      </c>
      <c r="AI827" s="7">
        <f t="shared" si="75"/>
        <v>2025</v>
      </c>
      <c r="AJ827" s="7" t="str">
        <f>IF(OR(R827&lt;0,C827&lt;B827),"Invalid",
IF(OR(G827="Unknown",M827="Unknown"),"Warning","Clean"))</f>
        <v>Clean</v>
      </c>
      <c r="AK827" s="7" t="str">
        <f>IF(C827&lt;B827,"Ship Before Order","OK")</f>
        <v>OK</v>
      </c>
      <c r="AL827" s="7" t="str">
        <f>IF(ISNUMBER(B827),"Valid","Invalid")</f>
        <v>Valid</v>
      </c>
      <c r="AM827" s="7" t="str">
        <f t="shared" si="76"/>
        <v>Ok</v>
      </c>
      <c r="AN827" s="7" t="str">
        <f t="shared" si="77"/>
        <v>Ok</v>
      </c>
    </row>
    <row r="828" spans="1:40">
      <c r="A828" t="s">
        <v>2550</v>
      </c>
      <c r="B828" s="6">
        <v>45938</v>
      </c>
      <c r="C828" s="4">
        <v>46326</v>
      </c>
      <c r="D828" t="s">
        <v>2551</v>
      </c>
      <c r="E828" t="s">
        <v>89</v>
      </c>
      <c r="F828" t="s">
        <v>24</v>
      </c>
      <c r="G828" t="s">
        <v>63</v>
      </c>
      <c r="H828" t="s">
        <v>26</v>
      </c>
      <c r="I828" t="s">
        <v>109</v>
      </c>
      <c r="J828" t="s">
        <v>74</v>
      </c>
      <c r="K828" t="s">
        <v>75</v>
      </c>
      <c r="L828" t="s">
        <v>2552</v>
      </c>
      <c r="M828" t="s">
        <v>59</v>
      </c>
      <c r="N828">
        <v>5</v>
      </c>
      <c r="O828">
        <v>2190.14</v>
      </c>
      <c r="P828">
        <v>0.25</v>
      </c>
      <c r="Q828" s="7">
        <f>IF(P828="", 0, P828)</f>
        <v>0.25</v>
      </c>
      <c r="R828">
        <v>8213.02</v>
      </c>
      <c r="S828">
        <v>5569.3</v>
      </c>
      <c r="T828" s="7">
        <f>N828*O828*(1-Q828)</f>
        <v>8213.0249999999996</v>
      </c>
      <c r="U828" s="7">
        <f t="shared" si="72"/>
        <v>2643.7249999999995</v>
      </c>
      <c r="V828">
        <v>2643.72</v>
      </c>
      <c r="W828" s="12">
        <f t="shared" si="73"/>
        <v>0.32189418636860345</v>
      </c>
      <c r="X828" t="s">
        <v>32</v>
      </c>
      <c r="Y828" t="str">
        <f t="shared" si="74"/>
        <v>Paid</v>
      </c>
      <c r="Z828" t="s">
        <v>33</v>
      </c>
      <c r="AA828">
        <f>C828-B828</f>
        <v>388</v>
      </c>
      <c r="AB828" t="str">
        <f>IF(B828="","Missing Order Date",
IF(C828="","Missing Ship Date","OK"))</f>
        <v>OK</v>
      </c>
      <c r="AC828" s="7" t="str">
        <f>IF(C828&lt;B828, "Invalid", "Valid")</f>
        <v>Valid</v>
      </c>
      <c r="AD828" s="7" t="str">
        <f>IF(COUNTIF($A:$A, A828)&gt;1, "Duplicate", "Unique")</f>
        <v>Unique</v>
      </c>
      <c r="AE828" s="7" t="str">
        <f>IF(G828="","Unknown",G828)</f>
        <v>West</v>
      </c>
      <c r="AF828" s="7" t="str">
        <f>IF(M828="","Unknown",M828)</f>
        <v>Standard Class</v>
      </c>
      <c r="AG828" s="7" t="str">
        <f>IF(P828&lt;0,"Invalid",
IF(P828&gt;1,"Invalid","Valid"))</f>
        <v>Valid</v>
      </c>
      <c r="AH828" s="7" t="str">
        <f>TEXT(B828,"mmmm")</f>
        <v>October</v>
      </c>
      <c r="AI828" s="7">
        <f t="shared" si="75"/>
        <v>2025</v>
      </c>
      <c r="AJ828" s="7" t="str">
        <f>IF(OR(R828&lt;0,C828&lt;B828),"Invalid",
IF(OR(G828="Unknown",M828="Unknown"),"Warning","Clean"))</f>
        <v>Clean</v>
      </c>
      <c r="AK828" s="7" t="str">
        <f>IF(C828&lt;B828,"Ship Before Order","OK")</f>
        <v>OK</v>
      </c>
      <c r="AL828" s="7" t="str">
        <f>IF(ISNUMBER(B828),"Valid","Invalid")</f>
        <v>Valid</v>
      </c>
      <c r="AM828" s="7" t="str">
        <f t="shared" si="76"/>
        <v>Missmatched</v>
      </c>
      <c r="AN828" s="7" t="str">
        <f t="shared" si="77"/>
        <v>Missmatched</v>
      </c>
    </row>
    <row r="829" spans="1:40">
      <c r="A829" t="s">
        <v>2553</v>
      </c>
      <c r="B829" s="6">
        <v>45620</v>
      </c>
      <c r="C829" s="4">
        <v>46327</v>
      </c>
      <c r="D829" t="s">
        <v>2554</v>
      </c>
      <c r="E829" t="s">
        <v>114</v>
      </c>
      <c r="F829" t="s">
        <v>95</v>
      </c>
      <c r="G829" t="s">
        <v>54</v>
      </c>
      <c r="H829" t="s">
        <v>247</v>
      </c>
      <c r="I829" t="s">
        <v>248</v>
      </c>
      <c r="J829" t="s">
        <v>28</v>
      </c>
      <c r="K829" t="s">
        <v>29</v>
      </c>
      <c r="L829" t="s">
        <v>2555</v>
      </c>
      <c r="M829" t="s">
        <v>44</v>
      </c>
      <c r="N829">
        <v>1</v>
      </c>
      <c r="O829">
        <v>844.89</v>
      </c>
      <c r="P829">
        <v>0.25</v>
      </c>
      <c r="Q829" s="7">
        <f>IF(P829="", 0, P829)</f>
        <v>0.25</v>
      </c>
      <c r="R829">
        <v>633.66999999999996</v>
      </c>
      <c r="S829">
        <v>520.47</v>
      </c>
      <c r="T829" s="7">
        <f>N829*O829*(1-Q829)</f>
        <v>633.66750000000002</v>
      </c>
      <c r="U829" s="7">
        <f t="shared" si="72"/>
        <v>113.19749999999999</v>
      </c>
      <c r="V829">
        <v>113.2</v>
      </c>
      <c r="W829" s="12">
        <f t="shared" si="73"/>
        <v>0.17863863934950111</v>
      </c>
      <c r="X829" t="s">
        <v>32</v>
      </c>
      <c r="Y829" t="str">
        <f t="shared" si="74"/>
        <v>Paid</v>
      </c>
      <c r="Z829" t="s">
        <v>68</v>
      </c>
      <c r="AA829">
        <f>C829-B829</f>
        <v>707</v>
      </c>
      <c r="AB829" t="str">
        <f>IF(B829="","Missing Order Date",
IF(C829="","Missing Ship Date","OK"))</f>
        <v>OK</v>
      </c>
      <c r="AC829" s="7" t="str">
        <f>IF(C829&lt;B829, "Invalid", "Valid")</f>
        <v>Valid</v>
      </c>
      <c r="AD829" s="7" t="str">
        <f>IF(COUNTIF($A:$A, A829)&gt;1, "Duplicate", "Unique")</f>
        <v>Unique</v>
      </c>
      <c r="AE829" s="7" t="str">
        <f>IF(G829="","Unknown",G829)</f>
        <v>South</v>
      </c>
      <c r="AF829" s="7" t="str">
        <f>IF(M829="","Unknown",M829)</f>
        <v>Same Day</v>
      </c>
      <c r="AG829" s="7" t="str">
        <f>IF(P829&lt;0,"Invalid",
IF(P829&gt;1,"Invalid","Valid"))</f>
        <v>Valid</v>
      </c>
      <c r="AH829" s="7" t="str">
        <f>TEXT(B829,"mmmm")</f>
        <v>November</v>
      </c>
      <c r="AI829" s="7">
        <f t="shared" si="75"/>
        <v>2024</v>
      </c>
      <c r="AJ829" s="7" t="str">
        <f>IF(OR(R829&lt;0,C829&lt;B829),"Invalid",
IF(OR(G829="Unknown",M829="Unknown"),"Warning","Clean"))</f>
        <v>Clean</v>
      </c>
      <c r="AK829" s="7" t="str">
        <f>IF(C829&lt;B829,"Ship Before Order","OK")</f>
        <v>OK</v>
      </c>
      <c r="AL829" s="7" t="str">
        <f>IF(ISNUMBER(B829),"Valid","Invalid")</f>
        <v>Valid</v>
      </c>
      <c r="AM829" s="7" t="str">
        <f t="shared" si="76"/>
        <v>Missmatched</v>
      </c>
      <c r="AN829" s="7" t="str">
        <f t="shared" si="77"/>
        <v>Missmatched</v>
      </c>
    </row>
    <row r="830" spans="1:40">
      <c r="A830" t="s">
        <v>2556</v>
      </c>
      <c r="B830" s="6">
        <v>45940</v>
      </c>
      <c r="C830" s="4">
        <v>46328</v>
      </c>
      <c r="D830" t="s">
        <v>2557</v>
      </c>
      <c r="E830" t="s">
        <v>23</v>
      </c>
      <c r="F830" t="s">
        <v>90</v>
      </c>
      <c r="G830" t="s">
        <v>38</v>
      </c>
      <c r="H830" t="s">
        <v>39</v>
      </c>
      <c r="I830" t="s">
        <v>40</v>
      </c>
      <c r="J830" t="s">
        <v>41</v>
      </c>
      <c r="K830" t="s">
        <v>66</v>
      </c>
      <c r="L830" t="s">
        <v>2558</v>
      </c>
      <c r="M830" t="s">
        <v>31</v>
      </c>
      <c r="N830">
        <v>7</v>
      </c>
      <c r="O830">
        <v>3791.96</v>
      </c>
      <c r="P830">
        <v>0.05</v>
      </c>
      <c r="Q830" s="7">
        <f>IF(P830="", 0, P830)</f>
        <v>0.05</v>
      </c>
      <c r="R830">
        <v>25216.53</v>
      </c>
      <c r="S830">
        <v>14216.94</v>
      </c>
      <c r="T830" s="7">
        <f>N830*O830*(1-Q830)</f>
        <v>25216.534</v>
      </c>
      <c r="U830" s="7">
        <f t="shared" si="72"/>
        <v>10999.593999999999</v>
      </c>
      <c r="V830">
        <v>10999.59</v>
      </c>
      <c r="W830" s="12">
        <f t="shared" si="73"/>
        <v>0.4362056260388521</v>
      </c>
      <c r="X830" t="s">
        <v>155</v>
      </c>
      <c r="Y830" t="str">
        <f t="shared" si="74"/>
        <v>Failed</v>
      </c>
      <c r="Z830" t="s">
        <v>68</v>
      </c>
      <c r="AA830">
        <f>C830-B830</f>
        <v>388</v>
      </c>
      <c r="AB830" t="str">
        <f>IF(B830="","Missing Order Date",
IF(C830="","Missing Ship Date","OK"))</f>
        <v>OK</v>
      </c>
      <c r="AC830" s="7" t="str">
        <f>IF(C830&lt;B830, "Invalid", "Valid")</f>
        <v>Valid</v>
      </c>
      <c r="AD830" s="7" t="str">
        <f>IF(COUNTIF($A:$A, A830)&gt;1, "Duplicate", "Unique")</f>
        <v>Unique</v>
      </c>
      <c r="AE830" s="7" t="str">
        <f>IF(G830="","Unknown",G830)</f>
        <v>East</v>
      </c>
      <c r="AF830" s="7" t="str">
        <f>IF(M830="","Unknown",M830)</f>
        <v>Second Class</v>
      </c>
      <c r="AG830" s="7" t="str">
        <f>IF(P830&lt;0,"Invalid",
IF(P830&gt;1,"Invalid","Valid"))</f>
        <v>Valid</v>
      </c>
      <c r="AH830" s="7" t="str">
        <f>TEXT(B830,"mmmm")</f>
        <v>October</v>
      </c>
      <c r="AI830" s="7">
        <f t="shared" si="75"/>
        <v>2025</v>
      </c>
      <c r="AJ830" s="7" t="str">
        <f>IF(OR(R830&lt;0,C830&lt;B830),"Invalid",
IF(OR(G830="Unknown",M830="Unknown"),"Warning","Clean"))</f>
        <v>Clean</v>
      </c>
      <c r="AK830" s="7" t="str">
        <f>IF(C830&lt;B830,"Ship Before Order","OK")</f>
        <v>OK</v>
      </c>
      <c r="AL830" s="7" t="str">
        <f>IF(ISNUMBER(B830),"Valid","Invalid")</f>
        <v>Valid</v>
      </c>
      <c r="AM830" s="7" t="str">
        <f t="shared" si="76"/>
        <v>Missmatched</v>
      </c>
      <c r="AN830" s="7" t="str">
        <f t="shared" si="77"/>
        <v>Missmatched</v>
      </c>
    </row>
    <row r="831" spans="1:40">
      <c r="A831" t="s">
        <v>2559</v>
      </c>
      <c r="B831" s="6">
        <v>45348</v>
      </c>
      <c r="C831" s="4">
        <v>46329</v>
      </c>
      <c r="D831" t="s">
        <v>2560</v>
      </c>
      <c r="E831" t="s">
        <v>89</v>
      </c>
      <c r="F831" t="s">
        <v>37</v>
      </c>
      <c r="G831" t="s">
        <v>63</v>
      </c>
      <c r="H831" t="s">
        <v>190</v>
      </c>
      <c r="I831" t="s">
        <v>191</v>
      </c>
      <c r="J831" t="s">
        <v>41</v>
      </c>
      <c r="K831" t="s">
        <v>57</v>
      </c>
      <c r="L831" t="s">
        <v>2561</v>
      </c>
      <c r="M831" t="s">
        <v>31</v>
      </c>
      <c r="N831">
        <v>7</v>
      </c>
      <c r="O831">
        <v>1035.1400000000001</v>
      </c>
      <c r="P831">
        <v>0.1</v>
      </c>
      <c r="Q831" s="7">
        <f>IF(P831="", 0, P831)</f>
        <v>0.1</v>
      </c>
      <c r="R831">
        <v>6521.38</v>
      </c>
      <c r="S831">
        <v>4511.1000000000004</v>
      </c>
      <c r="T831" s="7">
        <f>N831*O831*(1-Q831)</f>
        <v>6521.3820000000005</v>
      </c>
      <c r="U831" s="7">
        <f t="shared" si="72"/>
        <v>2010.2820000000002</v>
      </c>
      <c r="V831">
        <v>2010.28</v>
      </c>
      <c r="W831" s="12">
        <f t="shared" si="73"/>
        <v>0.30826012032418892</v>
      </c>
      <c r="X831" t="s">
        <v>32</v>
      </c>
      <c r="Y831" t="str">
        <f t="shared" si="74"/>
        <v>Paid</v>
      </c>
      <c r="Z831" t="s">
        <v>33</v>
      </c>
      <c r="AA831">
        <f>C831-B831</f>
        <v>981</v>
      </c>
      <c r="AB831" t="str">
        <f>IF(B831="","Missing Order Date",
IF(C831="","Missing Ship Date","OK"))</f>
        <v>OK</v>
      </c>
      <c r="AC831" s="7" t="str">
        <f>IF(C831&lt;B831, "Invalid", "Valid")</f>
        <v>Valid</v>
      </c>
      <c r="AD831" s="7" t="str">
        <f>IF(COUNTIF($A:$A, A831)&gt;1, "Duplicate", "Unique")</f>
        <v>Unique</v>
      </c>
      <c r="AE831" s="7" t="str">
        <f>IF(G831="","Unknown",G831)</f>
        <v>West</v>
      </c>
      <c r="AF831" s="7" t="str">
        <f>IF(M831="","Unknown",M831)</f>
        <v>Second Class</v>
      </c>
      <c r="AG831" s="7" t="str">
        <f>IF(P831&lt;0,"Invalid",
IF(P831&gt;1,"Invalid","Valid"))</f>
        <v>Valid</v>
      </c>
      <c r="AH831" s="7" t="str">
        <f>TEXT(B831,"mmmm")</f>
        <v>February</v>
      </c>
      <c r="AI831" s="7">
        <f t="shared" si="75"/>
        <v>2024</v>
      </c>
      <c r="AJ831" s="7" t="str">
        <f>IF(OR(R831&lt;0,C831&lt;B831),"Invalid",
IF(OR(G831="Unknown",M831="Unknown"),"Warning","Clean"))</f>
        <v>Clean</v>
      </c>
      <c r="AK831" s="7" t="str">
        <f>IF(C831&lt;B831,"Ship Before Order","OK")</f>
        <v>OK</v>
      </c>
      <c r="AL831" s="7" t="str">
        <f>IF(ISNUMBER(B831),"Valid","Invalid")</f>
        <v>Valid</v>
      </c>
      <c r="AM831" s="7" t="str">
        <f t="shared" si="76"/>
        <v>Missmatched</v>
      </c>
      <c r="AN831" s="7" t="str">
        <f t="shared" si="77"/>
        <v>Missmatched</v>
      </c>
    </row>
    <row r="832" spans="1:40">
      <c r="A832" t="s">
        <v>2562</v>
      </c>
      <c r="B832" s="6">
        <v>45853</v>
      </c>
      <c r="C832" s="4">
        <v>46330</v>
      </c>
      <c r="D832" t="s">
        <v>2563</v>
      </c>
      <c r="E832" t="s">
        <v>89</v>
      </c>
      <c r="F832" t="s">
        <v>37</v>
      </c>
      <c r="G832" t="s">
        <v>2785</v>
      </c>
      <c r="H832" t="s">
        <v>247</v>
      </c>
      <c r="I832" t="s">
        <v>248</v>
      </c>
      <c r="J832" t="s">
        <v>74</v>
      </c>
      <c r="K832" t="s">
        <v>274</v>
      </c>
      <c r="L832" t="s">
        <v>2564</v>
      </c>
      <c r="M832" t="s">
        <v>50</v>
      </c>
      <c r="N832">
        <v>6</v>
      </c>
      <c r="O832">
        <v>2382.88</v>
      </c>
      <c r="P832">
        <v>0.1</v>
      </c>
      <c r="Q832" s="7">
        <f>IF(P832="", 0, P832)</f>
        <v>0.1</v>
      </c>
      <c r="R832">
        <v>12867.55</v>
      </c>
      <c r="S832">
        <v>10068.94</v>
      </c>
      <c r="T832" s="7">
        <f>N832*O832*(1-Q832)</f>
        <v>12867.552000000001</v>
      </c>
      <c r="U832" s="7">
        <f t="shared" si="72"/>
        <v>2798.612000000001</v>
      </c>
      <c r="V832">
        <v>2798.61</v>
      </c>
      <c r="W832" s="12">
        <f t="shared" si="73"/>
        <v>0.21749373929089236</v>
      </c>
      <c r="X832" t="s">
        <v>32</v>
      </c>
      <c r="Y832" t="str">
        <f t="shared" si="74"/>
        <v>Paid</v>
      </c>
      <c r="Z832" t="s">
        <v>33</v>
      </c>
      <c r="AA832">
        <f>C832-B832</f>
        <v>477</v>
      </c>
      <c r="AB832" t="str">
        <f>IF(B832="","Missing Order Date",
IF(C832="","Missing Ship Date","OK"))</f>
        <v>OK</v>
      </c>
      <c r="AC832" s="7" t="str">
        <f>IF(C832&lt;B832, "Invalid", "Valid")</f>
        <v>Valid</v>
      </c>
      <c r="AD832" s="7" t="str">
        <f>IF(COUNTIF($A:$A, A832)&gt;1, "Duplicate", "Unique")</f>
        <v>Unique</v>
      </c>
      <c r="AE832" s="7" t="str">
        <f>IF(G832="","Unknown",G832)</f>
        <v>Unknown</v>
      </c>
      <c r="AF832" s="7" t="str">
        <f>IF(M832="","Unknown",M832)</f>
        <v>First Class</v>
      </c>
      <c r="AG832" s="7" t="str">
        <f>IF(P832&lt;0,"Invalid",
IF(P832&gt;1,"Invalid","Valid"))</f>
        <v>Valid</v>
      </c>
      <c r="AH832" s="7" t="str">
        <f>TEXT(B832,"mmmm")</f>
        <v>July</v>
      </c>
      <c r="AI832" s="7">
        <f t="shared" si="75"/>
        <v>2025</v>
      </c>
      <c r="AJ832" s="7" t="str">
        <f>IF(OR(R832&lt;0,C832&lt;B832),"Invalid",
IF(OR(G832="Unknown",M832="Unknown"),"Warning","Clean"))</f>
        <v>Clean</v>
      </c>
      <c r="AK832" s="7" t="str">
        <f>IF(C832&lt;B832,"Ship Before Order","OK")</f>
        <v>OK</v>
      </c>
      <c r="AL832" s="7" t="str">
        <f>IF(ISNUMBER(B832),"Valid","Invalid")</f>
        <v>Valid</v>
      </c>
      <c r="AM832" s="7" t="str">
        <f t="shared" si="76"/>
        <v>Missmatched</v>
      </c>
      <c r="AN832" s="7" t="str">
        <f t="shared" si="77"/>
        <v>Missmatched</v>
      </c>
    </row>
    <row r="833" spans="1:40">
      <c r="A833" t="s">
        <v>2565</v>
      </c>
      <c r="B833" s="6">
        <v>45720</v>
      </c>
      <c r="C833" s="4">
        <v>46331</v>
      </c>
      <c r="D833" t="s">
        <v>2566</v>
      </c>
      <c r="E833" t="s">
        <v>162</v>
      </c>
      <c r="F833" t="s">
        <v>95</v>
      </c>
      <c r="G833" t="s">
        <v>2785</v>
      </c>
      <c r="H833" t="s">
        <v>236</v>
      </c>
      <c r="I833" t="s">
        <v>237</v>
      </c>
      <c r="J833" t="s">
        <v>41</v>
      </c>
      <c r="K833" t="s">
        <v>66</v>
      </c>
      <c r="L833" t="s">
        <v>2567</v>
      </c>
      <c r="M833" t="s">
        <v>50</v>
      </c>
      <c r="N833">
        <v>9</v>
      </c>
      <c r="O833">
        <v>3462.7</v>
      </c>
      <c r="P833">
        <v>0.15</v>
      </c>
      <c r="Q833" s="7">
        <f>IF(P833="", 0, P833)</f>
        <v>0.15</v>
      </c>
      <c r="R833">
        <v>26489.65</v>
      </c>
      <c r="S833">
        <v>15818.46</v>
      </c>
      <c r="T833" s="7">
        <f>N833*O833*(1-Q833)</f>
        <v>26489.654999999999</v>
      </c>
      <c r="U833" s="7">
        <f t="shared" si="72"/>
        <v>10671.195</v>
      </c>
      <c r="V833">
        <v>10671.19</v>
      </c>
      <c r="W833" s="12">
        <f t="shared" si="73"/>
        <v>0.40284386489744772</v>
      </c>
      <c r="X833" t="s">
        <v>155</v>
      </c>
      <c r="Y833" t="str">
        <f t="shared" si="74"/>
        <v>Failed</v>
      </c>
      <c r="Z833" t="s">
        <v>103</v>
      </c>
      <c r="AA833">
        <f>C833-B833</f>
        <v>611</v>
      </c>
      <c r="AB833" t="str">
        <f>IF(B833="","Missing Order Date",
IF(C833="","Missing Ship Date","OK"))</f>
        <v>OK</v>
      </c>
      <c r="AC833" s="7" t="str">
        <f>IF(C833&lt;B833, "Invalid", "Valid")</f>
        <v>Valid</v>
      </c>
      <c r="AD833" s="7" t="str">
        <f>IF(COUNTIF($A:$A, A833)&gt;1, "Duplicate", "Unique")</f>
        <v>Unique</v>
      </c>
      <c r="AE833" s="7" t="str">
        <f>IF(G833="","Unknown",G833)</f>
        <v>Unknown</v>
      </c>
      <c r="AF833" s="7" t="str">
        <f>IF(M833="","Unknown",M833)</f>
        <v>First Class</v>
      </c>
      <c r="AG833" s="7" t="str">
        <f>IF(P833&lt;0,"Invalid",
IF(P833&gt;1,"Invalid","Valid"))</f>
        <v>Valid</v>
      </c>
      <c r="AH833" s="7" t="str">
        <f>TEXT(B833,"mmmm")</f>
        <v>March</v>
      </c>
      <c r="AI833" s="7">
        <f t="shared" si="75"/>
        <v>2025</v>
      </c>
      <c r="AJ833" s="7" t="str">
        <f>IF(OR(R833&lt;0,C833&lt;B833),"Invalid",
IF(OR(G833="Unknown",M833="Unknown"),"Warning","Clean"))</f>
        <v>Clean</v>
      </c>
      <c r="AK833" s="7" t="str">
        <f>IF(C833&lt;B833,"Ship Before Order","OK")</f>
        <v>OK</v>
      </c>
      <c r="AL833" s="7" t="str">
        <f>IF(ISNUMBER(B833),"Valid","Invalid")</f>
        <v>Valid</v>
      </c>
      <c r="AM833" s="7" t="str">
        <f t="shared" si="76"/>
        <v>Missmatched</v>
      </c>
      <c r="AN833" s="7" t="str">
        <f t="shared" si="77"/>
        <v>Missmatched</v>
      </c>
    </row>
    <row r="834" spans="1:40">
      <c r="A834" t="s">
        <v>2568</v>
      </c>
      <c r="B834" s="6">
        <v>45803</v>
      </c>
      <c r="C834" s="4">
        <v>46332</v>
      </c>
      <c r="D834" t="s">
        <v>2569</v>
      </c>
      <c r="E834" t="s">
        <v>264</v>
      </c>
      <c r="F834" t="s">
        <v>37</v>
      </c>
      <c r="G834" t="s">
        <v>54</v>
      </c>
      <c r="H834" t="s">
        <v>84</v>
      </c>
      <c r="I834" t="s">
        <v>85</v>
      </c>
      <c r="J834" t="s">
        <v>74</v>
      </c>
      <c r="K834" t="s">
        <v>171</v>
      </c>
      <c r="L834" t="s">
        <v>2570</v>
      </c>
      <c r="M834" t="s">
        <v>31</v>
      </c>
      <c r="N834">
        <v>9</v>
      </c>
      <c r="O834">
        <v>4302.0200000000004</v>
      </c>
      <c r="P834">
        <v>0.05</v>
      </c>
      <c r="Q834" s="7">
        <f>IF(P834="", 0, P834)</f>
        <v>0.05</v>
      </c>
      <c r="R834">
        <v>36782.269999999997</v>
      </c>
      <c r="S834">
        <v>25902.81</v>
      </c>
      <c r="T834" s="7">
        <f>N834*O834*(1-Q834)</f>
        <v>36782.271000000008</v>
      </c>
      <c r="U834" s="7">
        <f t="shared" ref="U834:U897" si="78">T834-S834</f>
        <v>10879.461000000007</v>
      </c>
      <c r="V834">
        <v>10879.46</v>
      </c>
      <c r="W834" s="12">
        <f t="shared" ref="W834:W897" si="79">IF(T834=0,0,U834/T834)</f>
        <v>0.29578002402298664</v>
      </c>
      <c r="X834" t="s">
        <v>32</v>
      </c>
      <c r="Y834" t="str">
        <f t="shared" ref="Y834:Y897" si="80">PROPER(TRIM(X834))</f>
        <v>Paid</v>
      </c>
      <c r="Z834" t="s">
        <v>33</v>
      </c>
      <c r="AA834">
        <f>C834-B834</f>
        <v>529</v>
      </c>
      <c r="AB834" t="str">
        <f>IF(B834="","Missing Order Date",
IF(C834="","Missing Ship Date","OK"))</f>
        <v>OK</v>
      </c>
      <c r="AC834" s="7" t="str">
        <f>IF(C834&lt;B834, "Invalid", "Valid")</f>
        <v>Valid</v>
      </c>
      <c r="AD834" s="7" t="str">
        <f>IF(COUNTIF($A:$A, A834)&gt;1, "Duplicate", "Unique")</f>
        <v>Unique</v>
      </c>
      <c r="AE834" s="7" t="str">
        <f>IF(G834="","Unknown",G834)</f>
        <v>South</v>
      </c>
      <c r="AF834" s="7" t="str">
        <f>IF(M834="","Unknown",M834)</f>
        <v>Second Class</v>
      </c>
      <c r="AG834" s="7" t="str">
        <f>IF(P834&lt;0,"Invalid",
IF(P834&gt;1,"Invalid","Valid"))</f>
        <v>Valid</v>
      </c>
      <c r="AH834" s="7" t="str">
        <f>TEXT(B834,"mmmm")</f>
        <v>May</v>
      </c>
      <c r="AI834" s="7">
        <f t="shared" ref="AI834:AI897" si="81">YEAR(B834)</f>
        <v>2025</v>
      </c>
      <c r="AJ834" s="7" t="str">
        <f>IF(OR(R834&lt;0,C834&lt;B834),"Invalid",
IF(OR(G834="Unknown",M834="Unknown"),"Warning","Clean"))</f>
        <v>Clean</v>
      </c>
      <c r="AK834" s="7" t="str">
        <f>IF(C834&lt;B834,"Ship Before Order","OK")</f>
        <v>OK</v>
      </c>
      <c r="AL834" s="7" t="str">
        <f>IF(ISNUMBER(B834),"Valid","Invalid")</f>
        <v>Valid</v>
      </c>
      <c r="AM834" s="7" t="str">
        <f t="shared" ref="AM834:AM897" si="82">IF(R834&lt;&gt;T834, "Missmatched", "Ok")</f>
        <v>Missmatched</v>
      </c>
      <c r="AN834" s="7" t="str">
        <f t="shared" ref="AN834:AN897" si="83">IF(V834&lt;&gt;U834, "Missmatched", "Ok")</f>
        <v>Missmatched</v>
      </c>
    </row>
    <row r="835" spans="1:40">
      <c r="A835" t="s">
        <v>2571</v>
      </c>
      <c r="B835" s="6">
        <v>45388</v>
      </c>
      <c r="C835" s="4">
        <v>46333</v>
      </c>
      <c r="D835" t="s">
        <v>2572</v>
      </c>
      <c r="E835" t="s">
        <v>118</v>
      </c>
      <c r="F835" t="s">
        <v>95</v>
      </c>
      <c r="G835" t="s">
        <v>38</v>
      </c>
      <c r="H835" t="s">
        <v>99</v>
      </c>
      <c r="I835" t="s">
        <v>100</v>
      </c>
      <c r="J835" t="s">
        <v>41</v>
      </c>
      <c r="K835" t="s">
        <v>158</v>
      </c>
      <c r="L835" t="s">
        <v>2573</v>
      </c>
      <c r="M835" t="s">
        <v>50</v>
      </c>
      <c r="N835">
        <v>6</v>
      </c>
      <c r="O835">
        <v>3949.4</v>
      </c>
      <c r="P835">
        <v>0</v>
      </c>
      <c r="Q835" s="7">
        <f>IF(P835="", 0, P835)</f>
        <v>0</v>
      </c>
      <c r="R835">
        <v>23696.400000000001</v>
      </c>
      <c r="S835">
        <v>18109.77</v>
      </c>
      <c r="T835" s="7">
        <f>N835*O835*(1-Q835)</f>
        <v>23696.400000000001</v>
      </c>
      <c r="U835" s="7">
        <f t="shared" si="78"/>
        <v>5586.630000000001</v>
      </c>
      <c r="V835">
        <v>5586.63</v>
      </c>
      <c r="W835" s="12">
        <f t="shared" si="79"/>
        <v>0.23575859624246723</v>
      </c>
      <c r="X835" t="s">
        <v>32</v>
      </c>
      <c r="Y835" t="str">
        <f t="shared" si="80"/>
        <v>Paid</v>
      </c>
      <c r="Z835" t="s">
        <v>33</v>
      </c>
      <c r="AA835">
        <f>C835-B835</f>
        <v>945</v>
      </c>
      <c r="AB835" t="str">
        <f>IF(B835="","Missing Order Date",
IF(C835="","Missing Ship Date","OK"))</f>
        <v>OK</v>
      </c>
      <c r="AC835" s="7" t="str">
        <f>IF(C835&lt;B835, "Invalid", "Valid")</f>
        <v>Valid</v>
      </c>
      <c r="AD835" s="7" t="str">
        <f>IF(COUNTIF($A:$A, A835)&gt;1, "Duplicate", "Unique")</f>
        <v>Unique</v>
      </c>
      <c r="AE835" s="7" t="str">
        <f>IF(G835="","Unknown",G835)</f>
        <v>East</v>
      </c>
      <c r="AF835" s="7" t="str">
        <f>IF(M835="","Unknown",M835)</f>
        <v>First Class</v>
      </c>
      <c r="AG835" s="7" t="str">
        <f>IF(P835&lt;0,"Invalid",
IF(P835&gt;1,"Invalid","Valid"))</f>
        <v>Valid</v>
      </c>
      <c r="AH835" s="7" t="str">
        <f>TEXT(B835,"mmmm")</f>
        <v>April</v>
      </c>
      <c r="AI835" s="7">
        <f t="shared" si="81"/>
        <v>2024</v>
      </c>
      <c r="AJ835" s="7" t="str">
        <f>IF(OR(R835&lt;0,C835&lt;B835),"Invalid",
IF(OR(G835="Unknown",M835="Unknown"),"Warning","Clean"))</f>
        <v>Clean</v>
      </c>
      <c r="AK835" s="7" t="str">
        <f>IF(C835&lt;B835,"Ship Before Order","OK")</f>
        <v>OK</v>
      </c>
      <c r="AL835" s="7" t="str">
        <f>IF(ISNUMBER(B835),"Valid","Invalid")</f>
        <v>Valid</v>
      </c>
      <c r="AM835" s="7" t="str">
        <f t="shared" si="82"/>
        <v>Ok</v>
      </c>
      <c r="AN835" s="7" t="str">
        <f t="shared" si="83"/>
        <v>Ok</v>
      </c>
    </row>
    <row r="836" spans="1:40">
      <c r="A836" t="s">
        <v>2574</v>
      </c>
      <c r="B836" s="6">
        <v>45583</v>
      </c>
      <c r="C836" s="4">
        <v>46334</v>
      </c>
      <c r="D836" t="s">
        <v>2575</v>
      </c>
      <c r="E836" t="s">
        <v>128</v>
      </c>
      <c r="F836" t="s">
        <v>95</v>
      </c>
      <c r="G836" t="s">
        <v>54</v>
      </c>
      <c r="H836" t="s">
        <v>55</v>
      </c>
      <c r="I836" t="s">
        <v>56</v>
      </c>
      <c r="J836" t="s">
        <v>28</v>
      </c>
      <c r="K836" t="s">
        <v>48</v>
      </c>
      <c r="L836" t="s">
        <v>2576</v>
      </c>
      <c r="M836" t="s">
        <v>50</v>
      </c>
      <c r="N836">
        <v>6</v>
      </c>
      <c r="O836">
        <v>674.61</v>
      </c>
      <c r="P836">
        <v>0</v>
      </c>
      <c r="Q836" s="7">
        <f>IF(P836="", 0, P836)</f>
        <v>0</v>
      </c>
      <c r="R836">
        <v>4047.66</v>
      </c>
      <c r="S836">
        <v>3078.93</v>
      </c>
      <c r="T836" s="7">
        <f>N836*O836*(1-Q836)</f>
        <v>4047.66</v>
      </c>
      <c r="U836" s="7">
        <f t="shared" si="78"/>
        <v>968.73</v>
      </c>
      <c r="V836">
        <v>1279.79</v>
      </c>
      <c r="W836" s="12">
        <f t="shared" si="79"/>
        <v>0.23933087265234729</v>
      </c>
      <c r="X836" t="s">
        <v>32</v>
      </c>
      <c r="Y836" t="str">
        <f t="shared" si="80"/>
        <v>Paid</v>
      </c>
      <c r="Z836" t="s">
        <v>33</v>
      </c>
      <c r="AA836">
        <f>C836-B836</f>
        <v>751</v>
      </c>
      <c r="AB836" t="str">
        <f>IF(B836="","Missing Order Date",
IF(C836="","Missing Ship Date","OK"))</f>
        <v>OK</v>
      </c>
      <c r="AC836" s="7" t="str">
        <f>IF(C836&lt;B836, "Invalid", "Valid")</f>
        <v>Valid</v>
      </c>
      <c r="AD836" s="7" t="str">
        <f>IF(COUNTIF($A:$A, A836)&gt;1, "Duplicate", "Unique")</f>
        <v>Unique</v>
      </c>
      <c r="AE836" s="7" t="str">
        <f>IF(G836="","Unknown",G836)</f>
        <v>South</v>
      </c>
      <c r="AF836" s="7" t="str">
        <f>IF(M836="","Unknown",M836)</f>
        <v>First Class</v>
      </c>
      <c r="AG836" s="7" t="str">
        <f>IF(P836&lt;0,"Invalid",
IF(P836&gt;1,"Invalid","Valid"))</f>
        <v>Valid</v>
      </c>
      <c r="AH836" s="7" t="str">
        <f>TEXT(B836,"mmmm")</f>
        <v>October</v>
      </c>
      <c r="AI836" s="7">
        <f t="shared" si="81"/>
        <v>2024</v>
      </c>
      <c r="AJ836" s="7" t="str">
        <f>IF(OR(R836&lt;0,C836&lt;B836),"Invalid",
IF(OR(G836="Unknown",M836="Unknown"),"Warning","Clean"))</f>
        <v>Clean</v>
      </c>
      <c r="AK836" s="7" t="str">
        <f>IF(C836&lt;B836,"Ship Before Order","OK")</f>
        <v>OK</v>
      </c>
      <c r="AL836" s="7" t="str">
        <f>IF(ISNUMBER(B836),"Valid","Invalid")</f>
        <v>Valid</v>
      </c>
      <c r="AM836" s="7" t="str">
        <f t="shared" si="82"/>
        <v>Ok</v>
      </c>
      <c r="AN836" s="7" t="str">
        <f t="shared" si="83"/>
        <v>Missmatched</v>
      </c>
    </row>
    <row r="837" spans="1:40">
      <c r="A837" t="s">
        <v>2577</v>
      </c>
      <c r="B837" s="6">
        <v>45926</v>
      </c>
      <c r="C837" s="4">
        <v>46335</v>
      </c>
      <c r="D837" t="s">
        <v>2578</v>
      </c>
      <c r="E837" t="s">
        <v>114</v>
      </c>
      <c r="F837" t="s">
        <v>37</v>
      </c>
      <c r="G837" t="s">
        <v>38</v>
      </c>
      <c r="H837" t="s">
        <v>166</v>
      </c>
      <c r="I837" t="s">
        <v>167</v>
      </c>
      <c r="J837" t="s">
        <v>74</v>
      </c>
      <c r="K837" t="s">
        <v>171</v>
      </c>
      <c r="L837" t="s">
        <v>2579</v>
      </c>
      <c r="M837" t="s">
        <v>31</v>
      </c>
      <c r="N837">
        <v>7</v>
      </c>
      <c r="O837">
        <v>1509.59</v>
      </c>
      <c r="P837">
        <v>0.05</v>
      </c>
      <c r="Q837" s="7">
        <f>IF(P837="", 0, P837)</f>
        <v>0.05</v>
      </c>
      <c r="R837">
        <v>10038.77</v>
      </c>
      <c r="S837">
        <v>5673.1</v>
      </c>
      <c r="T837" s="7">
        <f>N837*O837*(1-Q837)</f>
        <v>10038.773499999999</v>
      </c>
      <c r="U837" s="7">
        <f t="shared" si="78"/>
        <v>4365.673499999999</v>
      </c>
      <c r="V837">
        <v>4365.67</v>
      </c>
      <c r="W837" s="12">
        <f t="shared" si="79"/>
        <v>0.43488116352062323</v>
      </c>
      <c r="X837" t="s">
        <v>32</v>
      </c>
      <c r="Y837" t="str">
        <f t="shared" si="80"/>
        <v>Paid</v>
      </c>
      <c r="Z837" t="s">
        <v>33</v>
      </c>
      <c r="AA837">
        <f>C837-B837</f>
        <v>409</v>
      </c>
      <c r="AB837" t="str">
        <f>IF(B837="","Missing Order Date",
IF(C837="","Missing Ship Date","OK"))</f>
        <v>OK</v>
      </c>
      <c r="AC837" s="7" t="str">
        <f>IF(C837&lt;B837, "Invalid", "Valid")</f>
        <v>Valid</v>
      </c>
      <c r="AD837" s="7" t="str">
        <f>IF(COUNTIF($A:$A, A837)&gt;1, "Duplicate", "Unique")</f>
        <v>Unique</v>
      </c>
      <c r="AE837" s="7" t="str">
        <f>IF(G837="","Unknown",G837)</f>
        <v>East</v>
      </c>
      <c r="AF837" s="7" t="str">
        <f>IF(M837="","Unknown",M837)</f>
        <v>Second Class</v>
      </c>
      <c r="AG837" s="7" t="str">
        <f>IF(P837&lt;0,"Invalid",
IF(P837&gt;1,"Invalid","Valid"))</f>
        <v>Valid</v>
      </c>
      <c r="AH837" s="7" t="str">
        <f>TEXT(B837,"mmmm")</f>
        <v>September</v>
      </c>
      <c r="AI837" s="7">
        <f t="shared" si="81"/>
        <v>2025</v>
      </c>
      <c r="AJ837" s="7" t="str">
        <f>IF(OR(R837&lt;0,C837&lt;B837),"Invalid",
IF(OR(G837="Unknown",M837="Unknown"),"Warning","Clean"))</f>
        <v>Clean</v>
      </c>
      <c r="AK837" s="7" t="str">
        <f>IF(C837&lt;B837,"Ship Before Order","OK")</f>
        <v>OK</v>
      </c>
      <c r="AL837" s="7" t="str">
        <f>IF(ISNUMBER(B837),"Valid","Invalid")</f>
        <v>Valid</v>
      </c>
      <c r="AM837" s="7" t="str">
        <f t="shared" si="82"/>
        <v>Missmatched</v>
      </c>
      <c r="AN837" s="7" t="str">
        <f t="shared" si="83"/>
        <v>Missmatched</v>
      </c>
    </row>
    <row r="838" spans="1:40">
      <c r="A838" t="s">
        <v>2580</v>
      </c>
      <c r="B838" s="6">
        <v>45641</v>
      </c>
      <c r="C838" s="4">
        <v>46336</v>
      </c>
      <c r="D838" t="s">
        <v>2581</v>
      </c>
      <c r="E838" t="s">
        <v>47</v>
      </c>
      <c r="F838" t="s">
        <v>37</v>
      </c>
      <c r="G838" t="s">
        <v>25</v>
      </c>
      <c r="H838" t="s">
        <v>26</v>
      </c>
      <c r="I838" t="s">
        <v>27</v>
      </c>
      <c r="J838" t="s">
        <v>28</v>
      </c>
      <c r="K838" t="s">
        <v>91</v>
      </c>
      <c r="L838" t="s">
        <v>2582</v>
      </c>
      <c r="M838" t="s">
        <v>31</v>
      </c>
      <c r="N838">
        <v>2</v>
      </c>
      <c r="O838">
        <v>537.11</v>
      </c>
      <c r="P838">
        <v>0</v>
      </c>
      <c r="Q838" s="7">
        <f>IF(P838="", 0, P838)</f>
        <v>0</v>
      </c>
      <c r="R838">
        <v>1074.22</v>
      </c>
      <c r="S838">
        <v>850.86</v>
      </c>
      <c r="T838" s="7">
        <f>N838*O838*(1-Q838)</f>
        <v>1074.22</v>
      </c>
      <c r="U838" s="7">
        <f t="shared" si="78"/>
        <v>223.36</v>
      </c>
      <c r="V838">
        <v>223.36</v>
      </c>
      <c r="W838" s="12">
        <f t="shared" si="79"/>
        <v>0.20792761259332354</v>
      </c>
      <c r="X838" t="s">
        <v>32</v>
      </c>
      <c r="Y838" t="str">
        <f t="shared" si="80"/>
        <v>Paid</v>
      </c>
      <c r="Z838" t="s">
        <v>33</v>
      </c>
      <c r="AA838">
        <f>C838-B838</f>
        <v>695</v>
      </c>
      <c r="AB838" t="str">
        <f>IF(B838="","Missing Order Date",
IF(C838="","Missing Ship Date","OK"))</f>
        <v>OK</v>
      </c>
      <c r="AC838" s="7" t="str">
        <f>IF(C838&lt;B838, "Invalid", "Valid")</f>
        <v>Valid</v>
      </c>
      <c r="AD838" s="7" t="str">
        <f>IF(COUNTIF($A:$A, A838)&gt;1, "Duplicate", "Unique")</f>
        <v>Unique</v>
      </c>
      <c r="AE838" s="7" t="str">
        <f>IF(G838="","Unknown",G838)</f>
        <v>North</v>
      </c>
      <c r="AF838" s="7" t="str">
        <f>IF(M838="","Unknown",M838)</f>
        <v>Second Class</v>
      </c>
      <c r="AG838" s="7" t="str">
        <f>IF(P838&lt;0,"Invalid",
IF(P838&gt;1,"Invalid","Valid"))</f>
        <v>Valid</v>
      </c>
      <c r="AH838" s="7" t="str">
        <f>TEXT(B838,"mmmm")</f>
        <v>December</v>
      </c>
      <c r="AI838" s="7">
        <f t="shared" si="81"/>
        <v>2024</v>
      </c>
      <c r="AJ838" s="7" t="str">
        <f>IF(OR(R838&lt;0,C838&lt;B838),"Invalid",
IF(OR(G838="Unknown",M838="Unknown"),"Warning","Clean"))</f>
        <v>Clean</v>
      </c>
      <c r="AK838" s="7" t="str">
        <f>IF(C838&lt;B838,"Ship Before Order","OK")</f>
        <v>OK</v>
      </c>
      <c r="AL838" s="7" t="str">
        <f>IF(ISNUMBER(B838),"Valid","Invalid")</f>
        <v>Valid</v>
      </c>
      <c r="AM838" s="7" t="str">
        <f t="shared" si="82"/>
        <v>Ok</v>
      </c>
      <c r="AN838" s="7" t="str">
        <f t="shared" si="83"/>
        <v>Ok</v>
      </c>
    </row>
    <row r="839" spans="1:40">
      <c r="A839" t="s">
        <v>2583</v>
      </c>
      <c r="B839" s="6">
        <v>45927</v>
      </c>
      <c r="C839" s="4">
        <v>46337</v>
      </c>
      <c r="D839" t="s">
        <v>2584</v>
      </c>
      <c r="E839" t="s">
        <v>23</v>
      </c>
      <c r="F839" t="s">
        <v>95</v>
      </c>
      <c r="G839" t="s">
        <v>63</v>
      </c>
      <c r="H839" t="s">
        <v>64</v>
      </c>
      <c r="I839" t="s">
        <v>65</v>
      </c>
      <c r="J839" t="s">
        <v>28</v>
      </c>
      <c r="K839" t="s">
        <v>29</v>
      </c>
      <c r="L839" t="s">
        <v>2585</v>
      </c>
      <c r="M839" t="s">
        <v>50</v>
      </c>
      <c r="N839">
        <v>3</v>
      </c>
      <c r="O839">
        <v>4177.63</v>
      </c>
      <c r="P839">
        <v>0.25</v>
      </c>
      <c r="Q839" s="7">
        <f>IF(P839="", 0, P839)</f>
        <v>0.25</v>
      </c>
      <c r="R839">
        <v>9399.67</v>
      </c>
      <c r="S839">
        <v>6540.37</v>
      </c>
      <c r="T839" s="7">
        <f>N839*O839*(1-Q839)</f>
        <v>9399.6674999999996</v>
      </c>
      <c r="U839" s="7">
        <f t="shared" si="78"/>
        <v>2859.2974999999997</v>
      </c>
      <c r="V839">
        <v>2859.3</v>
      </c>
      <c r="W839" s="12">
        <f t="shared" si="79"/>
        <v>0.30419134506619516</v>
      </c>
      <c r="X839" t="s">
        <v>32</v>
      </c>
      <c r="Y839" t="str">
        <f t="shared" si="80"/>
        <v>Paid</v>
      </c>
      <c r="Z839" t="s">
        <v>33</v>
      </c>
      <c r="AA839">
        <f>C839-B839</f>
        <v>410</v>
      </c>
      <c r="AB839" t="str">
        <f>IF(B839="","Missing Order Date",
IF(C839="","Missing Ship Date","OK"))</f>
        <v>OK</v>
      </c>
      <c r="AC839" s="7" t="str">
        <f>IF(C839&lt;B839, "Invalid", "Valid")</f>
        <v>Valid</v>
      </c>
      <c r="AD839" s="7" t="str">
        <f>IF(COUNTIF($A:$A, A839)&gt;1, "Duplicate", "Unique")</f>
        <v>Unique</v>
      </c>
      <c r="AE839" s="7" t="str">
        <f>IF(G839="","Unknown",G839)</f>
        <v>West</v>
      </c>
      <c r="AF839" s="7" t="str">
        <f>IF(M839="","Unknown",M839)</f>
        <v>First Class</v>
      </c>
      <c r="AG839" s="7" t="str">
        <f>IF(P839&lt;0,"Invalid",
IF(P839&gt;1,"Invalid","Valid"))</f>
        <v>Valid</v>
      </c>
      <c r="AH839" s="7" t="str">
        <f>TEXT(B839,"mmmm")</f>
        <v>September</v>
      </c>
      <c r="AI839" s="7">
        <f t="shared" si="81"/>
        <v>2025</v>
      </c>
      <c r="AJ839" s="7" t="str">
        <f>IF(OR(R839&lt;0,C839&lt;B839),"Invalid",
IF(OR(G839="Unknown",M839="Unknown"),"Warning","Clean"))</f>
        <v>Clean</v>
      </c>
      <c r="AK839" s="7" t="str">
        <f>IF(C839&lt;B839,"Ship Before Order","OK")</f>
        <v>OK</v>
      </c>
      <c r="AL839" s="7" t="str">
        <f>IF(ISNUMBER(B839),"Valid","Invalid")</f>
        <v>Valid</v>
      </c>
      <c r="AM839" s="7" t="str">
        <f t="shared" si="82"/>
        <v>Missmatched</v>
      </c>
      <c r="AN839" s="7" t="str">
        <f t="shared" si="83"/>
        <v>Missmatched</v>
      </c>
    </row>
    <row r="840" spans="1:40">
      <c r="A840" t="s">
        <v>2586</v>
      </c>
      <c r="B840" s="6">
        <v>45720</v>
      </c>
      <c r="C840" s="4">
        <v>46338</v>
      </c>
      <c r="D840" t="s">
        <v>2587</v>
      </c>
      <c r="E840" t="s">
        <v>62</v>
      </c>
      <c r="F840" t="s">
        <v>37</v>
      </c>
      <c r="G840" t="s">
        <v>63</v>
      </c>
      <c r="H840" t="s">
        <v>190</v>
      </c>
      <c r="I840" t="s">
        <v>191</v>
      </c>
      <c r="J840" t="s">
        <v>28</v>
      </c>
      <c r="K840" t="s">
        <v>29</v>
      </c>
      <c r="L840" t="s">
        <v>2588</v>
      </c>
      <c r="M840" t="s">
        <v>44</v>
      </c>
      <c r="N840">
        <v>1</v>
      </c>
      <c r="O840">
        <v>1470.57</v>
      </c>
      <c r="P840">
        <v>0</v>
      </c>
      <c r="Q840" s="7">
        <f>IF(P840="", 0, P840)</f>
        <v>0</v>
      </c>
      <c r="R840">
        <v>1470.57</v>
      </c>
      <c r="S840">
        <v>834.02</v>
      </c>
      <c r="T840" s="7">
        <f>N840*O840*(1-Q840)</f>
        <v>1470.57</v>
      </c>
      <c r="U840" s="7">
        <f t="shared" si="78"/>
        <v>636.54999999999995</v>
      </c>
      <c r="V840">
        <v>636.54999999999995</v>
      </c>
      <c r="W840" s="12">
        <f t="shared" si="79"/>
        <v>0.43285936745615644</v>
      </c>
      <c r="X840" t="s">
        <v>32</v>
      </c>
      <c r="Y840" t="str">
        <f t="shared" si="80"/>
        <v>Paid</v>
      </c>
      <c r="Z840" t="s">
        <v>103</v>
      </c>
      <c r="AA840">
        <f>C840-B840</f>
        <v>618</v>
      </c>
      <c r="AB840" t="str">
        <f>IF(B840="","Missing Order Date",
IF(C840="","Missing Ship Date","OK"))</f>
        <v>OK</v>
      </c>
      <c r="AC840" s="7" t="str">
        <f>IF(C840&lt;B840, "Invalid", "Valid")</f>
        <v>Valid</v>
      </c>
      <c r="AD840" s="7" t="str">
        <f>IF(COUNTIF($A:$A, A840)&gt;1, "Duplicate", "Unique")</f>
        <v>Unique</v>
      </c>
      <c r="AE840" s="7" t="str">
        <f>IF(G840="","Unknown",G840)</f>
        <v>West</v>
      </c>
      <c r="AF840" s="7" t="str">
        <f>IF(M840="","Unknown",M840)</f>
        <v>Same Day</v>
      </c>
      <c r="AG840" s="7" t="str">
        <f>IF(P840&lt;0,"Invalid",
IF(P840&gt;1,"Invalid","Valid"))</f>
        <v>Valid</v>
      </c>
      <c r="AH840" s="7" t="str">
        <f>TEXT(B840,"mmmm")</f>
        <v>March</v>
      </c>
      <c r="AI840" s="7">
        <f t="shared" si="81"/>
        <v>2025</v>
      </c>
      <c r="AJ840" s="7" t="str">
        <f>IF(OR(R840&lt;0,C840&lt;B840),"Invalid",
IF(OR(G840="Unknown",M840="Unknown"),"Warning","Clean"))</f>
        <v>Clean</v>
      </c>
      <c r="AK840" s="7" t="str">
        <f>IF(C840&lt;B840,"Ship Before Order","OK")</f>
        <v>OK</v>
      </c>
      <c r="AL840" s="7" t="str">
        <f>IF(ISNUMBER(B840),"Valid","Invalid")</f>
        <v>Valid</v>
      </c>
      <c r="AM840" s="7" t="str">
        <f t="shared" si="82"/>
        <v>Ok</v>
      </c>
      <c r="AN840" s="7" t="str">
        <f t="shared" si="83"/>
        <v>Ok</v>
      </c>
    </row>
    <row r="841" spans="1:40">
      <c r="A841" t="s">
        <v>2589</v>
      </c>
      <c r="B841" s="6">
        <v>45555</v>
      </c>
      <c r="C841" s="4">
        <v>46339</v>
      </c>
      <c r="D841" t="s">
        <v>2590</v>
      </c>
      <c r="E841" t="s">
        <v>141</v>
      </c>
      <c r="F841" t="s">
        <v>95</v>
      </c>
      <c r="G841" t="s">
        <v>38</v>
      </c>
      <c r="H841" t="s">
        <v>39</v>
      </c>
      <c r="I841" t="s">
        <v>40</v>
      </c>
      <c r="J841" t="s">
        <v>74</v>
      </c>
      <c r="K841" t="s">
        <v>171</v>
      </c>
      <c r="L841" t="s">
        <v>2591</v>
      </c>
      <c r="M841" t="s">
        <v>59</v>
      </c>
      <c r="N841">
        <v>8</v>
      </c>
      <c r="O841">
        <v>531.42999999999995</v>
      </c>
      <c r="P841">
        <v>0.1</v>
      </c>
      <c r="Q841" s="7">
        <f>IF(P841="", 0, P841)</f>
        <v>0.1</v>
      </c>
      <c r="R841">
        <v>3826.3</v>
      </c>
      <c r="S841">
        <v>2194.12</v>
      </c>
      <c r="T841" s="7">
        <f>N841*O841*(1-Q841)</f>
        <v>3826.2959999999998</v>
      </c>
      <c r="U841" s="7">
        <f t="shared" si="78"/>
        <v>1632.1759999999999</v>
      </c>
      <c r="V841">
        <v>1632.18</v>
      </c>
      <c r="W841" s="12">
        <f t="shared" si="79"/>
        <v>0.42656814841298218</v>
      </c>
      <c r="X841" t="s">
        <v>32</v>
      </c>
      <c r="Y841" t="str">
        <f t="shared" si="80"/>
        <v>Paid</v>
      </c>
      <c r="Z841" t="s">
        <v>33</v>
      </c>
      <c r="AA841">
        <f>C841-B841</f>
        <v>784</v>
      </c>
      <c r="AB841" t="str">
        <f>IF(B841="","Missing Order Date",
IF(C841="","Missing Ship Date","OK"))</f>
        <v>OK</v>
      </c>
      <c r="AC841" s="7" t="str">
        <f>IF(C841&lt;B841, "Invalid", "Valid")</f>
        <v>Valid</v>
      </c>
      <c r="AD841" s="7" t="str">
        <f>IF(COUNTIF($A:$A, A841)&gt;1, "Duplicate", "Unique")</f>
        <v>Unique</v>
      </c>
      <c r="AE841" s="7" t="str">
        <f>IF(G841="","Unknown",G841)</f>
        <v>East</v>
      </c>
      <c r="AF841" s="7" t="str">
        <f>IF(M841="","Unknown",M841)</f>
        <v>Standard Class</v>
      </c>
      <c r="AG841" s="7" t="str">
        <f>IF(P841&lt;0,"Invalid",
IF(P841&gt;1,"Invalid","Valid"))</f>
        <v>Valid</v>
      </c>
      <c r="AH841" s="7" t="str">
        <f>TEXT(B841,"mmmm")</f>
        <v>September</v>
      </c>
      <c r="AI841" s="7">
        <f t="shared" si="81"/>
        <v>2024</v>
      </c>
      <c r="AJ841" s="7" t="str">
        <f>IF(OR(R841&lt;0,C841&lt;B841),"Invalid",
IF(OR(G841="Unknown",M841="Unknown"),"Warning","Clean"))</f>
        <v>Clean</v>
      </c>
      <c r="AK841" s="7" t="str">
        <f>IF(C841&lt;B841,"Ship Before Order","OK")</f>
        <v>OK</v>
      </c>
      <c r="AL841" s="7" t="str">
        <f>IF(ISNUMBER(B841),"Valid","Invalid")</f>
        <v>Valid</v>
      </c>
      <c r="AM841" s="7" t="str">
        <f t="shared" si="82"/>
        <v>Missmatched</v>
      </c>
      <c r="AN841" s="7" t="str">
        <f t="shared" si="83"/>
        <v>Missmatched</v>
      </c>
    </row>
    <row r="842" spans="1:40">
      <c r="A842" t="s">
        <v>2592</v>
      </c>
      <c r="B842" s="6">
        <v>45919</v>
      </c>
      <c r="C842" s="4">
        <v>46340</v>
      </c>
      <c r="D842" t="s">
        <v>2593</v>
      </c>
      <c r="E842" t="s">
        <v>79</v>
      </c>
      <c r="F842" t="s">
        <v>95</v>
      </c>
      <c r="G842" t="s">
        <v>25</v>
      </c>
      <c r="H842" t="s">
        <v>350</v>
      </c>
      <c r="I842" t="s">
        <v>351</v>
      </c>
      <c r="J842" t="s">
        <v>41</v>
      </c>
      <c r="K842" t="s">
        <v>66</v>
      </c>
      <c r="L842" t="s">
        <v>2594</v>
      </c>
      <c r="M842" t="s">
        <v>44</v>
      </c>
      <c r="N842">
        <v>4</v>
      </c>
      <c r="O842">
        <v>1584.11</v>
      </c>
      <c r="P842">
        <v>0</v>
      </c>
      <c r="Q842" s="7">
        <f>IF(P842="", 0, P842)</f>
        <v>0</v>
      </c>
      <c r="R842">
        <v>6336.44</v>
      </c>
      <c r="S842">
        <v>4680.68</v>
      </c>
      <c r="T842" s="7">
        <f>N842*O842*(1-Q842)</f>
        <v>6336.44</v>
      </c>
      <c r="U842" s="7">
        <f t="shared" si="78"/>
        <v>1655.7599999999993</v>
      </c>
      <c r="V842">
        <v>1655.76</v>
      </c>
      <c r="W842" s="12">
        <f t="shared" si="79"/>
        <v>0.26130761121386764</v>
      </c>
      <c r="X842" t="s">
        <v>32</v>
      </c>
      <c r="Y842" t="str">
        <f t="shared" si="80"/>
        <v>Paid</v>
      </c>
      <c r="Z842" t="s">
        <v>33</v>
      </c>
      <c r="AA842">
        <f>C842-B842</f>
        <v>421</v>
      </c>
      <c r="AB842" t="str">
        <f>IF(B842="","Missing Order Date",
IF(C842="","Missing Ship Date","OK"))</f>
        <v>OK</v>
      </c>
      <c r="AC842" s="7" t="str">
        <f>IF(C842&lt;B842, "Invalid", "Valid")</f>
        <v>Valid</v>
      </c>
      <c r="AD842" s="7" t="str">
        <f>IF(COUNTIF($A:$A, A842)&gt;1, "Duplicate", "Unique")</f>
        <v>Unique</v>
      </c>
      <c r="AE842" s="7" t="str">
        <f>IF(G842="","Unknown",G842)</f>
        <v>North</v>
      </c>
      <c r="AF842" s="7" t="str">
        <f>IF(M842="","Unknown",M842)</f>
        <v>Same Day</v>
      </c>
      <c r="AG842" s="7" t="str">
        <f>IF(P842&lt;0,"Invalid",
IF(P842&gt;1,"Invalid","Valid"))</f>
        <v>Valid</v>
      </c>
      <c r="AH842" s="7" t="str">
        <f>TEXT(B842,"mmmm")</f>
        <v>September</v>
      </c>
      <c r="AI842" s="7">
        <f t="shared" si="81"/>
        <v>2025</v>
      </c>
      <c r="AJ842" s="7" t="str">
        <f>IF(OR(R842&lt;0,C842&lt;B842),"Invalid",
IF(OR(G842="Unknown",M842="Unknown"),"Warning","Clean"))</f>
        <v>Clean</v>
      </c>
      <c r="AK842" s="7" t="str">
        <f>IF(C842&lt;B842,"Ship Before Order","OK")</f>
        <v>OK</v>
      </c>
      <c r="AL842" s="7" t="str">
        <f>IF(ISNUMBER(B842),"Valid","Invalid")</f>
        <v>Valid</v>
      </c>
      <c r="AM842" s="7" t="str">
        <f t="shared" si="82"/>
        <v>Ok</v>
      </c>
      <c r="AN842" s="7" t="str">
        <f t="shared" si="83"/>
        <v>Ok</v>
      </c>
    </row>
    <row r="843" spans="1:40">
      <c r="A843" t="s">
        <v>2595</v>
      </c>
      <c r="B843" s="6">
        <v>45810</v>
      </c>
      <c r="C843" s="4">
        <v>46341</v>
      </c>
      <c r="D843" t="s">
        <v>2596</v>
      </c>
      <c r="E843" t="s">
        <v>62</v>
      </c>
      <c r="F843" t="s">
        <v>37</v>
      </c>
      <c r="G843" t="s">
        <v>38</v>
      </c>
      <c r="H843" t="s">
        <v>145</v>
      </c>
      <c r="I843" t="s">
        <v>146</v>
      </c>
      <c r="J843" t="s">
        <v>28</v>
      </c>
      <c r="K843" t="s">
        <v>48</v>
      </c>
      <c r="L843" t="s">
        <v>2597</v>
      </c>
      <c r="M843" t="s">
        <v>59</v>
      </c>
      <c r="N843">
        <v>9</v>
      </c>
      <c r="O843">
        <v>3237.16</v>
      </c>
      <c r="P843">
        <v>0.25</v>
      </c>
      <c r="Q843" s="7">
        <f>IF(P843="", 0, P843)</f>
        <v>0.25</v>
      </c>
      <c r="R843">
        <v>21850.83</v>
      </c>
      <c r="S843">
        <v>16600.13</v>
      </c>
      <c r="T843" s="7">
        <f>N843*O843*(1-Q843)</f>
        <v>21850.829999999998</v>
      </c>
      <c r="U843" s="7">
        <f t="shared" si="78"/>
        <v>5250.6999999999971</v>
      </c>
      <c r="V843">
        <v>5250.7</v>
      </c>
      <c r="W843" s="12">
        <f t="shared" si="79"/>
        <v>0.2402975081495759</v>
      </c>
      <c r="X843" t="s">
        <v>32</v>
      </c>
      <c r="Y843" t="str">
        <f t="shared" si="80"/>
        <v>Paid</v>
      </c>
      <c r="Z843" t="s">
        <v>33</v>
      </c>
      <c r="AA843">
        <f>C843-B843</f>
        <v>531</v>
      </c>
      <c r="AB843" t="str">
        <f>IF(B843="","Missing Order Date",
IF(C843="","Missing Ship Date","OK"))</f>
        <v>OK</v>
      </c>
      <c r="AC843" s="7" t="str">
        <f>IF(C843&lt;B843, "Invalid", "Valid")</f>
        <v>Valid</v>
      </c>
      <c r="AD843" s="7" t="str">
        <f>IF(COUNTIF($A:$A, A843)&gt;1, "Duplicate", "Unique")</f>
        <v>Unique</v>
      </c>
      <c r="AE843" s="7" t="str">
        <f>IF(G843="","Unknown",G843)</f>
        <v>East</v>
      </c>
      <c r="AF843" s="7" t="str">
        <f>IF(M843="","Unknown",M843)</f>
        <v>Standard Class</v>
      </c>
      <c r="AG843" s="7" t="str">
        <f>IF(P843&lt;0,"Invalid",
IF(P843&gt;1,"Invalid","Valid"))</f>
        <v>Valid</v>
      </c>
      <c r="AH843" s="7" t="str">
        <f>TEXT(B843,"mmmm")</f>
        <v>June</v>
      </c>
      <c r="AI843" s="7">
        <f t="shared" si="81"/>
        <v>2025</v>
      </c>
      <c r="AJ843" s="7" t="str">
        <f>IF(OR(R843&lt;0,C843&lt;B843),"Invalid",
IF(OR(G843="Unknown",M843="Unknown"),"Warning","Clean"))</f>
        <v>Clean</v>
      </c>
      <c r="AK843" s="7" t="str">
        <f>IF(C843&lt;B843,"Ship Before Order","OK")</f>
        <v>OK</v>
      </c>
      <c r="AL843" s="7" t="str">
        <f>IF(ISNUMBER(B843),"Valid","Invalid")</f>
        <v>Valid</v>
      </c>
      <c r="AM843" s="7" t="str">
        <f t="shared" si="82"/>
        <v>Ok</v>
      </c>
      <c r="AN843" s="7" t="str">
        <f t="shared" si="83"/>
        <v>Ok</v>
      </c>
    </row>
    <row r="844" spans="1:40">
      <c r="A844" t="s">
        <v>2598</v>
      </c>
      <c r="B844" s="6">
        <v>45382</v>
      </c>
      <c r="C844" s="4">
        <v>46342</v>
      </c>
      <c r="D844" t="s">
        <v>2599</v>
      </c>
      <c r="E844" t="s">
        <v>264</v>
      </c>
      <c r="F844" t="s">
        <v>24</v>
      </c>
      <c r="G844" t="s">
        <v>25</v>
      </c>
      <c r="H844" t="s">
        <v>236</v>
      </c>
      <c r="I844" t="s">
        <v>237</v>
      </c>
      <c r="J844" t="s">
        <v>74</v>
      </c>
      <c r="K844" t="s">
        <v>274</v>
      </c>
      <c r="L844" t="s">
        <v>2600</v>
      </c>
      <c r="M844" t="s">
        <v>50</v>
      </c>
      <c r="N844">
        <v>4</v>
      </c>
      <c r="O844">
        <v>2192.08</v>
      </c>
      <c r="P844">
        <v>0.15</v>
      </c>
      <c r="Q844" s="7">
        <f>IF(P844="", 0, P844)</f>
        <v>0.15</v>
      </c>
      <c r="R844">
        <v>7453.07</v>
      </c>
      <c r="S844">
        <v>5133.78</v>
      </c>
      <c r="T844" s="7">
        <f>N844*O844*(1-Q844)</f>
        <v>7453.0719999999992</v>
      </c>
      <c r="U844" s="7">
        <f t="shared" si="78"/>
        <v>2319.2919999999995</v>
      </c>
      <c r="V844">
        <v>2319.29</v>
      </c>
      <c r="W844" s="12">
        <f t="shared" si="79"/>
        <v>0.31118604516365866</v>
      </c>
      <c r="X844" t="s">
        <v>32</v>
      </c>
      <c r="Y844" t="str">
        <f t="shared" si="80"/>
        <v>Paid</v>
      </c>
      <c r="Z844" t="s">
        <v>103</v>
      </c>
      <c r="AA844">
        <f>C844-B844</f>
        <v>960</v>
      </c>
      <c r="AB844" t="str">
        <f>IF(B844="","Missing Order Date",
IF(C844="","Missing Ship Date","OK"))</f>
        <v>OK</v>
      </c>
      <c r="AC844" s="7" t="str">
        <f>IF(C844&lt;B844, "Invalid", "Valid")</f>
        <v>Valid</v>
      </c>
      <c r="AD844" s="7" t="str">
        <f>IF(COUNTIF($A:$A, A844)&gt;1, "Duplicate", "Unique")</f>
        <v>Unique</v>
      </c>
      <c r="AE844" s="7" t="str">
        <f>IF(G844="","Unknown",G844)</f>
        <v>North</v>
      </c>
      <c r="AF844" s="7" t="str">
        <f>IF(M844="","Unknown",M844)</f>
        <v>First Class</v>
      </c>
      <c r="AG844" s="7" t="str">
        <f>IF(P844&lt;0,"Invalid",
IF(P844&gt;1,"Invalid","Valid"))</f>
        <v>Valid</v>
      </c>
      <c r="AH844" s="7" t="str">
        <f>TEXT(B844,"mmmm")</f>
        <v>March</v>
      </c>
      <c r="AI844" s="7">
        <f t="shared" si="81"/>
        <v>2024</v>
      </c>
      <c r="AJ844" s="7" t="str">
        <f>IF(OR(R844&lt;0,C844&lt;B844),"Invalid",
IF(OR(G844="Unknown",M844="Unknown"),"Warning","Clean"))</f>
        <v>Clean</v>
      </c>
      <c r="AK844" s="7" t="str">
        <f>IF(C844&lt;B844,"Ship Before Order","OK")</f>
        <v>OK</v>
      </c>
      <c r="AL844" s="7" t="str">
        <f>IF(ISNUMBER(B844),"Valid","Invalid")</f>
        <v>Valid</v>
      </c>
      <c r="AM844" s="7" t="str">
        <f t="shared" si="82"/>
        <v>Missmatched</v>
      </c>
      <c r="AN844" s="7" t="str">
        <f t="shared" si="83"/>
        <v>Missmatched</v>
      </c>
    </row>
    <row r="845" spans="1:40">
      <c r="A845" t="s">
        <v>2601</v>
      </c>
      <c r="B845" s="6">
        <v>45856</v>
      </c>
      <c r="C845" s="4">
        <v>46343</v>
      </c>
      <c r="D845" t="s">
        <v>2602</v>
      </c>
      <c r="E845" t="s">
        <v>114</v>
      </c>
      <c r="F845" t="s">
        <v>37</v>
      </c>
      <c r="G845" t="s">
        <v>25</v>
      </c>
      <c r="H845" t="s">
        <v>136</v>
      </c>
      <c r="I845" t="s">
        <v>137</v>
      </c>
      <c r="J845" t="s">
        <v>74</v>
      </c>
      <c r="K845" t="s">
        <v>171</v>
      </c>
      <c r="L845" t="s">
        <v>2603</v>
      </c>
      <c r="M845" t="s">
        <v>50</v>
      </c>
      <c r="N845">
        <v>9</v>
      </c>
      <c r="O845">
        <v>3989.52</v>
      </c>
      <c r="P845">
        <v>-0.02</v>
      </c>
      <c r="Q845" s="7">
        <f>IF(P845="", 0, P845)</f>
        <v>-0.02</v>
      </c>
      <c r="R845">
        <v>35905.68</v>
      </c>
      <c r="S845">
        <v>23916.1</v>
      </c>
      <c r="T845" s="7">
        <f>N845*O845*(1-Q845)</f>
        <v>36623.793600000005</v>
      </c>
      <c r="U845" s="7">
        <f t="shared" si="78"/>
        <v>12707.693600000006</v>
      </c>
      <c r="V845">
        <v>11989.58</v>
      </c>
      <c r="W845" s="12">
        <f t="shared" si="79"/>
        <v>0.34697917257812433</v>
      </c>
      <c r="X845" t="s">
        <v>32</v>
      </c>
      <c r="Y845" t="str">
        <f t="shared" si="80"/>
        <v>Paid</v>
      </c>
      <c r="Z845" t="s">
        <v>33</v>
      </c>
      <c r="AA845">
        <f>C845-B845</f>
        <v>487</v>
      </c>
      <c r="AB845" t="str">
        <f>IF(B845="","Missing Order Date",
IF(C845="","Missing Ship Date","OK"))</f>
        <v>OK</v>
      </c>
      <c r="AC845" s="7" t="str">
        <f>IF(C845&lt;B845, "Invalid", "Valid")</f>
        <v>Valid</v>
      </c>
      <c r="AD845" s="7" t="str">
        <f>IF(COUNTIF($A:$A, A845)&gt;1, "Duplicate", "Unique")</f>
        <v>Unique</v>
      </c>
      <c r="AE845" s="7" t="str">
        <f>IF(G845="","Unknown",G845)</f>
        <v>North</v>
      </c>
      <c r="AF845" s="7" t="str">
        <f>IF(M845="","Unknown",M845)</f>
        <v>First Class</v>
      </c>
      <c r="AG845" s="7" t="str">
        <f>IF(P845&lt;0,"Invalid",
IF(P845&gt;1,"Invalid","Valid"))</f>
        <v>Invalid</v>
      </c>
      <c r="AH845" s="7" t="str">
        <f>TEXT(B845,"mmmm")</f>
        <v>July</v>
      </c>
      <c r="AI845" s="7">
        <f t="shared" si="81"/>
        <v>2025</v>
      </c>
      <c r="AJ845" s="7" t="str">
        <f>IF(OR(R845&lt;0,C845&lt;B845),"Invalid",
IF(OR(G845="Unknown",M845="Unknown"),"Warning","Clean"))</f>
        <v>Clean</v>
      </c>
      <c r="AK845" s="7" t="str">
        <f>IF(C845&lt;B845,"Ship Before Order","OK")</f>
        <v>OK</v>
      </c>
      <c r="AL845" s="7" t="str">
        <f>IF(ISNUMBER(B845),"Valid","Invalid")</f>
        <v>Valid</v>
      </c>
      <c r="AM845" s="7" t="str">
        <f t="shared" si="82"/>
        <v>Missmatched</v>
      </c>
      <c r="AN845" s="7" t="str">
        <f t="shared" si="83"/>
        <v>Missmatched</v>
      </c>
    </row>
    <row r="846" spans="1:40">
      <c r="A846" t="s">
        <v>2604</v>
      </c>
      <c r="B846" s="6">
        <v>45677</v>
      </c>
      <c r="C846" s="4">
        <v>46344</v>
      </c>
      <c r="D846" t="s">
        <v>2605</v>
      </c>
      <c r="E846" t="s">
        <v>89</v>
      </c>
      <c r="F846" t="s">
        <v>95</v>
      </c>
      <c r="G846" t="s">
        <v>63</v>
      </c>
      <c r="H846" t="s">
        <v>190</v>
      </c>
      <c r="I846" t="s">
        <v>191</v>
      </c>
      <c r="J846" t="s">
        <v>28</v>
      </c>
      <c r="K846" t="s">
        <v>48</v>
      </c>
      <c r="L846" t="s">
        <v>2606</v>
      </c>
      <c r="M846" t="s">
        <v>50</v>
      </c>
      <c r="N846">
        <v>1</v>
      </c>
      <c r="O846">
        <v>3515.15</v>
      </c>
      <c r="P846">
        <v>0</v>
      </c>
      <c r="Q846" s="7">
        <f>IF(P846="", 0, P846)</f>
        <v>0</v>
      </c>
      <c r="R846">
        <v>3515.15</v>
      </c>
      <c r="S846">
        <v>2216.34</v>
      </c>
      <c r="T846" s="7">
        <f>N846*O846*(1-Q846)</f>
        <v>3515.15</v>
      </c>
      <c r="U846" s="7">
        <f t="shared" si="78"/>
        <v>1298.81</v>
      </c>
      <c r="V846">
        <v>1298.81</v>
      </c>
      <c r="W846" s="12">
        <f t="shared" si="79"/>
        <v>0.36948921098672882</v>
      </c>
      <c r="X846" t="s">
        <v>32</v>
      </c>
      <c r="Y846" t="str">
        <f t="shared" si="80"/>
        <v>Paid</v>
      </c>
      <c r="Z846" t="s">
        <v>33</v>
      </c>
      <c r="AA846">
        <f>C846-B846</f>
        <v>667</v>
      </c>
      <c r="AB846" t="str">
        <f>IF(B846="","Missing Order Date",
IF(C846="","Missing Ship Date","OK"))</f>
        <v>OK</v>
      </c>
      <c r="AC846" s="7" t="str">
        <f>IF(C846&lt;B846, "Invalid", "Valid")</f>
        <v>Valid</v>
      </c>
      <c r="AD846" s="7" t="str">
        <f>IF(COUNTIF($A:$A, A846)&gt;1, "Duplicate", "Unique")</f>
        <v>Unique</v>
      </c>
      <c r="AE846" s="7" t="str">
        <f>IF(G846="","Unknown",G846)</f>
        <v>West</v>
      </c>
      <c r="AF846" s="7" t="str">
        <f>IF(M846="","Unknown",M846)</f>
        <v>First Class</v>
      </c>
      <c r="AG846" s="7" t="str">
        <f>IF(P846&lt;0,"Invalid",
IF(P846&gt;1,"Invalid","Valid"))</f>
        <v>Valid</v>
      </c>
      <c r="AH846" s="7" t="str">
        <f>TEXT(B846,"mmmm")</f>
        <v>January</v>
      </c>
      <c r="AI846" s="7">
        <f t="shared" si="81"/>
        <v>2025</v>
      </c>
      <c r="AJ846" s="7" t="str">
        <f>IF(OR(R846&lt;0,C846&lt;B846),"Invalid",
IF(OR(G846="Unknown",M846="Unknown"),"Warning","Clean"))</f>
        <v>Clean</v>
      </c>
      <c r="AK846" s="7" t="str">
        <f>IF(C846&lt;B846,"Ship Before Order","OK")</f>
        <v>OK</v>
      </c>
      <c r="AL846" s="7" t="str">
        <f>IF(ISNUMBER(B846),"Valid","Invalid")</f>
        <v>Valid</v>
      </c>
      <c r="AM846" s="7" t="str">
        <f t="shared" si="82"/>
        <v>Ok</v>
      </c>
      <c r="AN846" s="7" t="str">
        <f t="shared" si="83"/>
        <v>Ok</v>
      </c>
    </row>
    <row r="847" spans="1:40">
      <c r="A847" t="s">
        <v>2607</v>
      </c>
      <c r="B847" s="6">
        <v>45345</v>
      </c>
      <c r="C847" s="4">
        <v>46345</v>
      </c>
      <c r="D847" t="s">
        <v>593</v>
      </c>
      <c r="E847" t="s">
        <v>23</v>
      </c>
      <c r="F847" t="s">
        <v>24</v>
      </c>
      <c r="G847" t="s">
        <v>38</v>
      </c>
      <c r="H847" t="s">
        <v>39</v>
      </c>
      <c r="I847" t="s">
        <v>40</v>
      </c>
      <c r="J847" t="s">
        <v>41</v>
      </c>
      <c r="K847" t="s">
        <v>42</v>
      </c>
      <c r="L847" t="s">
        <v>2608</v>
      </c>
      <c r="M847" t="s">
        <v>50</v>
      </c>
      <c r="N847">
        <v>9</v>
      </c>
      <c r="O847">
        <v>3616.23</v>
      </c>
      <c r="P847">
        <v>0.25</v>
      </c>
      <c r="Q847" s="7">
        <f>IF(P847="", 0, P847)</f>
        <v>0.25</v>
      </c>
      <c r="R847">
        <v>24409.55</v>
      </c>
      <c r="S847">
        <v>17157.580000000002</v>
      </c>
      <c r="T847" s="7">
        <f>N847*O847*(1-Q847)</f>
        <v>24409.552499999998</v>
      </c>
      <c r="U847" s="7">
        <f t="shared" si="78"/>
        <v>7251.9724999999962</v>
      </c>
      <c r="V847">
        <v>7251.97</v>
      </c>
      <c r="W847" s="12">
        <f t="shared" si="79"/>
        <v>0.29709567596538267</v>
      </c>
      <c r="X847" t="s">
        <v>111</v>
      </c>
      <c r="Y847" t="str">
        <f t="shared" si="80"/>
        <v>Pending</v>
      </c>
      <c r="Z847" t="s">
        <v>103</v>
      </c>
      <c r="AA847">
        <f>C847-B847</f>
        <v>1000</v>
      </c>
      <c r="AB847" t="str">
        <f>IF(B847="","Missing Order Date",
IF(C847="","Missing Ship Date","OK"))</f>
        <v>OK</v>
      </c>
      <c r="AC847" s="7" t="str">
        <f>IF(C847&lt;B847, "Invalid", "Valid")</f>
        <v>Valid</v>
      </c>
      <c r="AD847" s="7" t="str">
        <f>IF(COUNTIF($A:$A, A847)&gt;1, "Duplicate", "Unique")</f>
        <v>Unique</v>
      </c>
      <c r="AE847" s="7" t="str">
        <f>IF(G847="","Unknown",G847)</f>
        <v>East</v>
      </c>
      <c r="AF847" s="7" t="str">
        <f>IF(M847="","Unknown",M847)</f>
        <v>First Class</v>
      </c>
      <c r="AG847" s="7" t="str">
        <f>IF(P847&lt;0,"Invalid",
IF(P847&gt;1,"Invalid","Valid"))</f>
        <v>Valid</v>
      </c>
      <c r="AH847" s="7" t="str">
        <f>TEXT(B847,"mmmm")</f>
        <v>February</v>
      </c>
      <c r="AI847" s="7">
        <f t="shared" si="81"/>
        <v>2024</v>
      </c>
      <c r="AJ847" s="7" t="str">
        <f>IF(OR(R847&lt;0,C847&lt;B847),"Invalid",
IF(OR(G847="Unknown",M847="Unknown"),"Warning","Clean"))</f>
        <v>Clean</v>
      </c>
      <c r="AK847" s="7" t="str">
        <f>IF(C847&lt;B847,"Ship Before Order","OK")</f>
        <v>OK</v>
      </c>
      <c r="AL847" s="7" t="str">
        <f>IF(ISNUMBER(B847),"Valid","Invalid")</f>
        <v>Valid</v>
      </c>
      <c r="AM847" s="7" t="str">
        <f t="shared" si="82"/>
        <v>Missmatched</v>
      </c>
      <c r="AN847" s="7" t="str">
        <f t="shared" si="83"/>
        <v>Missmatched</v>
      </c>
    </row>
    <row r="848" spans="1:40">
      <c r="A848" t="s">
        <v>2609</v>
      </c>
      <c r="B848" s="6">
        <v>45396</v>
      </c>
      <c r="C848" s="4">
        <v>46346</v>
      </c>
      <c r="D848" t="s">
        <v>2610</v>
      </c>
      <c r="E848" t="s">
        <v>114</v>
      </c>
      <c r="F848" t="s">
        <v>37</v>
      </c>
      <c r="G848" t="s">
        <v>63</v>
      </c>
      <c r="H848" t="s">
        <v>180</v>
      </c>
      <c r="I848" t="s">
        <v>181</v>
      </c>
      <c r="J848" t="s">
        <v>41</v>
      </c>
      <c r="K848" t="s">
        <v>158</v>
      </c>
      <c r="L848" t="s">
        <v>2611</v>
      </c>
      <c r="M848" t="s">
        <v>59</v>
      </c>
      <c r="N848">
        <v>2</v>
      </c>
      <c r="O848">
        <v>3977.52</v>
      </c>
      <c r="P848">
        <v>0</v>
      </c>
      <c r="Q848" s="7">
        <f>IF(P848="", 0, P848)</f>
        <v>0</v>
      </c>
      <c r="R848">
        <v>7955.04</v>
      </c>
      <c r="S848">
        <v>5580.68</v>
      </c>
      <c r="T848" s="7">
        <f>N848*O848*(1-Q848)</f>
        <v>7955.04</v>
      </c>
      <c r="U848" s="7">
        <f t="shared" si="78"/>
        <v>2374.3599999999997</v>
      </c>
      <c r="V848">
        <v>2374.36</v>
      </c>
      <c r="W848" s="12">
        <f t="shared" si="79"/>
        <v>0.29847241497214339</v>
      </c>
      <c r="X848" t="s">
        <v>111</v>
      </c>
      <c r="Y848" t="str">
        <f t="shared" si="80"/>
        <v>Pending</v>
      </c>
      <c r="Z848" t="s">
        <v>103</v>
      </c>
      <c r="AA848">
        <f>C848-B848</f>
        <v>950</v>
      </c>
      <c r="AB848" t="str">
        <f>IF(B848="","Missing Order Date",
IF(C848="","Missing Ship Date","OK"))</f>
        <v>OK</v>
      </c>
      <c r="AC848" s="7" t="str">
        <f>IF(C848&lt;B848, "Invalid", "Valid")</f>
        <v>Valid</v>
      </c>
      <c r="AD848" s="7" t="str">
        <f>IF(COUNTIF($A:$A, A848)&gt;1, "Duplicate", "Unique")</f>
        <v>Unique</v>
      </c>
      <c r="AE848" s="7" t="str">
        <f>IF(G848="","Unknown",G848)</f>
        <v>West</v>
      </c>
      <c r="AF848" s="7" t="str">
        <f>IF(M848="","Unknown",M848)</f>
        <v>Standard Class</v>
      </c>
      <c r="AG848" s="7" t="str">
        <f>IF(P848&lt;0,"Invalid",
IF(P848&gt;1,"Invalid","Valid"))</f>
        <v>Valid</v>
      </c>
      <c r="AH848" s="7" t="str">
        <f>TEXT(B848,"mmmm")</f>
        <v>April</v>
      </c>
      <c r="AI848" s="7">
        <f t="shared" si="81"/>
        <v>2024</v>
      </c>
      <c r="AJ848" s="7" t="str">
        <f>IF(OR(R848&lt;0,C848&lt;B848),"Invalid",
IF(OR(G848="Unknown",M848="Unknown"),"Warning","Clean"))</f>
        <v>Clean</v>
      </c>
      <c r="AK848" s="7" t="str">
        <f>IF(C848&lt;B848,"Ship Before Order","OK")</f>
        <v>OK</v>
      </c>
      <c r="AL848" s="7" t="str">
        <f>IF(ISNUMBER(B848),"Valid","Invalid")</f>
        <v>Valid</v>
      </c>
      <c r="AM848" s="7" t="str">
        <f t="shared" si="82"/>
        <v>Ok</v>
      </c>
      <c r="AN848" s="7" t="str">
        <f t="shared" si="83"/>
        <v>Ok</v>
      </c>
    </row>
    <row r="849" spans="1:40">
      <c r="A849" t="s">
        <v>2612</v>
      </c>
      <c r="B849" s="6">
        <v>45797</v>
      </c>
      <c r="C849" s="4">
        <v>46347</v>
      </c>
      <c r="D849" t="s">
        <v>2613</v>
      </c>
      <c r="E849" t="s">
        <v>162</v>
      </c>
      <c r="F849" t="s">
        <v>95</v>
      </c>
      <c r="G849" t="s">
        <v>38</v>
      </c>
      <c r="H849" t="s">
        <v>39</v>
      </c>
      <c r="I849" t="s">
        <v>40</v>
      </c>
      <c r="J849" t="s">
        <v>41</v>
      </c>
      <c r="K849" t="s">
        <v>42</v>
      </c>
      <c r="L849" t="s">
        <v>2614</v>
      </c>
      <c r="M849" t="s">
        <v>31</v>
      </c>
      <c r="N849">
        <v>2</v>
      </c>
      <c r="O849">
        <v>210.08</v>
      </c>
      <c r="P849">
        <v>0.2</v>
      </c>
      <c r="Q849" s="7">
        <f>IF(P849="", 0, P849)</f>
        <v>0.2</v>
      </c>
      <c r="R849">
        <v>336.13</v>
      </c>
      <c r="S849">
        <v>242.19</v>
      </c>
      <c r="T849" s="7">
        <f>N849*O849*(1-Q849)</f>
        <v>336.12800000000004</v>
      </c>
      <c r="U849" s="7">
        <f t="shared" si="78"/>
        <v>93.938000000000045</v>
      </c>
      <c r="V849">
        <v>93.94</v>
      </c>
      <c r="W849" s="12">
        <f t="shared" si="79"/>
        <v>0.27947091584158423</v>
      </c>
      <c r="X849" t="s">
        <v>32</v>
      </c>
      <c r="Y849" t="str">
        <f t="shared" si="80"/>
        <v>Paid</v>
      </c>
      <c r="Z849" t="s">
        <v>33</v>
      </c>
      <c r="AA849">
        <f>C849-B849</f>
        <v>550</v>
      </c>
      <c r="AB849" t="str">
        <f>IF(B849="","Missing Order Date",
IF(C849="","Missing Ship Date","OK"))</f>
        <v>OK</v>
      </c>
      <c r="AC849" s="7" t="str">
        <f>IF(C849&lt;B849, "Invalid", "Valid")</f>
        <v>Valid</v>
      </c>
      <c r="AD849" s="7" t="str">
        <f>IF(COUNTIF($A:$A, A849)&gt;1, "Duplicate", "Unique")</f>
        <v>Unique</v>
      </c>
      <c r="AE849" s="7" t="str">
        <f>IF(G849="","Unknown",G849)</f>
        <v>East</v>
      </c>
      <c r="AF849" s="7" t="str">
        <f>IF(M849="","Unknown",M849)</f>
        <v>Second Class</v>
      </c>
      <c r="AG849" s="7" t="str">
        <f>IF(P849&lt;0,"Invalid",
IF(P849&gt;1,"Invalid","Valid"))</f>
        <v>Valid</v>
      </c>
      <c r="AH849" s="7" t="str">
        <f>TEXT(B849,"mmmm")</f>
        <v>May</v>
      </c>
      <c r="AI849" s="7">
        <f t="shared" si="81"/>
        <v>2025</v>
      </c>
      <c r="AJ849" s="7" t="str">
        <f>IF(OR(R849&lt;0,C849&lt;B849),"Invalid",
IF(OR(G849="Unknown",M849="Unknown"),"Warning","Clean"))</f>
        <v>Clean</v>
      </c>
      <c r="AK849" s="7" t="str">
        <f>IF(C849&lt;B849,"Ship Before Order","OK")</f>
        <v>OK</v>
      </c>
      <c r="AL849" s="7" t="str">
        <f>IF(ISNUMBER(B849),"Valid","Invalid")</f>
        <v>Valid</v>
      </c>
      <c r="AM849" s="7" t="str">
        <f t="shared" si="82"/>
        <v>Missmatched</v>
      </c>
      <c r="AN849" s="7" t="str">
        <f t="shared" si="83"/>
        <v>Missmatched</v>
      </c>
    </row>
    <row r="850" spans="1:40">
      <c r="A850" t="s">
        <v>2615</v>
      </c>
      <c r="B850" s="6">
        <v>45804</v>
      </c>
      <c r="C850" s="4">
        <v>46348</v>
      </c>
      <c r="D850" t="s">
        <v>2616</v>
      </c>
      <c r="E850" t="s">
        <v>118</v>
      </c>
      <c r="F850" t="s">
        <v>95</v>
      </c>
      <c r="G850" t="s">
        <v>54</v>
      </c>
      <c r="H850" t="s">
        <v>247</v>
      </c>
      <c r="I850" t="s">
        <v>248</v>
      </c>
      <c r="J850" t="s">
        <v>41</v>
      </c>
      <c r="K850" t="s">
        <v>57</v>
      </c>
      <c r="L850" t="s">
        <v>2617</v>
      </c>
      <c r="M850" t="s">
        <v>31</v>
      </c>
      <c r="N850">
        <v>1</v>
      </c>
      <c r="O850">
        <v>1744.35</v>
      </c>
      <c r="P850">
        <v>0.25</v>
      </c>
      <c r="Q850" s="7">
        <f>IF(P850="", 0, P850)</f>
        <v>0.25</v>
      </c>
      <c r="R850">
        <v>1308.26</v>
      </c>
      <c r="S850">
        <v>1083.56</v>
      </c>
      <c r="T850" s="7">
        <f>N850*O850*(1-Q850)</f>
        <v>1308.2624999999998</v>
      </c>
      <c r="U850" s="7">
        <f t="shared" si="78"/>
        <v>224.70249999999987</v>
      </c>
      <c r="V850">
        <v>224.7</v>
      </c>
      <c r="W850" s="12">
        <f t="shared" si="79"/>
        <v>0.17175643267310645</v>
      </c>
      <c r="X850" t="s">
        <v>32</v>
      </c>
      <c r="Y850" t="str">
        <f t="shared" si="80"/>
        <v>Paid</v>
      </c>
      <c r="Z850" t="s">
        <v>33</v>
      </c>
      <c r="AA850">
        <f>C850-B850</f>
        <v>544</v>
      </c>
      <c r="AB850" t="str">
        <f>IF(B850="","Missing Order Date",
IF(C850="","Missing Ship Date","OK"))</f>
        <v>OK</v>
      </c>
      <c r="AC850" s="7" t="str">
        <f>IF(C850&lt;B850, "Invalid", "Valid")</f>
        <v>Valid</v>
      </c>
      <c r="AD850" s="7" t="str">
        <f>IF(COUNTIF($A:$A, A850)&gt;1, "Duplicate", "Unique")</f>
        <v>Unique</v>
      </c>
      <c r="AE850" s="7" t="str">
        <f>IF(G850="","Unknown",G850)</f>
        <v>South</v>
      </c>
      <c r="AF850" s="7" t="str">
        <f>IF(M850="","Unknown",M850)</f>
        <v>Second Class</v>
      </c>
      <c r="AG850" s="7" t="str">
        <f>IF(P850&lt;0,"Invalid",
IF(P850&gt;1,"Invalid","Valid"))</f>
        <v>Valid</v>
      </c>
      <c r="AH850" s="7" t="str">
        <f>TEXT(B850,"mmmm")</f>
        <v>May</v>
      </c>
      <c r="AI850" s="7">
        <f t="shared" si="81"/>
        <v>2025</v>
      </c>
      <c r="AJ850" s="7" t="str">
        <f>IF(OR(R850&lt;0,C850&lt;B850),"Invalid",
IF(OR(G850="Unknown",M850="Unknown"),"Warning","Clean"))</f>
        <v>Clean</v>
      </c>
      <c r="AK850" s="7" t="str">
        <f>IF(C850&lt;B850,"Ship Before Order","OK")</f>
        <v>OK</v>
      </c>
      <c r="AL850" s="7" t="str">
        <f>IF(ISNUMBER(B850),"Valid","Invalid")</f>
        <v>Valid</v>
      </c>
      <c r="AM850" s="7" t="str">
        <f t="shared" si="82"/>
        <v>Missmatched</v>
      </c>
      <c r="AN850" s="7" t="str">
        <f t="shared" si="83"/>
        <v>Missmatched</v>
      </c>
    </row>
    <row r="851" spans="1:40">
      <c r="A851" t="s">
        <v>2618</v>
      </c>
      <c r="B851" s="6">
        <v>45446</v>
      </c>
      <c r="C851" s="4">
        <v>46349</v>
      </c>
      <c r="D851" t="s">
        <v>2619</v>
      </c>
      <c r="E851" t="s">
        <v>47</v>
      </c>
      <c r="F851" t="s">
        <v>95</v>
      </c>
      <c r="G851" t="s">
        <v>63</v>
      </c>
      <c r="H851" t="s">
        <v>180</v>
      </c>
      <c r="I851" t="s">
        <v>181</v>
      </c>
      <c r="J851" t="s">
        <v>41</v>
      </c>
      <c r="K851" t="s">
        <v>158</v>
      </c>
      <c r="L851" t="s">
        <v>2620</v>
      </c>
      <c r="M851" t="s">
        <v>59</v>
      </c>
      <c r="N851">
        <v>3</v>
      </c>
      <c r="O851">
        <v>679.63</v>
      </c>
      <c r="P851">
        <v>0.2</v>
      </c>
      <c r="Q851" s="7">
        <f>IF(P851="", 0, P851)</f>
        <v>0.2</v>
      </c>
      <c r="R851">
        <v>1631.11</v>
      </c>
      <c r="S851">
        <v>898.73</v>
      </c>
      <c r="T851" s="7">
        <f>N851*O851*(1-Q851)</f>
        <v>1631.1120000000001</v>
      </c>
      <c r="U851" s="7">
        <f t="shared" si="78"/>
        <v>732.38200000000006</v>
      </c>
      <c r="V851">
        <v>396.58</v>
      </c>
      <c r="W851" s="12">
        <f t="shared" si="79"/>
        <v>0.44900779345624336</v>
      </c>
      <c r="X851" t="s">
        <v>32</v>
      </c>
      <c r="Y851" t="str">
        <f t="shared" si="80"/>
        <v>Paid</v>
      </c>
      <c r="Z851" t="s">
        <v>33</v>
      </c>
      <c r="AA851">
        <f>C851-B851</f>
        <v>903</v>
      </c>
      <c r="AB851" t="str">
        <f>IF(B851="","Missing Order Date",
IF(C851="","Missing Ship Date","OK"))</f>
        <v>OK</v>
      </c>
      <c r="AC851" s="7" t="str">
        <f>IF(C851&lt;B851, "Invalid", "Valid")</f>
        <v>Valid</v>
      </c>
      <c r="AD851" s="7" t="str">
        <f>IF(COUNTIF($A:$A, A851)&gt;1, "Duplicate", "Unique")</f>
        <v>Duplicate</v>
      </c>
      <c r="AE851" s="7" t="str">
        <f>IF(G851="","Unknown",G851)</f>
        <v>West</v>
      </c>
      <c r="AF851" s="7" t="str">
        <f>IF(M851="","Unknown",M851)</f>
        <v>Standard Class</v>
      </c>
      <c r="AG851" s="7" t="str">
        <f>IF(P851&lt;0,"Invalid",
IF(P851&gt;1,"Invalid","Valid"))</f>
        <v>Valid</v>
      </c>
      <c r="AH851" s="7" t="str">
        <f>TEXT(B851,"mmmm")</f>
        <v>June</v>
      </c>
      <c r="AI851" s="7">
        <f t="shared" si="81"/>
        <v>2024</v>
      </c>
      <c r="AJ851" s="7" t="str">
        <f>IF(OR(R851&lt;0,C851&lt;B851),"Invalid",
IF(OR(G851="Unknown",M851="Unknown"),"Warning","Clean"))</f>
        <v>Clean</v>
      </c>
      <c r="AK851" s="7" t="str">
        <f>IF(C851&lt;B851,"Ship Before Order","OK")</f>
        <v>OK</v>
      </c>
      <c r="AL851" s="7" t="str">
        <f>IF(ISNUMBER(B851),"Valid","Invalid")</f>
        <v>Valid</v>
      </c>
      <c r="AM851" s="7" t="str">
        <f t="shared" si="82"/>
        <v>Missmatched</v>
      </c>
      <c r="AN851" s="7" t="str">
        <f t="shared" si="83"/>
        <v>Missmatched</v>
      </c>
    </row>
    <row r="852" spans="1:40">
      <c r="A852" t="s">
        <v>2621</v>
      </c>
      <c r="B852" s="6">
        <v>45473</v>
      </c>
      <c r="C852" s="4">
        <v>46350</v>
      </c>
      <c r="D852" t="s">
        <v>2622</v>
      </c>
      <c r="E852" t="s">
        <v>114</v>
      </c>
      <c r="F852" t="s">
        <v>95</v>
      </c>
      <c r="G852" t="s">
        <v>38</v>
      </c>
      <c r="H852" t="s">
        <v>99</v>
      </c>
      <c r="I852" t="s">
        <v>100</v>
      </c>
      <c r="J852" t="s">
        <v>28</v>
      </c>
      <c r="K852" t="s">
        <v>29</v>
      </c>
      <c r="L852" t="s">
        <v>2623</v>
      </c>
      <c r="M852" t="s">
        <v>50</v>
      </c>
      <c r="N852">
        <v>6</v>
      </c>
      <c r="O852">
        <v>1211.01</v>
      </c>
      <c r="P852">
        <v>0</v>
      </c>
      <c r="Q852" s="7">
        <f>IF(P852="", 0, P852)</f>
        <v>0</v>
      </c>
      <c r="R852">
        <v>7266.06</v>
      </c>
      <c r="S852">
        <v>6216.89</v>
      </c>
      <c r="T852" s="7">
        <f>N852*O852*(1-Q852)</f>
        <v>7266.0599999999995</v>
      </c>
      <c r="U852" s="7">
        <f t="shared" si="78"/>
        <v>1049.1699999999992</v>
      </c>
      <c r="V852">
        <v>1049.17</v>
      </c>
      <c r="W852" s="12">
        <f t="shared" si="79"/>
        <v>0.14439324750965438</v>
      </c>
      <c r="X852" t="s">
        <v>32</v>
      </c>
      <c r="Y852" t="str">
        <f t="shared" si="80"/>
        <v>Paid</v>
      </c>
      <c r="Z852" t="s">
        <v>33</v>
      </c>
      <c r="AA852">
        <f>C852-B852</f>
        <v>877</v>
      </c>
      <c r="AB852" t="str">
        <f>IF(B852="","Missing Order Date",
IF(C852="","Missing Ship Date","OK"))</f>
        <v>OK</v>
      </c>
      <c r="AC852" s="7" t="str">
        <f>IF(C852&lt;B852, "Invalid", "Valid")</f>
        <v>Valid</v>
      </c>
      <c r="AD852" s="7" t="str">
        <f>IF(COUNTIF($A:$A, A852)&gt;1, "Duplicate", "Unique")</f>
        <v>Unique</v>
      </c>
      <c r="AE852" s="7" t="str">
        <f>IF(G852="","Unknown",G852)</f>
        <v>East</v>
      </c>
      <c r="AF852" s="7" t="str">
        <f>IF(M852="","Unknown",M852)</f>
        <v>First Class</v>
      </c>
      <c r="AG852" s="7" t="str">
        <f>IF(P852&lt;0,"Invalid",
IF(P852&gt;1,"Invalid","Valid"))</f>
        <v>Valid</v>
      </c>
      <c r="AH852" s="7" t="str">
        <f>TEXT(B852,"mmmm")</f>
        <v>June</v>
      </c>
      <c r="AI852" s="7">
        <f t="shared" si="81"/>
        <v>2024</v>
      </c>
      <c r="AJ852" s="7" t="str">
        <f>IF(OR(R852&lt;0,C852&lt;B852),"Invalid",
IF(OR(G852="Unknown",M852="Unknown"),"Warning","Clean"))</f>
        <v>Clean</v>
      </c>
      <c r="AK852" s="7" t="str">
        <f>IF(C852&lt;B852,"Ship Before Order","OK")</f>
        <v>OK</v>
      </c>
      <c r="AL852" s="7" t="str">
        <f>IF(ISNUMBER(B852),"Valid","Invalid")</f>
        <v>Valid</v>
      </c>
      <c r="AM852" s="7" t="str">
        <f t="shared" si="82"/>
        <v>Ok</v>
      </c>
      <c r="AN852" s="7" t="str">
        <f t="shared" si="83"/>
        <v>Ok</v>
      </c>
    </row>
    <row r="853" spans="1:40">
      <c r="A853" t="s">
        <v>2624</v>
      </c>
      <c r="B853" s="6">
        <v>45377</v>
      </c>
      <c r="C853" s="4">
        <v>46351</v>
      </c>
      <c r="D853" t="s">
        <v>2625</v>
      </c>
      <c r="E853" t="s">
        <v>23</v>
      </c>
      <c r="F853" t="s">
        <v>37</v>
      </c>
      <c r="G853" t="s">
        <v>63</v>
      </c>
      <c r="H853" t="s">
        <v>180</v>
      </c>
      <c r="I853" t="s">
        <v>181</v>
      </c>
      <c r="J853" t="s">
        <v>74</v>
      </c>
      <c r="K853" t="s">
        <v>75</v>
      </c>
      <c r="L853" t="s">
        <v>2626</v>
      </c>
      <c r="M853" t="s">
        <v>50</v>
      </c>
      <c r="N853">
        <v>2</v>
      </c>
      <c r="O853">
        <v>1161.3</v>
      </c>
      <c r="P853">
        <v>0.2</v>
      </c>
      <c r="Q853" s="7">
        <f>IF(P853="", 0, P853)</f>
        <v>0.2</v>
      </c>
      <c r="R853">
        <v>1858.08</v>
      </c>
      <c r="S853">
        <v>1590.75</v>
      </c>
      <c r="T853" s="7">
        <f>N853*O853*(1-Q853)</f>
        <v>1858.08</v>
      </c>
      <c r="U853" s="7">
        <f t="shared" si="78"/>
        <v>267.32999999999993</v>
      </c>
      <c r="V853">
        <v>267.33</v>
      </c>
      <c r="W853" s="12">
        <f t="shared" si="79"/>
        <v>0.14387432188065097</v>
      </c>
      <c r="X853" t="s">
        <v>32</v>
      </c>
      <c r="Y853" t="str">
        <f t="shared" si="80"/>
        <v>Paid</v>
      </c>
      <c r="Z853" t="s">
        <v>33</v>
      </c>
      <c r="AA853">
        <f>C853-B853</f>
        <v>974</v>
      </c>
      <c r="AB853" t="str">
        <f>IF(B853="","Missing Order Date",
IF(C853="","Missing Ship Date","OK"))</f>
        <v>OK</v>
      </c>
      <c r="AC853" s="7" t="str">
        <f>IF(C853&lt;B853, "Invalid", "Valid")</f>
        <v>Valid</v>
      </c>
      <c r="AD853" s="7" t="str">
        <f>IF(COUNTIF($A:$A, A853)&gt;1, "Duplicate", "Unique")</f>
        <v>Unique</v>
      </c>
      <c r="AE853" s="7" t="str">
        <f>IF(G853="","Unknown",G853)</f>
        <v>West</v>
      </c>
      <c r="AF853" s="7" t="str">
        <f>IF(M853="","Unknown",M853)</f>
        <v>First Class</v>
      </c>
      <c r="AG853" s="7" t="str">
        <f>IF(P853&lt;0,"Invalid",
IF(P853&gt;1,"Invalid","Valid"))</f>
        <v>Valid</v>
      </c>
      <c r="AH853" s="7" t="str">
        <f>TEXT(B853,"mmmm")</f>
        <v>March</v>
      </c>
      <c r="AI853" s="7">
        <f t="shared" si="81"/>
        <v>2024</v>
      </c>
      <c r="AJ853" s="7" t="str">
        <f>IF(OR(R853&lt;0,C853&lt;B853),"Invalid",
IF(OR(G853="Unknown",M853="Unknown"),"Warning","Clean"))</f>
        <v>Clean</v>
      </c>
      <c r="AK853" s="7" t="str">
        <f>IF(C853&lt;B853,"Ship Before Order","OK")</f>
        <v>OK</v>
      </c>
      <c r="AL853" s="7" t="str">
        <f>IF(ISNUMBER(B853),"Valid","Invalid")</f>
        <v>Valid</v>
      </c>
      <c r="AM853" s="7" t="str">
        <f t="shared" si="82"/>
        <v>Ok</v>
      </c>
      <c r="AN853" s="7" t="str">
        <f t="shared" si="83"/>
        <v>Ok</v>
      </c>
    </row>
    <row r="854" spans="1:40">
      <c r="A854" t="s">
        <v>2627</v>
      </c>
      <c r="B854" s="6">
        <v>45383</v>
      </c>
      <c r="C854" s="4">
        <v>46352</v>
      </c>
      <c r="D854" t="s">
        <v>2628</v>
      </c>
      <c r="E854" t="s">
        <v>62</v>
      </c>
      <c r="F854" t="s">
        <v>24</v>
      </c>
      <c r="G854" t="s">
        <v>38</v>
      </c>
      <c r="H854" t="s">
        <v>166</v>
      </c>
      <c r="I854" t="s">
        <v>167</v>
      </c>
      <c r="J854" t="s">
        <v>41</v>
      </c>
      <c r="K854" t="s">
        <v>42</v>
      </c>
      <c r="L854" t="s">
        <v>2629</v>
      </c>
      <c r="M854" t="s">
        <v>31</v>
      </c>
      <c r="N854">
        <v>7</v>
      </c>
      <c r="O854">
        <v>4205.3500000000004</v>
      </c>
      <c r="P854">
        <v>0.15</v>
      </c>
      <c r="Q854" s="7">
        <f>IF(P854="", 0, P854)</f>
        <v>0.15</v>
      </c>
      <c r="R854">
        <v>25021.83</v>
      </c>
      <c r="S854">
        <v>15544.44</v>
      </c>
      <c r="T854" s="7">
        <f>N854*O854*(1-Q854)</f>
        <v>25021.832500000004</v>
      </c>
      <c r="U854" s="7">
        <f t="shared" si="78"/>
        <v>9477.3925000000036</v>
      </c>
      <c r="V854">
        <v>9477.39</v>
      </c>
      <c r="W854" s="12">
        <f t="shared" si="79"/>
        <v>0.37876492459135447</v>
      </c>
      <c r="X854" t="s">
        <v>111</v>
      </c>
      <c r="Y854" t="str">
        <f t="shared" si="80"/>
        <v>Pending</v>
      </c>
      <c r="Z854" t="s">
        <v>68</v>
      </c>
      <c r="AA854">
        <f>C854-B854</f>
        <v>969</v>
      </c>
      <c r="AB854" t="str">
        <f>IF(B854="","Missing Order Date",
IF(C854="","Missing Ship Date","OK"))</f>
        <v>OK</v>
      </c>
      <c r="AC854" s="7" t="str">
        <f>IF(C854&lt;B854, "Invalid", "Valid")</f>
        <v>Valid</v>
      </c>
      <c r="AD854" s="7" t="str">
        <f>IF(COUNTIF($A:$A, A854)&gt;1, "Duplicate", "Unique")</f>
        <v>Unique</v>
      </c>
      <c r="AE854" s="7" t="str">
        <f>IF(G854="","Unknown",G854)</f>
        <v>East</v>
      </c>
      <c r="AF854" s="7" t="str">
        <f>IF(M854="","Unknown",M854)</f>
        <v>Second Class</v>
      </c>
      <c r="AG854" s="7" t="str">
        <f>IF(P854&lt;0,"Invalid",
IF(P854&gt;1,"Invalid","Valid"))</f>
        <v>Valid</v>
      </c>
      <c r="AH854" s="7" t="str">
        <f>TEXT(B854,"mmmm")</f>
        <v>April</v>
      </c>
      <c r="AI854" s="7">
        <f t="shared" si="81"/>
        <v>2024</v>
      </c>
      <c r="AJ854" s="7" t="str">
        <f>IF(OR(R854&lt;0,C854&lt;B854),"Invalid",
IF(OR(G854="Unknown",M854="Unknown"),"Warning","Clean"))</f>
        <v>Clean</v>
      </c>
      <c r="AK854" s="7" t="str">
        <f>IF(C854&lt;B854,"Ship Before Order","OK")</f>
        <v>OK</v>
      </c>
      <c r="AL854" s="7" t="str">
        <f>IF(ISNUMBER(B854),"Valid","Invalid")</f>
        <v>Valid</v>
      </c>
      <c r="AM854" s="7" t="str">
        <f t="shared" si="82"/>
        <v>Missmatched</v>
      </c>
      <c r="AN854" s="7" t="str">
        <f t="shared" si="83"/>
        <v>Missmatched</v>
      </c>
    </row>
    <row r="855" spans="1:40">
      <c r="A855" t="s">
        <v>2630</v>
      </c>
      <c r="B855" s="6">
        <v>45793</v>
      </c>
      <c r="C855" s="4">
        <v>46353</v>
      </c>
      <c r="D855" t="s">
        <v>2631</v>
      </c>
      <c r="E855" t="s">
        <v>53</v>
      </c>
      <c r="F855" t="s">
        <v>90</v>
      </c>
      <c r="G855" t="s">
        <v>54</v>
      </c>
      <c r="H855" t="s">
        <v>247</v>
      </c>
      <c r="I855" t="s">
        <v>248</v>
      </c>
      <c r="J855" t="s">
        <v>74</v>
      </c>
      <c r="K855" t="s">
        <v>75</v>
      </c>
      <c r="L855" t="s">
        <v>2632</v>
      </c>
      <c r="M855" t="s">
        <v>44</v>
      </c>
      <c r="N855">
        <v>8</v>
      </c>
      <c r="O855">
        <v>579.79999999999995</v>
      </c>
      <c r="P855">
        <v>0.2</v>
      </c>
      <c r="Q855" s="7">
        <f>IF(P855="", 0, P855)</f>
        <v>0.2</v>
      </c>
      <c r="R855">
        <v>3710.72</v>
      </c>
      <c r="S855">
        <v>3115.29</v>
      </c>
      <c r="T855" s="7">
        <f>N855*O855*(1-Q855)</f>
        <v>3710.72</v>
      </c>
      <c r="U855" s="7">
        <f t="shared" si="78"/>
        <v>595.42999999999984</v>
      </c>
      <c r="V855">
        <v>595.42999999999995</v>
      </c>
      <c r="W855" s="12">
        <f t="shared" si="79"/>
        <v>0.16046212055881334</v>
      </c>
      <c r="X855" t="s">
        <v>32</v>
      </c>
      <c r="Y855" t="str">
        <f t="shared" si="80"/>
        <v>Paid</v>
      </c>
      <c r="Z855" t="s">
        <v>33</v>
      </c>
      <c r="AA855">
        <f>C855-B855</f>
        <v>560</v>
      </c>
      <c r="AB855" t="str">
        <f>IF(B855="","Missing Order Date",
IF(C855="","Missing Ship Date","OK"))</f>
        <v>OK</v>
      </c>
      <c r="AC855" s="7" t="str">
        <f>IF(C855&lt;B855, "Invalid", "Valid")</f>
        <v>Valid</v>
      </c>
      <c r="AD855" s="7" t="str">
        <f>IF(COUNTIF($A:$A, A855)&gt;1, "Duplicate", "Unique")</f>
        <v>Unique</v>
      </c>
      <c r="AE855" s="7" t="str">
        <f>IF(G855="","Unknown",G855)</f>
        <v>South</v>
      </c>
      <c r="AF855" s="7" t="str">
        <f>IF(M855="","Unknown",M855)</f>
        <v>Same Day</v>
      </c>
      <c r="AG855" s="7" t="str">
        <f>IF(P855&lt;0,"Invalid",
IF(P855&gt;1,"Invalid","Valid"))</f>
        <v>Valid</v>
      </c>
      <c r="AH855" s="7" t="str">
        <f>TEXT(B855,"mmmm")</f>
        <v>May</v>
      </c>
      <c r="AI855" s="7">
        <f t="shared" si="81"/>
        <v>2025</v>
      </c>
      <c r="AJ855" s="7" t="str">
        <f>IF(OR(R855&lt;0,C855&lt;B855),"Invalid",
IF(OR(G855="Unknown",M855="Unknown"),"Warning","Clean"))</f>
        <v>Clean</v>
      </c>
      <c r="AK855" s="7" t="str">
        <f>IF(C855&lt;B855,"Ship Before Order","OK")</f>
        <v>OK</v>
      </c>
      <c r="AL855" s="7" t="str">
        <f>IF(ISNUMBER(B855),"Valid","Invalid")</f>
        <v>Valid</v>
      </c>
      <c r="AM855" s="7" t="str">
        <f t="shared" si="82"/>
        <v>Ok</v>
      </c>
      <c r="AN855" s="7" t="str">
        <f t="shared" si="83"/>
        <v>Ok</v>
      </c>
    </row>
    <row r="856" spans="1:40">
      <c r="A856" t="s">
        <v>2633</v>
      </c>
      <c r="B856" s="6">
        <v>45741</v>
      </c>
      <c r="C856" s="4">
        <v>46354</v>
      </c>
      <c r="D856" t="s">
        <v>2634</v>
      </c>
      <c r="E856" t="s">
        <v>114</v>
      </c>
      <c r="F856" t="s">
        <v>24</v>
      </c>
      <c r="G856" t="s">
        <v>54</v>
      </c>
      <c r="H856" t="s">
        <v>175</v>
      </c>
      <c r="I856" t="s">
        <v>176</v>
      </c>
      <c r="J856" t="s">
        <v>41</v>
      </c>
      <c r="K856" t="s">
        <v>158</v>
      </c>
      <c r="L856" t="s">
        <v>2635</v>
      </c>
      <c r="M856" t="s">
        <v>31</v>
      </c>
      <c r="N856">
        <v>4</v>
      </c>
      <c r="O856">
        <v>2233.64</v>
      </c>
      <c r="P856">
        <v>0.05</v>
      </c>
      <c r="Q856" s="7">
        <f>IF(P856="", 0, P856)</f>
        <v>0.05</v>
      </c>
      <c r="R856">
        <v>8487.83</v>
      </c>
      <c r="S856">
        <v>5245.72</v>
      </c>
      <c r="T856" s="7">
        <f>N856*O856*(1-Q856)</f>
        <v>8487.8319999999985</v>
      </c>
      <c r="U856" s="7">
        <f t="shared" si="78"/>
        <v>3242.1119999999983</v>
      </c>
      <c r="V856">
        <v>3242.11</v>
      </c>
      <c r="W856" s="12">
        <f t="shared" si="79"/>
        <v>0.38197174496384928</v>
      </c>
      <c r="X856" t="s">
        <v>32</v>
      </c>
      <c r="Y856" t="str">
        <f t="shared" si="80"/>
        <v>Paid</v>
      </c>
      <c r="Z856" t="s">
        <v>33</v>
      </c>
      <c r="AA856">
        <f>C856-B856</f>
        <v>613</v>
      </c>
      <c r="AB856" t="str">
        <f>IF(B856="","Missing Order Date",
IF(C856="","Missing Ship Date","OK"))</f>
        <v>OK</v>
      </c>
      <c r="AC856" s="7" t="str">
        <f>IF(C856&lt;B856, "Invalid", "Valid")</f>
        <v>Valid</v>
      </c>
      <c r="AD856" s="7" t="str">
        <f>IF(COUNTIF($A:$A, A856)&gt;1, "Duplicate", "Unique")</f>
        <v>Unique</v>
      </c>
      <c r="AE856" s="7" t="str">
        <f>IF(G856="","Unknown",G856)</f>
        <v>South</v>
      </c>
      <c r="AF856" s="7" t="str">
        <f>IF(M856="","Unknown",M856)</f>
        <v>Second Class</v>
      </c>
      <c r="AG856" s="7" t="str">
        <f>IF(P856&lt;0,"Invalid",
IF(P856&gt;1,"Invalid","Valid"))</f>
        <v>Valid</v>
      </c>
      <c r="AH856" s="7" t="str">
        <f>TEXT(B856,"mmmm")</f>
        <v>March</v>
      </c>
      <c r="AI856" s="7">
        <f t="shared" si="81"/>
        <v>2025</v>
      </c>
      <c r="AJ856" s="7" t="str">
        <f>IF(OR(R856&lt;0,C856&lt;B856),"Invalid",
IF(OR(G856="Unknown",M856="Unknown"),"Warning","Clean"))</f>
        <v>Clean</v>
      </c>
      <c r="AK856" s="7" t="str">
        <f>IF(C856&lt;B856,"Ship Before Order","OK")</f>
        <v>OK</v>
      </c>
      <c r="AL856" s="7" t="str">
        <f>IF(ISNUMBER(B856),"Valid","Invalid")</f>
        <v>Valid</v>
      </c>
      <c r="AM856" s="7" t="str">
        <f t="shared" si="82"/>
        <v>Missmatched</v>
      </c>
      <c r="AN856" s="7" t="str">
        <f t="shared" si="83"/>
        <v>Missmatched</v>
      </c>
    </row>
    <row r="857" spans="1:40">
      <c r="A857" t="s">
        <v>2636</v>
      </c>
      <c r="B857" s="6">
        <v>45498</v>
      </c>
      <c r="C857" s="4">
        <v>46355</v>
      </c>
      <c r="D857" t="s">
        <v>1122</v>
      </c>
      <c r="E857" t="s">
        <v>118</v>
      </c>
      <c r="F857" t="s">
        <v>24</v>
      </c>
      <c r="G857" t="s">
        <v>25</v>
      </c>
      <c r="H857" t="s">
        <v>26</v>
      </c>
      <c r="I857" t="s">
        <v>27</v>
      </c>
      <c r="J857" t="s">
        <v>28</v>
      </c>
      <c r="K857" t="s">
        <v>91</v>
      </c>
      <c r="L857" t="s">
        <v>2637</v>
      </c>
      <c r="M857" t="s">
        <v>31</v>
      </c>
      <c r="N857">
        <v>2</v>
      </c>
      <c r="O857">
        <v>2073.5300000000002</v>
      </c>
      <c r="P857">
        <v>0.25</v>
      </c>
      <c r="Q857" s="7">
        <f>IF(P857="", 0, P857)</f>
        <v>0.25</v>
      </c>
      <c r="R857">
        <v>3110.3</v>
      </c>
      <c r="S857">
        <v>2101.0300000000002</v>
      </c>
      <c r="T857" s="7">
        <f>N857*O857*(1-Q857)</f>
        <v>3110.2950000000001</v>
      </c>
      <c r="U857" s="7">
        <f t="shared" si="78"/>
        <v>1009.2649999999999</v>
      </c>
      <c r="V857">
        <v>1009.27</v>
      </c>
      <c r="W857" s="12">
        <f t="shared" si="79"/>
        <v>0.32449172827657824</v>
      </c>
      <c r="X857" t="s">
        <v>32</v>
      </c>
      <c r="Y857" t="str">
        <f t="shared" si="80"/>
        <v>Paid</v>
      </c>
      <c r="Z857" t="s">
        <v>33</v>
      </c>
      <c r="AA857">
        <f>C857-B857</f>
        <v>857</v>
      </c>
      <c r="AB857" t="str">
        <f>IF(B857="","Missing Order Date",
IF(C857="","Missing Ship Date","OK"))</f>
        <v>OK</v>
      </c>
      <c r="AC857" s="7" t="str">
        <f>IF(C857&lt;B857, "Invalid", "Valid")</f>
        <v>Valid</v>
      </c>
      <c r="AD857" s="7" t="str">
        <f>IF(COUNTIF($A:$A, A857)&gt;1, "Duplicate", "Unique")</f>
        <v>Unique</v>
      </c>
      <c r="AE857" s="7" t="str">
        <f>IF(G857="","Unknown",G857)</f>
        <v>North</v>
      </c>
      <c r="AF857" s="7" t="str">
        <f>IF(M857="","Unknown",M857)</f>
        <v>Second Class</v>
      </c>
      <c r="AG857" s="7" t="str">
        <f>IF(P857&lt;0,"Invalid",
IF(P857&gt;1,"Invalid","Valid"))</f>
        <v>Valid</v>
      </c>
      <c r="AH857" s="7" t="str">
        <f>TEXT(B857,"mmmm")</f>
        <v>July</v>
      </c>
      <c r="AI857" s="7">
        <f t="shared" si="81"/>
        <v>2024</v>
      </c>
      <c r="AJ857" s="7" t="str">
        <f>IF(OR(R857&lt;0,C857&lt;B857),"Invalid",
IF(OR(G857="Unknown",M857="Unknown"),"Warning","Clean"))</f>
        <v>Clean</v>
      </c>
      <c r="AK857" s="7" t="str">
        <f>IF(C857&lt;B857,"Ship Before Order","OK")</f>
        <v>OK</v>
      </c>
      <c r="AL857" s="7" t="str">
        <f>IF(ISNUMBER(B857),"Valid","Invalid")</f>
        <v>Valid</v>
      </c>
      <c r="AM857" s="7" t="str">
        <f t="shared" si="82"/>
        <v>Missmatched</v>
      </c>
      <c r="AN857" s="7" t="str">
        <f t="shared" si="83"/>
        <v>Missmatched</v>
      </c>
    </row>
    <row r="858" spans="1:40">
      <c r="A858" t="s">
        <v>2638</v>
      </c>
      <c r="B858" s="6">
        <v>45632</v>
      </c>
      <c r="C858" s="4">
        <v>46356</v>
      </c>
      <c r="D858" t="s">
        <v>1300</v>
      </c>
      <c r="E858" t="s">
        <v>141</v>
      </c>
      <c r="F858" t="s">
        <v>95</v>
      </c>
      <c r="G858" t="s">
        <v>54</v>
      </c>
      <c r="H858" t="s">
        <v>247</v>
      </c>
      <c r="I858" t="s">
        <v>248</v>
      </c>
      <c r="J858" t="s">
        <v>28</v>
      </c>
      <c r="K858" t="s">
        <v>124</v>
      </c>
      <c r="L858" t="s">
        <v>2639</v>
      </c>
      <c r="M858" t="s">
        <v>59</v>
      </c>
      <c r="N858">
        <v>4</v>
      </c>
      <c r="O858">
        <v>395.1</v>
      </c>
      <c r="P858">
        <v>-0.16</v>
      </c>
      <c r="Q858" s="7">
        <f>IF(P858="", 0, P858)</f>
        <v>-0.16</v>
      </c>
      <c r="R858">
        <v>1185.3</v>
      </c>
      <c r="S858">
        <v>966.55</v>
      </c>
      <c r="T858" s="7">
        <f>N858*O858*(1-Q858)</f>
        <v>1833.2639999999999</v>
      </c>
      <c r="U858" s="7">
        <f t="shared" si="78"/>
        <v>866.71399999999994</v>
      </c>
      <c r="V858">
        <v>218.75</v>
      </c>
      <c r="W858" s="12">
        <f t="shared" si="79"/>
        <v>0.47277097024760206</v>
      </c>
      <c r="X858" t="s">
        <v>155</v>
      </c>
      <c r="Y858" t="str">
        <f t="shared" si="80"/>
        <v>Failed</v>
      </c>
      <c r="Z858" t="s">
        <v>68</v>
      </c>
      <c r="AA858">
        <f>C858-B858</f>
        <v>724</v>
      </c>
      <c r="AB858" t="str">
        <f>IF(B858="","Missing Order Date",
IF(C858="","Missing Ship Date","OK"))</f>
        <v>OK</v>
      </c>
      <c r="AC858" s="7" t="str">
        <f>IF(C858&lt;B858, "Invalid", "Valid")</f>
        <v>Valid</v>
      </c>
      <c r="AD858" s="7" t="str">
        <f>IF(COUNTIF($A:$A, A858)&gt;1, "Duplicate", "Unique")</f>
        <v>Unique</v>
      </c>
      <c r="AE858" s="7" t="str">
        <f>IF(G858="","Unknown",G858)</f>
        <v>South</v>
      </c>
      <c r="AF858" s="7" t="str">
        <f>IF(M858="","Unknown",M858)</f>
        <v>Standard Class</v>
      </c>
      <c r="AG858" s="7" t="str">
        <f>IF(P858&lt;0,"Invalid",
IF(P858&gt;1,"Invalid","Valid"))</f>
        <v>Invalid</v>
      </c>
      <c r="AH858" s="7" t="str">
        <f>TEXT(B858,"mmmm")</f>
        <v>December</v>
      </c>
      <c r="AI858" s="7">
        <f t="shared" si="81"/>
        <v>2024</v>
      </c>
      <c r="AJ858" s="7" t="str">
        <f>IF(OR(R858&lt;0,C858&lt;B858),"Invalid",
IF(OR(G858="Unknown",M858="Unknown"),"Warning","Clean"))</f>
        <v>Clean</v>
      </c>
      <c r="AK858" s="7" t="str">
        <f>IF(C858&lt;B858,"Ship Before Order","OK")</f>
        <v>OK</v>
      </c>
      <c r="AL858" s="7" t="str">
        <f>IF(ISNUMBER(B858),"Valid","Invalid")</f>
        <v>Valid</v>
      </c>
      <c r="AM858" s="7" t="str">
        <f t="shared" si="82"/>
        <v>Missmatched</v>
      </c>
      <c r="AN858" s="7" t="str">
        <f t="shared" si="83"/>
        <v>Missmatched</v>
      </c>
    </row>
    <row r="859" spans="1:40">
      <c r="A859" t="s">
        <v>2640</v>
      </c>
      <c r="B859" s="6">
        <v>45388</v>
      </c>
      <c r="C859" s="4">
        <v>46357</v>
      </c>
      <c r="D859" t="s">
        <v>2147</v>
      </c>
      <c r="E859" t="s">
        <v>132</v>
      </c>
      <c r="F859" t="s">
        <v>95</v>
      </c>
      <c r="G859" t="s">
        <v>54</v>
      </c>
      <c r="H859" t="s">
        <v>185</v>
      </c>
      <c r="I859" t="s">
        <v>186</v>
      </c>
      <c r="J859" t="s">
        <v>28</v>
      </c>
      <c r="K859" t="s">
        <v>124</v>
      </c>
      <c r="L859" t="s">
        <v>2641</v>
      </c>
      <c r="M859" t="s">
        <v>50</v>
      </c>
      <c r="N859">
        <v>6</v>
      </c>
      <c r="O859">
        <v>2708.97</v>
      </c>
      <c r="P859">
        <v>0.25</v>
      </c>
      <c r="Q859" s="7">
        <f>IF(P859="", 0, P859)</f>
        <v>0.25</v>
      </c>
      <c r="R859">
        <v>12190.36</v>
      </c>
      <c r="S859">
        <v>10176.99</v>
      </c>
      <c r="T859" s="7">
        <f>N859*O859*(1-Q859)</f>
        <v>12190.365</v>
      </c>
      <c r="U859" s="7">
        <f t="shared" si="78"/>
        <v>2013.375</v>
      </c>
      <c r="V859">
        <v>2013.37</v>
      </c>
      <c r="W859" s="12">
        <f t="shared" si="79"/>
        <v>0.16516117441930575</v>
      </c>
      <c r="X859" t="s">
        <v>32</v>
      </c>
      <c r="Y859" t="str">
        <f t="shared" si="80"/>
        <v>Paid</v>
      </c>
      <c r="Z859" t="s">
        <v>33</v>
      </c>
      <c r="AA859">
        <f>C859-B859</f>
        <v>969</v>
      </c>
      <c r="AB859" t="str">
        <f>IF(B859="","Missing Order Date",
IF(C859="","Missing Ship Date","OK"))</f>
        <v>OK</v>
      </c>
      <c r="AC859" s="7" t="str">
        <f>IF(C859&lt;B859, "Invalid", "Valid")</f>
        <v>Valid</v>
      </c>
      <c r="AD859" s="7" t="str">
        <f>IF(COUNTIF($A:$A, A859)&gt;1, "Duplicate", "Unique")</f>
        <v>Unique</v>
      </c>
      <c r="AE859" s="7" t="str">
        <f>IF(G859="","Unknown",G859)</f>
        <v>South</v>
      </c>
      <c r="AF859" s="7" t="str">
        <f>IF(M859="","Unknown",M859)</f>
        <v>First Class</v>
      </c>
      <c r="AG859" s="7" t="str">
        <f>IF(P859&lt;0,"Invalid",
IF(P859&gt;1,"Invalid","Valid"))</f>
        <v>Valid</v>
      </c>
      <c r="AH859" s="7" t="str">
        <f>TEXT(B859,"mmmm")</f>
        <v>April</v>
      </c>
      <c r="AI859" s="7">
        <f t="shared" si="81"/>
        <v>2024</v>
      </c>
      <c r="AJ859" s="7" t="str">
        <f>IF(OR(R859&lt;0,C859&lt;B859),"Invalid",
IF(OR(G859="Unknown",M859="Unknown"),"Warning","Clean"))</f>
        <v>Clean</v>
      </c>
      <c r="AK859" s="7" t="str">
        <f>IF(C859&lt;B859,"Ship Before Order","OK")</f>
        <v>OK</v>
      </c>
      <c r="AL859" s="7" t="str">
        <f>IF(ISNUMBER(B859),"Valid","Invalid")</f>
        <v>Valid</v>
      </c>
      <c r="AM859" s="7" t="str">
        <f t="shared" si="82"/>
        <v>Missmatched</v>
      </c>
      <c r="AN859" s="7" t="str">
        <f t="shared" si="83"/>
        <v>Missmatched</v>
      </c>
    </row>
    <row r="860" spans="1:40">
      <c r="A860" t="s">
        <v>2642</v>
      </c>
      <c r="B860" s="6">
        <v>45327</v>
      </c>
      <c r="C860" s="4">
        <v>46358</v>
      </c>
      <c r="D860" t="s">
        <v>2643</v>
      </c>
      <c r="E860" t="s">
        <v>53</v>
      </c>
      <c r="F860" t="s">
        <v>24</v>
      </c>
      <c r="G860" t="s">
        <v>38</v>
      </c>
      <c r="H860" t="s">
        <v>39</v>
      </c>
      <c r="I860" t="s">
        <v>40</v>
      </c>
      <c r="J860" t="s">
        <v>74</v>
      </c>
      <c r="K860" t="s">
        <v>75</v>
      </c>
      <c r="L860" t="s">
        <v>2644</v>
      </c>
      <c r="M860" t="s">
        <v>31</v>
      </c>
      <c r="N860">
        <v>4</v>
      </c>
      <c r="O860">
        <v>2904.86</v>
      </c>
      <c r="P860">
        <v>0</v>
      </c>
      <c r="Q860" s="7">
        <f>IF(P860="", 0, P860)</f>
        <v>0</v>
      </c>
      <c r="R860">
        <v>11619.44</v>
      </c>
      <c r="S860">
        <v>7184.32</v>
      </c>
      <c r="T860" s="7">
        <f>N860*O860*(1-Q860)</f>
        <v>11619.44</v>
      </c>
      <c r="U860" s="7">
        <f t="shared" si="78"/>
        <v>4435.1200000000008</v>
      </c>
      <c r="V860">
        <v>4494.6400000000003</v>
      </c>
      <c r="W860" s="12">
        <f t="shared" si="79"/>
        <v>0.3816982574031107</v>
      </c>
      <c r="X860" t="s">
        <v>32</v>
      </c>
      <c r="Y860" t="str">
        <f t="shared" si="80"/>
        <v>Paid</v>
      </c>
      <c r="Z860" t="s">
        <v>33</v>
      </c>
      <c r="AA860">
        <f>C860-B860</f>
        <v>1031</v>
      </c>
      <c r="AB860" t="str">
        <f>IF(B860="","Missing Order Date",
IF(C860="","Missing Ship Date","OK"))</f>
        <v>OK</v>
      </c>
      <c r="AC860" s="7" t="str">
        <f>IF(C860&lt;B860, "Invalid", "Valid")</f>
        <v>Valid</v>
      </c>
      <c r="AD860" s="7" t="str">
        <f>IF(COUNTIF($A:$A, A860)&gt;1, "Duplicate", "Unique")</f>
        <v>Unique</v>
      </c>
      <c r="AE860" s="7" t="str">
        <f>IF(G860="","Unknown",G860)</f>
        <v>East</v>
      </c>
      <c r="AF860" s="7" t="str">
        <f>IF(M860="","Unknown",M860)</f>
        <v>Second Class</v>
      </c>
      <c r="AG860" s="7" t="str">
        <f>IF(P860&lt;0,"Invalid",
IF(P860&gt;1,"Invalid","Valid"))</f>
        <v>Valid</v>
      </c>
      <c r="AH860" s="7" t="str">
        <f>TEXT(B860,"mmmm")</f>
        <v>February</v>
      </c>
      <c r="AI860" s="7">
        <f t="shared" si="81"/>
        <v>2024</v>
      </c>
      <c r="AJ860" s="7" t="str">
        <f>IF(OR(R860&lt;0,C860&lt;B860),"Invalid",
IF(OR(G860="Unknown",M860="Unknown"),"Warning","Clean"))</f>
        <v>Clean</v>
      </c>
      <c r="AK860" s="7" t="str">
        <f>IF(C860&lt;B860,"Ship Before Order","OK")</f>
        <v>OK</v>
      </c>
      <c r="AL860" s="7" t="str">
        <f>IF(ISNUMBER(B860),"Valid","Invalid")</f>
        <v>Valid</v>
      </c>
      <c r="AM860" s="7" t="str">
        <f t="shared" si="82"/>
        <v>Ok</v>
      </c>
      <c r="AN860" s="7" t="str">
        <f t="shared" si="83"/>
        <v>Missmatched</v>
      </c>
    </row>
    <row r="861" spans="1:40">
      <c r="A861" t="s">
        <v>2645</v>
      </c>
      <c r="B861" s="6">
        <v>45592</v>
      </c>
      <c r="C861" s="4">
        <v>46359</v>
      </c>
      <c r="D861" t="s">
        <v>2646</v>
      </c>
      <c r="E861" t="s">
        <v>89</v>
      </c>
      <c r="F861" t="s">
        <v>90</v>
      </c>
      <c r="G861" t="s">
        <v>54</v>
      </c>
      <c r="H861" t="s">
        <v>247</v>
      </c>
      <c r="I861" t="s">
        <v>248</v>
      </c>
      <c r="J861" t="s">
        <v>74</v>
      </c>
      <c r="K861" t="s">
        <v>171</v>
      </c>
      <c r="L861" t="s">
        <v>2647</v>
      </c>
      <c r="M861" t="s">
        <v>59</v>
      </c>
      <c r="N861">
        <v>6</v>
      </c>
      <c r="O861">
        <v>4399.2</v>
      </c>
      <c r="P861">
        <v>0.05</v>
      </c>
      <c r="Q861" s="7">
        <f>IF(P861="", 0, P861)</f>
        <v>0.05</v>
      </c>
      <c r="R861">
        <v>25075.439999999999</v>
      </c>
      <c r="S861">
        <v>16282.74</v>
      </c>
      <c r="T861" s="7">
        <f>N861*O861*(1-Q861)</f>
        <v>25075.439999999995</v>
      </c>
      <c r="U861" s="7">
        <f t="shared" si="78"/>
        <v>8792.6999999999953</v>
      </c>
      <c r="V861">
        <v>8792.7000000000007</v>
      </c>
      <c r="W861" s="12">
        <f t="shared" si="79"/>
        <v>0.35064987892535471</v>
      </c>
      <c r="X861" t="s">
        <v>32</v>
      </c>
      <c r="Y861" t="str">
        <f t="shared" si="80"/>
        <v>Paid</v>
      </c>
      <c r="Z861" t="s">
        <v>33</v>
      </c>
      <c r="AA861">
        <f>C861-B861</f>
        <v>767</v>
      </c>
      <c r="AB861" t="str">
        <f>IF(B861="","Missing Order Date",
IF(C861="","Missing Ship Date","OK"))</f>
        <v>OK</v>
      </c>
      <c r="AC861" s="7" t="str">
        <f>IF(C861&lt;B861, "Invalid", "Valid")</f>
        <v>Valid</v>
      </c>
      <c r="AD861" s="7" t="str">
        <f>IF(COUNTIF($A:$A, A861)&gt;1, "Duplicate", "Unique")</f>
        <v>Unique</v>
      </c>
      <c r="AE861" s="7" t="str">
        <f>IF(G861="","Unknown",G861)</f>
        <v>South</v>
      </c>
      <c r="AF861" s="7" t="str">
        <f>IF(M861="","Unknown",M861)</f>
        <v>Standard Class</v>
      </c>
      <c r="AG861" s="7" t="str">
        <f>IF(P861&lt;0,"Invalid",
IF(P861&gt;1,"Invalid","Valid"))</f>
        <v>Valid</v>
      </c>
      <c r="AH861" s="7" t="str">
        <f>TEXT(B861,"mmmm")</f>
        <v>October</v>
      </c>
      <c r="AI861" s="7">
        <f t="shared" si="81"/>
        <v>2024</v>
      </c>
      <c r="AJ861" s="7" t="str">
        <f>IF(OR(R861&lt;0,C861&lt;B861),"Invalid",
IF(OR(G861="Unknown",M861="Unknown"),"Warning","Clean"))</f>
        <v>Clean</v>
      </c>
      <c r="AK861" s="7" t="str">
        <f>IF(C861&lt;B861,"Ship Before Order","OK")</f>
        <v>OK</v>
      </c>
      <c r="AL861" s="7" t="str">
        <f>IF(ISNUMBER(B861),"Valid","Invalid")</f>
        <v>Valid</v>
      </c>
      <c r="AM861" s="7" t="str">
        <f t="shared" si="82"/>
        <v>Ok</v>
      </c>
      <c r="AN861" s="7" t="str">
        <f t="shared" si="83"/>
        <v>Ok</v>
      </c>
    </row>
    <row r="862" spans="1:40">
      <c r="A862" t="s">
        <v>2648</v>
      </c>
      <c r="B862" s="6">
        <v>45324</v>
      </c>
      <c r="C862" s="4">
        <v>46360</v>
      </c>
      <c r="D862" t="s">
        <v>2649</v>
      </c>
      <c r="E862" t="s">
        <v>71</v>
      </c>
      <c r="F862" t="s">
        <v>95</v>
      </c>
      <c r="G862" t="s">
        <v>25</v>
      </c>
      <c r="H862" t="s">
        <v>136</v>
      </c>
      <c r="I862" t="s">
        <v>137</v>
      </c>
      <c r="J862" t="s">
        <v>28</v>
      </c>
      <c r="K862" t="s">
        <v>124</v>
      </c>
      <c r="L862" t="s">
        <v>2650</v>
      </c>
      <c r="M862" t="s">
        <v>31</v>
      </c>
      <c r="N862">
        <v>1</v>
      </c>
      <c r="O862">
        <v>4397.32</v>
      </c>
      <c r="P862">
        <v>0.05</v>
      </c>
      <c r="Q862" s="7">
        <f>IF(P862="", 0, P862)</f>
        <v>0.05</v>
      </c>
      <c r="R862">
        <v>4177.45</v>
      </c>
      <c r="S862">
        <v>2299.5</v>
      </c>
      <c r="T862" s="7">
        <f>N862*O862*(1-Q862)</f>
        <v>4177.4539999999997</v>
      </c>
      <c r="U862" s="7">
        <f t="shared" si="78"/>
        <v>1877.9539999999997</v>
      </c>
      <c r="V862">
        <v>1877.95</v>
      </c>
      <c r="W862" s="12">
        <f t="shared" si="79"/>
        <v>0.44954510570313877</v>
      </c>
      <c r="X862" t="s">
        <v>32</v>
      </c>
      <c r="Y862" t="str">
        <f t="shared" si="80"/>
        <v>Paid</v>
      </c>
      <c r="Z862" t="s">
        <v>33</v>
      </c>
      <c r="AA862">
        <f>C862-B862</f>
        <v>1036</v>
      </c>
      <c r="AB862" t="str">
        <f>IF(B862="","Missing Order Date",
IF(C862="","Missing Ship Date","OK"))</f>
        <v>OK</v>
      </c>
      <c r="AC862" s="7" t="str">
        <f>IF(C862&lt;B862, "Invalid", "Valid")</f>
        <v>Valid</v>
      </c>
      <c r="AD862" s="7" t="str">
        <f>IF(COUNTIF($A:$A, A862)&gt;1, "Duplicate", "Unique")</f>
        <v>Unique</v>
      </c>
      <c r="AE862" s="7" t="str">
        <f>IF(G862="","Unknown",G862)</f>
        <v>North</v>
      </c>
      <c r="AF862" s="7" t="str">
        <f>IF(M862="","Unknown",M862)</f>
        <v>Second Class</v>
      </c>
      <c r="AG862" s="7" t="str">
        <f>IF(P862&lt;0,"Invalid",
IF(P862&gt;1,"Invalid","Valid"))</f>
        <v>Valid</v>
      </c>
      <c r="AH862" s="7" t="str">
        <f>TEXT(B862,"mmmm")</f>
        <v>February</v>
      </c>
      <c r="AI862" s="7">
        <f t="shared" si="81"/>
        <v>2024</v>
      </c>
      <c r="AJ862" s="7" t="str">
        <f>IF(OR(R862&lt;0,C862&lt;B862),"Invalid",
IF(OR(G862="Unknown",M862="Unknown"),"Warning","Clean"))</f>
        <v>Clean</v>
      </c>
      <c r="AK862" s="7" t="str">
        <f>IF(C862&lt;B862,"Ship Before Order","OK")</f>
        <v>OK</v>
      </c>
      <c r="AL862" s="7" t="str">
        <f>IF(ISNUMBER(B862),"Valid","Invalid")</f>
        <v>Valid</v>
      </c>
      <c r="AM862" s="7" t="str">
        <f t="shared" si="82"/>
        <v>Missmatched</v>
      </c>
      <c r="AN862" s="7" t="str">
        <f t="shared" si="83"/>
        <v>Missmatched</v>
      </c>
    </row>
    <row r="863" spans="1:40">
      <c r="A863" t="s">
        <v>2651</v>
      </c>
      <c r="B863" s="6">
        <v>45872</v>
      </c>
      <c r="C863" s="4">
        <v>46361</v>
      </c>
      <c r="D863" t="s">
        <v>2652</v>
      </c>
      <c r="E863" t="s">
        <v>114</v>
      </c>
      <c r="F863" t="s">
        <v>95</v>
      </c>
      <c r="G863" t="s">
        <v>25</v>
      </c>
      <c r="H863" t="s">
        <v>350</v>
      </c>
      <c r="I863" t="s">
        <v>351</v>
      </c>
      <c r="J863" t="s">
        <v>41</v>
      </c>
      <c r="K863" t="s">
        <v>57</v>
      </c>
      <c r="L863" t="s">
        <v>2653</v>
      </c>
      <c r="M863" t="s">
        <v>44</v>
      </c>
      <c r="N863">
        <v>4</v>
      </c>
      <c r="O863">
        <v>3405.68</v>
      </c>
      <c r="P863">
        <v>0.2</v>
      </c>
      <c r="Q863" s="7">
        <f>IF(P863="", 0, P863)</f>
        <v>0.2</v>
      </c>
      <c r="R863">
        <v>10898.18</v>
      </c>
      <c r="S863">
        <v>6231.41</v>
      </c>
      <c r="T863" s="7">
        <f>N863*O863*(1-Q863)</f>
        <v>10898.175999999999</v>
      </c>
      <c r="U863" s="7">
        <f t="shared" si="78"/>
        <v>4666.7659999999996</v>
      </c>
      <c r="V863">
        <v>4666.7700000000004</v>
      </c>
      <c r="W863" s="12">
        <f t="shared" si="79"/>
        <v>0.42821532704188298</v>
      </c>
      <c r="X863" t="s">
        <v>32</v>
      </c>
      <c r="Y863" t="str">
        <f t="shared" si="80"/>
        <v>Paid</v>
      </c>
      <c r="Z863" t="s">
        <v>33</v>
      </c>
      <c r="AA863">
        <f>C863-B863</f>
        <v>489</v>
      </c>
      <c r="AB863" t="str">
        <f>IF(B863="","Missing Order Date",
IF(C863="","Missing Ship Date","OK"))</f>
        <v>OK</v>
      </c>
      <c r="AC863" s="7" t="str">
        <f>IF(C863&lt;B863, "Invalid", "Valid")</f>
        <v>Valid</v>
      </c>
      <c r="AD863" s="7" t="str">
        <f>IF(COUNTIF($A:$A, A863)&gt;1, "Duplicate", "Unique")</f>
        <v>Unique</v>
      </c>
      <c r="AE863" s="7" t="str">
        <f>IF(G863="","Unknown",G863)</f>
        <v>North</v>
      </c>
      <c r="AF863" s="7" t="str">
        <f>IF(M863="","Unknown",M863)</f>
        <v>Same Day</v>
      </c>
      <c r="AG863" s="7" t="str">
        <f>IF(P863&lt;0,"Invalid",
IF(P863&gt;1,"Invalid","Valid"))</f>
        <v>Valid</v>
      </c>
      <c r="AH863" s="7" t="str">
        <f>TEXT(B863,"mmmm")</f>
        <v>August</v>
      </c>
      <c r="AI863" s="7">
        <f t="shared" si="81"/>
        <v>2025</v>
      </c>
      <c r="AJ863" s="7" t="str">
        <f>IF(OR(R863&lt;0,C863&lt;B863),"Invalid",
IF(OR(G863="Unknown",M863="Unknown"),"Warning","Clean"))</f>
        <v>Clean</v>
      </c>
      <c r="AK863" s="7" t="str">
        <f>IF(C863&lt;B863,"Ship Before Order","OK")</f>
        <v>OK</v>
      </c>
      <c r="AL863" s="7" t="str">
        <f>IF(ISNUMBER(B863),"Valid","Invalid")</f>
        <v>Valid</v>
      </c>
      <c r="AM863" s="7" t="str">
        <f t="shared" si="82"/>
        <v>Missmatched</v>
      </c>
      <c r="AN863" s="7" t="str">
        <f t="shared" si="83"/>
        <v>Missmatched</v>
      </c>
    </row>
    <row r="864" spans="1:40">
      <c r="A864" t="s">
        <v>2654</v>
      </c>
      <c r="B864" s="6">
        <v>45742</v>
      </c>
      <c r="C864" s="4">
        <v>46362</v>
      </c>
      <c r="D864" t="s">
        <v>2655</v>
      </c>
      <c r="E864" t="s">
        <v>114</v>
      </c>
      <c r="F864" t="s">
        <v>37</v>
      </c>
      <c r="G864" t="s">
        <v>38</v>
      </c>
      <c r="H864" t="s">
        <v>228</v>
      </c>
      <c r="I864" t="s">
        <v>229</v>
      </c>
      <c r="J864" t="s">
        <v>28</v>
      </c>
      <c r="K864" t="s">
        <v>153</v>
      </c>
      <c r="L864" t="s">
        <v>2656</v>
      </c>
      <c r="M864" t="s">
        <v>50</v>
      </c>
      <c r="N864">
        <v>5</v>
      </c>
      <c r="O864">
        <v>1395.14</v>
      </c>
      <c r="P864">
        <v>0</v>
      </c>
      <c r="Q864" s="7">
        <f>IF(P864="", 0, P864)</f>
        <v>0</v>
      </c>
      <c r="R864">
        <v>6975.7</v>
      </c>
      <c r="S864">
        <v>4797.88</v>
      </c>
      <c r="T864" s="7">
        <f>N864*O864*(1-Q864)</f>
        <v>6975.7000000000007</v>
      </c>
      <c r="U864" s="7">
        <f t="shared" si="78"/>
        <v>2177.8200000000006</v>
      </c>
      <c r="V864">
        <v>2177.8200000000002</v>
      </c>
      <c r="W864" s="12">
        <f t="shared" si="79"/>
        <v>0.3122009260719355</v>
      </c>
      <c r="X864" t="s">
        <v>32</v>
      </c>
      <c r="Y864" t="str">
        <f t="shared" si="80"/>
        <v>Paid</v>
      </c>
      <c r="Z864" t="s">
        <v>68</v>
      </c>
      <c r="AA864">
        <f>C864-B864</f>
        <v>620</v>
      </c>
      <c r="AB864" t="str">
        <f>IF(B864="","Missing Order Date",
IF(C864="","Missing Ship Date","OK"))</f>
        <v>OK</v>
      </c>
      <c r="AC864" s="7" t="str">
        <f>IF(C864&lt;B864, "Invalid", "Valid")</f>
        <v>Valid</v>
      </c>
      <c r="AD864" s="7" t="str">
        <f>IF(COUNTIF($A:$A, A864)&gt;1, "Duplicate", "Unique")</f>
        <v>Unique</v>
      </c>
      <c r="AE864" s="7" t="str">
        <f>IF(G864="","Unknown",G864)</f>
        <v>East</v>
      </c>
      <c r="AF864" s="7" t="str">
        <f>IF(M864="","Unknown",M864)</f>
        <v>First Class</v>
      </c>
      <c r="AG864" s="7" t="str">
        <f>IF(P864&lt;0,"Invalid",
IF(P864&gt;1,"Invalid","Valid"))</f>
        <v>Valid</v>
      </c>
      <c r="AH864" s="7" t="str">
        <f>TEXT(B864,"mmmm")</f>
        <v>March</v>
      </c>
      <c r="AI864" s="7">
        <f t="shared" si="81"/>
        <v>2025</v>
      </c>
      <c r="AJ864" s="7" t="str">
        <f>IF(OR(R864&lt;0,C864&lt;B864),"Invalid",
IF(OR(G864="Unknown",M864="Unknown"),"Warning","Clean"))</f>
        <v>Clean</v>
      </c>
      <c r="AK864" s="7" t="str">
        <f>IF(C864&lt;B864,"Ship Before Order","OK")</f>
        <v>OK</v>
      </c>
      <c r="AL864" s="7" t="str">
        <f>IF(ISNUMBER(B864),"Valid","Invalid")</f>
        <v>Valid</v>
      </c>
      <c r="AM864" s="7" t="str">
        <f t="shared" si="82"/>
        <v>Ok</v>
      </c>
      <c r="AN864" s="7" t="str">
        <f t="shared" si="83"/>
        <v>Ok</v>
      </c>
    </row>
    <row r="865" spans="1:40">
      <c r="A865" t="s">
        <v>2657</v>
      </c>
      <c r="B865" s="6">
        <v>45817</v>
      </c>
      <c r="C865" s="4">
        <v>46363</v>
      </c>
      <c r="D865" t="s">
        <v>2658</v>
      </c>
      <c r="E865" t="s">
        <v>128</v>
      </c>
      <c r="F865" t="s">
        <v>95</v>
      </c>
      <c r="G865" t="s">
        <v>63</v>
      </c>
      <c r="H865" t="s">
        <v>72</v>
      </c>
      <c r="I865" t="s">
        <v>73</v>
      </c>
      <c r="J865" t="s">
        <v>41</v>
      </c>
      <c r="K865" t="s">
        <v>57</v>
      </c>
      <c r="L865" t="s">
        <v>2659</v>
      </c>
      <c r="M865" t="s">
        <v>44</v>
      </c>
      <c r="N865">
        <v>3</v>
      </c>
      <c r="O865">
        <v>2937.23</v>
      </c>
      <c r="P865">
        <v>0</v>
      </c>
      <c r="Q865" s="7">
        <f>IF(P865="", 0, P865)</f>
        <v>0</v>
      </c>
      <c r="R865">
        <v>8811.69</v>
      </c>
      <c r="S865">
        <v>6765.91</v>
      </c>
      <c r="T865" s="7">
        <f>N865*O865*(1-Q865)</f>
        <v>8811.69</v>
      </c>
      <c r="U865" s="7">
        <f t="shared" si="78"/>
        <v>2045.7800000000007</v>
      </c>
      <c r="V865">
        <v>2045.78</v>
      </c>
      <c r="W865" s="12">
        <f t="shared" si="79"/>
        <v>0.23216658779416893</v>
      </c>
      <c r="X865" t="s">
        <v>32</v>
      </c>
      <c r="Y865" t="str">
        <f t="shared" si="80"/>
        <v>Paid</v>
      </c>
      <c r="Z865" t="s">
        <v>33</v>
      </c>
      <c r="AA865">
        <f>C865-B865</f>
        <v>546</v>
      </c>
      <c r="AB865" t="str">
        <f>IF(B865="","Missing Order Date",
IF(C865="","Missing Ship Date","OK"))</f>
        <v>OK</v>
      </c>
      <c r="AC865" s="7" t="str">
        <f>IF(C865&lt;B865, "Invalid", "Valid")</f>
        <v>Valid</v>
      </c>
      <c r="AD865" s="7" t="str">
        <f>IF(COUNTIF($A:$A, A865)&gt;1, "Duplicate", "Unique")</f>
        <v>Unique</v>
      </c>
      <c r="AE865" s="7" t="str">
        <f>IF(G865="","Unknown",G865)</f>
        <v>West</v>
      </c>
      <c r="AF865" s="7" t="str">
        <f>IF(M865="","Unknown",M865)</f>
        <v>Same Day</v>
      </c>
      <c r="AG865" s="7" t="str">
        <f>IF(P865&lt;0,"Invalid",
IF(P865&gt;1,"Invalid","Valid"))</f>
        <v>Valid</v>
      </c>
      <c r="AH865" s="7" t="str">
        <f>TEXT(B865,"mmmm")</f>
        <v>June</v>
      </c>
      <c r="AI865" s="7">
        <f t="shared" si="81"/>
        <v>2025</v>
      </c>
      <c r="AJ865" s="7" t="str">
        <f>IF(OR(R865&lt;0,C865&lt;B865),"Invalid",
IF(OR(G865="Unknown",M865="Unknown"),"Warning","Clean"))</f>
        <v>Clean</v>
      </c>
      <c r="AK865" s="7" t="str">
        <f>IF(C865&lt;B865,"Ship Before Order","OK")</f>
        <v>OK</v>
      </c>
      <c r="AL865" s="7" t="str">
        <f>IF(ISNUMBER(B865),"Valid","Invalid")</f>
        <v>Valid</v>
      </c>
      <c r="AM865" s="7" t="str">
        <f t="shared" si="82"/>
        <v>Ok</v>
      </c>
      <c r="AN865" s="7" t="str">
        <f t="shared" si="83"/>
        <v>Ok</v>
      </c>
    </row>
    <row r="866" spans="1:40">
      <c r="A866" t="s">
        <v>2660</v>
      </c>
      <c r="B866" s="6">
        <v>45697</v>
      </c>
      <c r="C866" s="4">
        <v>46364</v>
      </c>
      <c r="D866" t="s">
        <v>2661</v>
      </c>
      <c r="E866" t="s">
        <v>71</v>
      </c>
      <c r="F866" t="s">
        <v>24</v>
      </c>
      <c r="G866" t="s">
        <v>54</v>
      </c>
      <c r="H866" t="s">
        <v>247</v>
      </c>
      <c r="I866" t="s">
        <v>248</v>
      </c>
      <c r="J866" t="s">
        <v>74</v>
      </c>
      <c r="K866" t="s">
        <v>171</v>
      </c>
      <c r="L866" t="s">
        <v>2662</v>
      </c>
      <c r="M866" t="s">
        <v>50</v>
      </c>
      <c r="N866">
        <v>5</v>
      </c>
      <c r="O866">
        <v>3406.87</v>
      </c>
      <c r="P866">
        <v>0</v>
      </c>
      <c r="Q866" s="7">
        <f>IF(P866="", 0, P866)</f>
        <v>0</v>
      </c>
      <c r="R866">
        <v>17034.349999999999</v>
      </c>
      <c r="S866">
        <v>14631.36</v>
      </c>
      <c r="T866" s="7">
        <f>N866*O866*(1-Q866)</f>
        <v>17034.349999999999</v>
      </c>
      <c r="U866" s="7">
        <f t="shared" si="78"/>
        <v>2402.989999999998</v>
      </c>
      <c r="V866">
        <v>2402.9899999999998</v>
      </c>
      <c r="W866" s="12">
        <f t="shared" si="79"/>
        <v>0.14106731398615141</v>
      </c>
      <c r="X866" t="s">
        <v>32</v>
      </c>
      <c r="Y866" t="str">
        <f t="shared" si="80"/>
        <v>Paid</v>
      </c>
      <c r="Z866" t="s">
        <v>33</v>
      </c>
      <c r="AA866">
        <f>C866-B866</f>
        <v>667</v>
      </c>
      <c r="AB866" t="str">
        <f>IF(B866="","Missing Order Date",
IF(C866="","Missing Ship Date","OK"))</f>
        <v>OK</v>
      </c>
      <c r="AC866" s="7" t="str">
        <f>IF(C866&lt;B866, "Invalid", "Valid")</f>
        <v>Valid</v>
      </c>
      <c r="AD866" s="7" t="str">
        <f>IF(COUNTIF($A:$A, A866)&gt;1, "Duplicate", "Unique")</f>
        <v>Unique</v>
      </c>
      <c r="AE866" s="7" t="str">
        <f>IF(G866="","Unknown",G866)</f>
        <v>South</v>
      </c>
      <c r="AF866" s="7" t="str">
        <f>IF(M866="","Unknown",M866)</f>
        <v>First Class</v>
      </c>
      <c r="AG866" s="7" t="str">
        <f>IF(P866&lt;0,"Invalid",
IF(P866&gt;1,"Invalid","Valid"))</f>
        <v>Valid</v>
      </c>
      <c r="AH866" s="7" t="str">
        <f>TEXT(B866,"mmmm")</f>
        <v>February</v>
      </c>
      <c r="AI866" s="7">
        <f t="shared" si="81"/>
        <v>2025</v>
      </c>
      <c r="AJ866" s="7" t="str">
        <f>IF(OR(R866&lt;0,C866&lt;B866),"Invalid",
IF(OR(G866="Unknown",M866="Unknown"),"Warning","Clean"))</f>
        <v>Clean</v>
      </c>
      <c r="AK866" s="7" t="str">
        <f>IF(C866&lt;B866,"Ship Before Order","OK")</f>
        <v>OK</v>
      </c>
      <c r="AL866" s="7" t="str">
        <f>IF(ISNUMBER(B866),"Valid","Invalid")</f>
        <v>Valid</v>
      </c>
      <c r="AM866" s="7" t="str">
        <f t="shared" si="82"/>
        <v>Ok</v>
      </c>
      <c r="AN866" s="7" t="str">
        <f t="shared" si="83"/>
        <v>Ok</v>
      </c>
    </row>
    <row r="867" spans="1:40">
      <c r="A867" t="s">
        <v>2663</v>
      </c>
      <c r="B867" s="6">
        <v>45694</v>
      </c>
      <c r="C867" s="4">
        <v>46365</v>
      </c>
      <c r="D867" t="s">
        <v>2664</v>
      </c>
      <c r="E867" t="s">
        <v>264</v>
      </c>
      <c r="F867" t="s">
        <v>24</v>
      </c>
      <c r="G867" t="s">
        <v>63</v>
      </c>
      <c r="H867" t="s">
        <v>64</v>
      </c>
      <c r="I867" t="s">
        <v>65</v>
      </c>
      <c r="J867" t="s">
        <v>28</v>
      </c>
      <c r="K867" t="s">
        <v>91</v>
      </c>
      <c r="L867" t="s">
        <v>2665</v>
      </c>
      <c r="M867" t="s">
        <v>31</v>
      </c>
      <c r="N867">
        <v>2</v>
      </c>
      <c r="O867">
        <v>3992.04</v>
      </c>
      <c r="P867">
        <v>0</v>
      </c>
      <c r="Q867" s="7">
        <f>IF(P867="", 0, P867)</f>
        <v>0</v>
      </c>
      <c r="R867">
        <v>7984.08</v>
      </c>
      <c r="S867">
        <v>5658.05</v>
      </c>
      <c r="T867" s="7">
        <f>N867*O867*(1-Q867)</f>
        <v>7984.08</v>
      </c>
      <c r="U867" s="7">
        <f t="shared" si="78"/>
        <v>2326.0299999999997</v>
      </c>
      <c r="V867">
        <v>2326.0300000000002</v>
      </c>
      <c r="W867" s="12">
        <f t="shared" si="79"/>
        <v>0.29133350367230787</v>
      </c>
      <c r="X867" t="s">
        <v>32</v>
      </c>
      <c r="Y867" t="str">
        <f t="shared" si="80"/>
        <v>Paid</v>
      </c>
      <c r="Z867" t="s">
        <v>33</v>
      </c>
      <c r="AA867">
        <f>C867-B867</f>
        <v>671</v>
      </c>
      <c r="AB867" t="str">
        <f>IF(B867="","Missing Order Date",
IF(C867="","Missing Ship Date","OK"))</f>
        <v>OK</v>
      </c>
      <c r="AC867" s="7" t="str">
        <f>IF(C867&lt;B867, "Invalid", "Valid")</f>
        <v>Valid</v>
      </c>
      <c r="AD867" s="7" t="str">
        <f>IF(COUNTIF($A:$A, A867)&gt;1, "Duplicate", "Unique")</f>
        <v>Unique</v>
      </c>
      <c r="AE867" s="7" t="str">
        <f>IF(G867="","Unknown",G867)</f>
        <v>West</v>
      </c>
      <c r="AF867" s="7" t="str">
        <f>IF(M867="","Unknown",M867)</f>
        <v>Second Class</v>
      </c>
      <c r="AG867" s="7" t="str">
        <f>IF(P867&lt;0,"Invalid",
IF(P867&gt;1,"Invalid","Valid"))</f>
        <v>Valid</v>
      </c>
      <c r="AH867" s="7" t="str">
        <f>TEXT(B867,"mmmm")</f>
        <v>February</v>
      </c>
      <c r="AI867" s="7">
        <f t="shared" si="81"/>
        <v>2025</v>
      </c>
      <c r="AJ867" s="7" t="str">
        <f>IF(OR(R867&lt;0,C867&lt;B867),"Invalid",
IF(OR(G867="Unknown",M867="Unknown"),"Warning","Clean"))</f>
        <v>Clean</v>
      </c>
      <c r="AK867" s="7" t="str">
        <f>IF(C867&lt;B867,"Ship Before Order","OK")</f>
        <v>OK</v>
      </c>
      <c r="AL867" s="7" t="str">
        <f>IF(ISNUMBER(B867),"Valid","Invalid")</f>
        <v>Valid</v>
      </c>
      <c r="AM867" s="7" t="str">
        <f t="shared" si="82"/>
        <v>Ok</v>
      </c>
      <c r="AN867" s="7" t="str">
        <f t="shared" si="83"/>
        <v>Ok</v>
      </c>
    </row>
    <row r="868" spans="1:40">
      <c r="A868" t="s">
        <v>2666</v>
      </c>
      <c r="B868" s="6">
        <v>45714</v>
      </c>
      <c r="C868" s="4">
        <v>46366</v>
      </c>
      <c r="D868" t="s">
        <v>2667</v>
      </c>
      <c r="E868" t="s">
        <v>114</v>
      </c>
      <c r="F868" t="s">
        <v>24</v>
      </c>
      <c r="G868" t="s">
        <v>38</v>
      </c>
      <c r="H868" t="s">
        <v>145</v>
      </c>
      <c r="I868" t="s">
        <v>146</v>
      </c>
      <c r="J868" t="s">
        <v>41</v>
      </c>
      <c r="K868" t="s">
        <v>158</v>
      </c>
      <c r="L868" t="s">
        <v>2668</v>
      </c>
      <c r="M868" t="s">
        <v>50</v>
      </c>
      <c r="N868">
        <v>9</v>
      </c>
      <c r="O868">
        <v>3043.37</v>
      </c>
      <c r="P868">
        <v>0.2</v>
      </c>
      <c r="Q868" s="7">
        <f>IF(P868="", 0, P868)</f>
        <v>0.2</v>
      </c>
      <c r="R868">
        <v>21912.26</v>
      </c>
      <c r="S868">
        <v>16367.78</v>
      </c>
      <c r="T868" s="7">
        <f>N868*O868*(1-Q868)</f>
        <v>21912.263999999999</v>
      </c>
      <c r="U868" s="7">
        <f t="shared" si="78"/>
        <v>5544.4839999999986</v>
      </c>
      <c r="V868">
        <v>5544.48</v>
      </c>
      <c r="W868" s="12">
        <f t="shared" si="79"/>
        <v>0.25303108797885965</v>
      </c>
      <c r="X868" t="s">
        <v>111</v>
      </c>
      <c r="Y868" t="str">
        <f t="shared" si="80"/>
        <v>Pending</v>
      </c>
      <c r="Z868" t="s">
        <v>68</v>
      </c>
      <c r="AA868">
        <f>C868-B868</f>
        <v>652</v>
      </c>
      <c r="AB868" t="str">
        <f>IF(B868="","Missing Order Date",
IF(C868="","Missing Ship Date","OK"))</f>
        <v>OK</v>
      </c>
      <c r="AC868" s="7" t="str">
        <f>IF(C868&lt;B868, "Invalid", "Valid")</f>
        <v>Valid</v>
      </c>
      <c r="AD868" s="7" t="str">
        <f>IF(COUNTIF($A:$A, A868)&gt;1, "Duplicate", "Unique")</f>
        <v>Unique</v>
      </c>
      <c r="AE868" s="7" t="str">
        <f>IF(G868="","Unknown",G868)</f>
        <v>East</v>
      </c>
      <c r="AF868" s="7" t="str">
        <f>IF(M868="","Unknown",M868)</f>
        <v>First Class</v>
      </c>
      <c r="AG868" s="7" t="str">
        <f>IF(P868&lt;0,"Invalid",
IF(P868&gt;1,"Invalid","Valid"))</f>
        <v>Valid</v>
      </c>
      <c r="AH868" s="7" t="str">
        <f>TEXT(B868,"mmmm")</f>
        <v>February</v>
      </c>
      <c r="AI868" s="7">
        <f t="shared" si="81"/>
        <v>2025</v>
      </c>
      <c r="AJ868" s="7" t="str">
        <f>IF(OR(R868&lt;0,C868&lt;B868),"Invalid",
IF(OR(G868="Unknown",M868="Unknown"),"Warning","Clean"))</f>
        <v>Clean</v>
      </c>
      <c r="AK868" s="7" t="str">
        <f>IF(C868&lt;B868,"Ship Before Order","OK")</f>
        <v>OK</v>
      </c>
      <c r="AL868" s="7" t="str">
        <f>IF(ISNUMBER(B868),"Valid","Invalid")</f>
        <v>Valid</v>
      </c>
      <c r="AM868" s="7" t="str">
        <f t="shared" si="82"/>
        <v>Missmatched</v>
      </c>
      <c r="AN868" s="7" t="str">
        <f t="shared" si="83"/>
        <v>Missmatched</v>
      </c>
    </row>
    <row r="869" spans="1:40">
      <c r="A869" t="s">
        <v>2669</v>
      </c>
      <c r="B869" s="6">
        <v>45617</v>
      </c>
      <c r="C869" s="4">
        <v>46367</v>
      </c>
      <c r="D869" t="s">
        <v>2670</v>
      </c>
      <c r="E869" t="s">
        <v>118</v>
      </c>
      <c r="F869" t="s">
        <v>95</v>
      </c>
      <c r="G869" t="s">
        <v>54</v>
      </c>
      <c r="H869" t="s">
        <v>84</v>
      </c>
      <c r="I869" t="s">
        <v>85</v>
      </c>
      <c r="J869" t="s">
        <v>74</v>
      </c>
      <c r="K869" t="s">
        <v>75</v>
      </c>
      <c r="L869" t="s">
        <v>2671</v>
      </c>
      <c r="M869" t="s">
        <v>44</v>
      </c>
      <c r="N869">
        <v>6</v>
      </c>
      <c r="O869">
        <v>1043.49</v>
      </c>
      <c r="P869">
        <v>0.25</v>
      </c>
      <c r="Q869" s="7">
        <f>IF(P869="", 0, P869)</f>
        <v>0.25</v>
      </c>
      <c r="R869">
        <v>4695.7</v>
      </c>
      <c r="S869">
        <v>3871.69</v>
      </c>
      <c r="T869" s="7">
        <f>N869*O869*(1-Q869)</f>
        <v>4695.7049999999999</v>
      </c>
      <c r="U869" s="7">
        <f t="shared" si="78"/>
        <v>824.01499999999987</v>
      </c>
      <c r="V869">
        <v>824.01</v>
      </c>
      <c r="W869" s="12">
        <f t="shared" si="79"/>
        <v>0.17548270174553127</v>
      </c>
      <c r="X869" t="s">
        <v>155</v>
      </c>
      <c r="Y869" t="str">
        <f t="shared" si="80"/>
        <v>Failed</v>
      </c>
      <c r="Z869" t="s">
        <v>68</v>
      </c>
      <c r="AA869">
        <f>C869-B869</f>
        <v>750</v>
      </c>
      <c r="AB869" t="str">
        <f>IF(B869="","Missing Order Date",
IF(C869="","Missing Ship Date","OK"))</f>
        <v>OK</v>
      </c>
      <c r="AC869" s="7" t="str">
        <f>IF(C869&lt;B869, "Invalid", "Valid")</f>
        <v>Valid</v>
      </c>
      <c r="AD869" s="7" t="str">
        <f>IF(COUNTIF($A:$A, A869)&gt;1, "Duplicate", "Unique")</f>
        <v>Unique</v>
      </c>
      <c r="AE869" s="7" t="str">
        <f>IF(G869="","Unknown",G869)</f>
        <v>South</v>
      </c>
      <c r="AF869" s="7" t="str">
        <f>IF(M869="","Unknown",M869)</f>
        <v>Same Day</v>
      </c>
      <c r="AG869" s="7" t="str">
        <f>IF(P869&lt;0,"Invalid",
IF(P869&gt;1,"Invalid","Valid"))</f>
        <v>Valid</v>
      </c>
      <c r="AH869" s="7" t="str">
        <f>TEXT(B869,"mmmm")</f>
        <v>November</v>
      </c>
      <c r="AI869" s="7">
        <f t="shared" si="81"/>
        <v>2024</v>
      </c>
      <c r="AJ869" s="7" t="str">
        <f>IF(OR(R869&lt;0,C869&lt;B869),"Invalid",
IF(OR(G869="Unknown",M869="Unknown"),"Warning","Clean"))</f>
        <v>Clean</v>
      </c>
      <c r="AK869" s="7" t="str">
        <f>IF(C869&lt;B869,"Ship Before Order","OK")</f>
        <v>OK</v>
      </c>
      <c r="AL869" s="7" t="str">
        <f>IF(ISNUMBER(B869),"Valid","Invalid")</f>
        <v>Valid</v>
      </c>
      <c r="AM869" s="7" t="str">
        <f t="shared" si="82"/>
        <v>Missmatched</v>
      </c>
      <c r="AN869" s="7" t="str">
        <f t="shared" si="83"/>
        <v>Missmatched</v>
      </c>
    </row>
    <row r="870" spans="1:40">
      <c r="A870" t="s">
        <v>2672</v>
      </c>
      <c r="B870" s="6">
        <v>45758</v>
      </c>
      <c r="C870" s="4">
        <v>46368</v>
      </c>
      <c r="D870" t="s">
        <v>2673</v>
      </c>
      <c r="E870" t="s">
        <v>71</v>
      </c>
      <c r="F870" t="s">
        <v>95</v>
      </c>
      <c r="G870" t="s">
        <v>54</v>
      </c>
      <c r="H870" t="s">
        <v>175</v>
      </c>
      <c r="I870" t="s">
        <v>176</v>
      </c>
      <c r="J870" t="s">
        <v>28</v>
      </c>
      <c r="K870" t="s">
        <v>124</v>
      </c>
      <c r="L870" t="s">
        <v>2674</v>
      </c>
      <c r="M870" t="s">
        <v>44</v>
      </c>
      <c r="N870">
        <v>9</v>
      </c>
      <c r="O870">
        <v>224.94</v>
      </c>
      <c r="P870">
        <v>0.05</v>
      </c>
      <c r="Q870" s="7">
        <f>IF(P870="", 0, P870)</f>
        <v>0.05</v>
      </c>
      <c r="R870">
        <v>1923.24</v>
      </c>
      <c r="S870">
        <v>1093.6600000000001</v>
      </c>
      <c r="T870" s="7">
        <f>N870*O870*(1-Q870)</f>
        <v>1923.2369999999999</v>
      </c>
      <c r="U870" s="7">
        <f t="shared" si="78"/>
        <v>829.57699999999977</v>
      </c>
      <c r="V870">
        <v>829.58</v>
      </c>
      <c r="W870" s="12">
        <f t="shared" si="79"/>
        <v>0.43134413491420964</v>
      </c>
      <c r="X870" t="s">
        <v>32</v>
      </c>
      <c r="Y870" t="str">
        <f t="shared" si="80"/>
        <v>Paid</v>
      </c>
      <c r="Z870" t="s">
        <v>33</v>
      </c>
      <c r="AA870">
        <f>C870-B870</f>
        <v>610</v>
      </c>
      <c r="AB870" t="str">
        <f>IF(B870="","Missing Order Date",
IF(C870="","Missing Ship Date","OK"))</f>
        <v>OK</v>
      </c>
      <c r="AC870" s="7" t="str">
        <f>IF(C870&lt;B870, "Invalid", "Valid")</f>
        <v>Valid</v>
      </c>
      <c r="AD870" s="7" t="str">
        <f>IF(COUNTIF($A:$A, A870)&gt;1, "Duplicate", "Unique")</f>
        <v>Unique</v>
      </c>
      <c r="AE870" s="7" t="str">
        <f>IF(G870="","Unknown",G870)</f>
        <v>South</v>
      </c>
      <c r="AF870" s="7" t="str">
        <f>IF(M870="","Unknown",M870)</f>
        <v>Same Day</v>
      </c>
      <c r="AG870" s="7" t="str">
        <f>IF(P870&lt;0,"Invalid",
IF(P870&gt;1,"Invalid","Valid"))</f>
        <v>Valid</v>
      </c>
      <c r="AH870" s="7" t="str">
        <f>TEXT(B870,"mmmm")</f>
        <v>April</v>
      </c>
      <c r="AI870" s="7">
        <f t="shared" si="81"/>
        <v>2025</v>
      </c>
      <c r="AJ870" s="7" t="str">
        <f>IF(OR(R870&lt;0,C870&lt;B870),"Invalid",
IF(OR(G870="Unknown",M870="Unknown"),"Warning","Clean"))</f>
        <v>Clean</v>
      </c>
      <c r="AK870" s="7" t="str">
        <f>IF(C870&lt;B870,"Ship Before Order","OK")</f>
        <v>OK</v>
      </c>
      <c r="AL870" s="7" t="str">
        <f>IF(ISNUMBER(B870),"Valid","Invalid")</f>
        <v>Valid</v>
      </c>
      <c r="AM870" s="7" t="str">
        <f t="shared" si="82"/>
        <v>Missmatched</v>
      </c>
      <c r="AN870" s="7" t="str">
        <f t="shared" si="83"/>
        <v>Missmatched</v>
      </c>
    </row>
    <row r="871" spans="1:40">
      <c r="A871" t="s">
        <v>2675</v>
      </c>
      <c r="B871" s="6">
        <v>45811</v>
      </c>
      <c r="C871" s="4">
        <v>46369</v>
      </c>
      <c r="D871" t="s">
        <v>2676</v>
      </c>
      <c r="E871" t="s">
        <v>141</v>
      </c>
      <c r="F871" t="s">
        <v>95</v>
      </c>
      <c r="G871" t="s">
        <v>2785</v>
      </c>
      <c r="H871" t="s">
        <v>350</v>
      </c>
      <c r="I871" t="s">
        <v>351</v>
      </c>
      <c r="J871" t="s">
        <v>41</v>
      </c>
      <c r="K871" t="s">
        <v>66</v>
      </c>
      <c r="L871" t="s">
        <v>1147</v>
      </c>
      <c r="M871" t="s">
        <v>44</v>
      </c>
      <c r="N871">
        <v>6</v>
      </c>
      <c r="O871">
        <v>796.65</v>
      </c>
      <c r="P871">
        <v>0.1</v>
      </c>
      <c r="Q871" s="7">
        <f>IF(P871="", 0, P871)</f>
        <v>0.1</v>
      </c>
      <c r="R871">
        <v>4301.91</v>
      </c>
      <c r="S871">
        <v>2374.4</v>
      </c>
      <c r="T871" s="7">
        <f>N871*O871*(1-Q871)</f>
        <v>4301.91</v>
      </c>
      <c r="U871" s="7">
        <f t="shared" si="78"/>
        <v>1927.5099999999998</v>
      </c>
      <c r="V871">
        <v>1927.51</v>
      </c>
      <c r="W871" s="12">
        <f t="shared" si="79"/>
        <v>0.44805911792668834</v>
      </c>
      <c r="X871" t="s">
        <v>32</v>
      </c>
      <c r="Y871" t="str">
        <f t="shared" si="80"/>
        <v>Paid</v>
      </c>
      <c r="Z871" t="s">
        <v>33</v>
      </c>
      <c r="AA871">
        <f>C871-B871</f>
        <v>558</v>
      </c>
      <c r="AB871" t="str">
        <f>IF(B871="","Missing Order Date",
IF(C871="","Missing Ship Date","OK"))</f>
        <v>OK</v>
      </c>
      <c r="AC871" s="7" t="str">
        <f>IF(C871&lt;B871, "Invalid", "Valid")</f>
        <v>Valid</v>
      </c>
      <c r="AD871" s="7" t="str">
        <f>IF(COUNTIF($A:$A, A871)&gt;1, "Duplicate", "Unique")</f>
        <v>Unique</v>
      </c>
      <c r="AE871" s="7" t="str">
        <f>IF(G871="","Unknown",G871)</f>
        <v>Unknown</v>
      </c>
      <c r="AF871" s="7" t="str">
        <f>IF(M871="","Unknown",M871)</f>
        <v>Same Day</v>
      </c>
      <c r="AG871" s="7" t="str">
        <f>IF(P871&lt;0,"Invalid",
IF(P871&gt;1,"Invalid","Valid"))</f>
        <v>Valid</v>
      </c>
      <c r="AH871" s="7" t="str">
        <f>TEXT(B871,"mmmm")</f>
        <v>June</v>
      </c>
      <c r="AI871" s="7">
        <f t="shared" si="81"/>
        <v>2025</v>
      </c>
      <c r="AJ871" s="7" t="str">
        <f>IF(OR(R871&lt;0,C871&lt;B871),"Invalid",
IF(OR(G871="Unknown",M871="Unknown"),"Warning","Clean"))</f>
        <v>Clean</v>
      </c>
      <c r="AK871" s="7" t="str">
        <f>IF(C871&lt;B871,"Ship Before Order","OK")</f>
        <v>OK</v>
      </c>
      <c r="AL871" s="7" t="str">
        <f>IF(ISNUMBER(B871),"Valid","Invalid")</f>
        <v>Valid</v>
      </c>
      <c r="AM871" s="7" t="str">
        <f t="shared" si="82"/>
        <v>Ok</v>
      </c>
      <c r="AN871" s="7" t="str">
        <f t="shared" si="83"/>
        <v>Ok</v>
      </c>
    </row>
    <row r="872" spans="1:40">
      <c r="A872" t="s">
        <v>2677</v>
      </c>
      <c r="B872" s="6">
        <v>45814</v>
      </c>
      <c r="C872" s="4">
        <v>46370</v>
      </c>
      <c r="D872" t="s">
        <v>2678</v>
      </c>
      <c r="E872" t="s">
        <v>71</v>
      </c>
      <c r="F872" t="s">
        <v>90</v>
      </c>
      <c r="G872" t="s">
        <v>63</v>
      </c>
      <c r="H872" t="s">
        <v>190</v>
      </c>
      <c r="I872" t="s">
        <v>191</v>
      </c>
      <c r="J872" t="s">
        <v>41</v>
      </c>
      <c r="K872" t="s">
        <v>42</v>
      </c>
      <c r="L872" t="s">
        <v>2679</v>
      </c>
      <c r="M872" t="s">
        <v>59</v>
      </c>
      <c r="N872">
        <v>9</v>
      </c>
      <c r="O872">
        <v>2932.92</v>
      </c>
      <c r="P872">
        <v>0.15</v>
      </c>
      <c r="Q872" s="7">
        <f>IF(P872="", 0, P872)</f>
        <v>0.15</v>
      </c>
      <c r="R872">
        <v>22436.84</v>
      </c>
      <c r="S872">
        <v>17454.669999999998</v>
      </c>
      <c r="T872" s="7">
        <f>N872*O872*(1-Q872)</f>
        <v>22436.838</v>
      </c>
      <c r="U872" s="7">
        <f t="shared" si="78"/>
        <v>4982.1680000000015</v>
      </c>
      <c r="V872">
        <v>4982.17</v>
      </c>
      <c r="W872" s="12">
        <f t="shared" si="79"/>
        <v>0.22205303617203109</v>
      </c>
      <c r="X872" t="s">
        <v>32</v>
      </c>
      <c r="Y872" t="str">
        <f t="shared" si="80"/>
        <v>Paid</v>
      </c>
      <c r="Z872" t="s">
        <v>68</v>
      </c>
      <c r="AA872">
        <f>C872-B872</f>
        <v>556</v>
      </c>
      <c r="AB872" t="str">
        <f>IF(B872="","Missing Order Date",
IF(C872="","Missing Ship Date","OK"))</f>
        <v>OK</v>
      </c>
      <c r="AC872" s="7" t="str">
        <f>IF(C872&lt;B872, "Invalid", "Valid")</f>
        <v>Valid</v>
      </c>
      <c r="AD872" s="7" t="str">
        <f>IF(COUNTIF($A:$A, A872)&gt;1, "Duplicate", "Unique")</f>
        <v>Unique</v>
      </c>
      <c r="AE872" s="7" t="str">
        <f>IF(G872="","Unknown",G872)</f>
        <v>West</v>
      </c>
      <c r="AF872" s="7" t="str">
        <f>IF(M872="","Unknown",M872)</f>
        <v>Standard Class</v>
      </c>
      <c r="AG872" s="7" t="str">
        <f>IF(P872&lt;0,"Invalid",
IF(P872&gt;1,"Invalid","Valid"))</f>
        <v>Valid</v>
      </c>
      <c r="AH872" s="7" t="str">
        <f>TEXT(B872,"mmmm")</f>
        <v>June</v>
      </c>
      <c r="AI872" s="7">
        <f t="shared" si="81"/>
        <v>2025</v>
      </c>
      <c r="AJ872" s="7" t="str">
        <f>IF(OR(R872&lt;0,C872&lt;B872),"Invalid",
IF(OR(G872="Unknown",M872="Unknown"),"Warning","Clean"))</f>
        <v>Clean</v>
      </c>
      <c r="AK872" s="7" t="str">
        <f>IF(C872&lt;B872,"Ship Before Order","OK")</f>
        <v>OK</v>
      </c>
      <c r="AL872" s="7" t="str">
        <f>IF(ISNUMBER(B872),"Valid","Invalid")</f>
        <v>Valid</v>
      </c>
      <c r="AM872" s="7" t="str">
        <f t="shared" si="82"/>
        <v>Missmatched</v>
      </c>
      <c r="AN872" s="7" t="str">
        <f t="shared" si="83"/>
        <v>Missmatched</v>
      </c>
    </row>
    <row r="873" spans="1:40">
      <c r="A873" t="s">
        <v>2680</v>
      </c>
      <c r="B873" s="6">
        <v>45342</v>
      </c>
      <c r="C873" s="4">
        <v>46371</v>
      </c>
      <c r="D873" t="s">
        <v>2551</v>
      </c>
      <c r="E873" t="s">
        <v>79</v>
      </c>
      <c r="F873" t="s">
        <v>37</v>
      </c>
      <c r="G873" t="s">
        <v>54</v>
      </c>
      <c r="H873" t="s">
        <v>55</v>
      </c>
      <c r="I873" t="s">
        <v>56</v>
      </c>
      <c r="J873" t="s">
        <v>74</v>
      </c>
      <c r="K873" t="s">
        <v>75</v>
      </c>
      <c r="L873" t="s">
        <v>2681</v>
      </c>
      <c r="M873" t="s">
        <v>50</v>
      </c>
      <c r="N873">
        <v>9</v>
      </c>
      <c r="O873">
        <v>2186.23</v>
      </c>
      <c r="P873">
        <v>0</v>
      </c>
      <c r="Q873" s="7">
        <f>IF(P873="", 0, P873)</f>
        <v>0</v>
      </c>
      <c r="R873">
        <v>19676.07</v>
      </c>
      <c r="S873">
        <v>12458.62</v>
      </c>
      <c r="T873" s="7">
        <f>N873*O873*(1-Q873)</f>
        <v>19676.07</v>
      </c>
      <c r="U873" s="7">
        <f t="shared" si="78"/>
        <v>7217.4499999999989</v>
      </c>
      <c r="V873">
        <v>7217.45</v>
      </c>
      <c r="W873" s="12">
        <f t="shared" si="79"/>
        <v>0.36681359641432454</v>
      </c>
      <c r="X873" t="s">
        <v>102</v>
      </c>
      <c r="Y873" t="str">
        <f t="shared" si="80"/>
        <v>Refunded</v>
      </c>
      <c r="Z873" t="s">
        <v>68</v>
      </c>
      <c r="AA873">
        <f>C873-B873</f>
        <v>1029</v>
      </c>
      <c r="AB873" t="str">
        <f>IF(B873="","Missing Order Date",
IF(C873="","Missing Ship Date","OK"))</f>
        <v>OK</v>
      </c>
      <c r="AC873" s="7" t="str">
        <f>IF(C873&lt;B873, "Invalid", "Valid")</f>
        <v>Valid</v>
      </c>
      <c r="AD873" s="7" t="str">
        <f>IF(COUNTIF($A:$A, A873)&gt;1, "Duplicate", "Unique")</f>
        <v>Unique</v>
      </c>
      <c r="AE873" s="7" t="str">
        <f>IF(G873="","Unknown",G873)</f>
        <v>South</v>
      </c>
      <c r="AF873" s="7" t="str">
        <f>IF(M873="","Unknown",M873)</f>
        <v>First Class</v>
      </c>
      <c r="AG873" s="7" t="str">
        <f>IF(P873&lt;0,"Invalid",
IF(P873&gt;1,"Invalid","Valid"))</f>
        <v>Valid</v>
      </c>
      <c r="AH873" s="7" t="str">
        <f>TEXT(B873,"mmmm")</f>
        <v>February</v>
      </c>
      <c r="AI873" s="7">
        <f t="shared" si="81"/>
        <v>2024</v>
      </c>
      <c r="AJ873" s="7" t="str">
        <f>IF(OR(R873&lt;0,C873&lt;B873),"Invalid",
IF(OR(G873="Unknown",M873="Unknown"),"Warning","Clean"))</f>
        <v>Clean</v>
      </c>
      <c r="AK873" s="7" t="str">
        <f>IF(C873&lt;B873,"Ship Before Order","OK")</f>
        <v>OK</v>
      </c>
      <c r="AL873" s="7" t="str">
        <f>IF(ISNUMBER(B873),"Valid","Invalid")</f>
        <v>Valid</v>
      </c>
      <c r="AM873" s="7" t="str">
        <f t="shared" si="82"/>
        <v>Ok</v>
      </c>
      <c r="AN873" s="7" t="str">
        <f t="shared" si="83"/>
        <v>Ok</v>
      </c>
    </row>
    <row r="874" spans="1:40">
      <c r="A874" t="s">
        <v>2682</v>
      </c>
      <c r="B874" s="6">
        <v>45302</v>
      </c>
      <c r="C874" s="4">
        <v>46372</v>
      </c>
      <c r="D874" t="s">
        <v>1960</v>
      </c>
      <c r="E874" t="s">
        <v>23</v>
      </c>
      <c r="F874" t="s">
        <v>90</v>
      </c>
      <c r="G874" t="s">
        <v>38</v>
      </c>
      <c r="H874" t="s">
        <v>99</v>
      </c>
      <c r="I874" t="s">
        <v>100</v>
      </c>
      <c r="J874" t="s">
        <v>41</v>
      </c>
      <c r="K874" t="s">
        <v>57</v>
      </c>
      <c r="L874" t="s">
        <v>2683</v>
      </c>
      <c r="M874" t="s">
        <v>59</v>
      </c>
      <c r="N874">
        <v>5</v>
      </c>
      <c r="O874">
        <v>2212.02</v>
      </c>
      <c r="P874">
        <v>0.2</v>
      </c>
      <c r="Q874" s="7">
        <f>IF(P874="", 0, P874)</f>
        <v>0.2</v>
      </c>
      <c r="R874">
        <v>8848.08</v>
      </c>
      <c r="S874">
        <v>5691.56</v>
      </c>
      <c r="T874" s="7">
        <f>N874*O874*(1-Q874)</f>
        <v>8848.08</v>
      </c>
      <c r="U874" s="7">
        <f t="shared" si="78"/>
        <v>3156.5199999999995</v>
      </c>
      <c r="V874">
        <v>3156.52</v>
      </c>
      <c r="W874" s="12">
        <f t="shared" si="79"/>
        <v>0.35674632236598219</v>
      </c>
      <c r="X874" t="s">
        <v>32</v>
      </c>
      <c r="Y874" t="str">
        <f t="shared" si="80"/>
        <v>Paid</v>
      </c>
      <c r="Z874" t="s">
        <v>33</v>
      </c>
      <c r="AA874">
        <f>C874-B874</f>
        <v>1070</v>
      </c>
      <c r="AB874" t="str">
        <f>IF(B874="","Missing Order Date",
IF(C874="","Missing Ship Date","OK"))</f>
        <v>OK</v>
      </c>
      <c r="AC874" s="7" t="str">
        <f>IF(C874&lt;B874, "Invalid", "Valid")</f>
        <v>Valid</v>
      </c>
      <c r="AD874" s="7" t="str">
        <f>IF(COUNTIF($A:$A, A874)&gt;1, "Duplicate", "Unique")</f>
        <v>Unique</v>
      </c>
      <c r="AE874" s="7" t="str">
        <f>IF(G874="","Unknown",G874)</f>
        <v>East</v>
      </c>
      <c r="AF874" s="7" t="str">
        <f>IF(M874="","Unknown",M874)</f>
        <v>Standard Class</v>
      </c>
      <c r="AG874" s="7" t="str">
        <f>IF(P874&lt;0,"Invalid",
IF(P874&gt;1,"Invalid","Valid"))</f>
        <v>Valid</v>
      </c>
      <c r="AH874" s="7" t="str">
        <f>TEXT(B874,"mmmm")</f>
        <v>January</v>
      </c>
      <c r="AI874" s="7">
        <f t="shared" si="81"/>
        <v>2024</v>
      </c>
      <c r="AJ874" s="7" t="str">
        <f>IF(OR(R874&lt;0,C874&lt;B874),"Invalid",
IF(OR(G874="Unknown",M874="Unknown"),"Warning","Clean"))</f>
        <v>Clean</v>
      </c>
      <c r="AK874" s="7" t="str">
        <f>IF(C874&lt;B874,"Ship Before Order","OK")</f>
        <v>OK</v>
      </c>
      <c r="AL874" s="7" t="str">
        <f>IF(ISNUMBER(B874),"Valid","Invalid")</f>
        <v>Valid</v>
      </c>
      <c r="AM874" s="7" t="str">
        <f t="shared" si="82"/>
        <v>Ok</v>
      </c>
      <c r="AN874" s="7" t="str">
        <f t="shared" si="83"/>
        <v>Ok</v>
      </c>
    </row>
    <row r="875" spans="1:40">
      <c r="A875" t="s">
        <v>2684</v>
      </c>
      <c r="B875" s="6">
        <v>45659</v>
      </c>
      <c r="C875" s="4">
        <v>46373</v>
      </c>
      <c r="D875" t="s">
        <v>2685</v>
      </c>
      <c r="E875" t="s">
        <v>89</v>
      </c>
      <c r="F875" t="s">
        <v>95</v>
      </c>
      <c r="G875" t="s">
        <v>63</v>
      </c>
      <c r="H875" t="s">
        <v>180</v>
      </c>
      <c r="I875" t="s">
        <v>181</v>
      </c>
      <c r="J875" t="s">
        <v>28</v>
      </c>
      <c r="K875" t="s">
        <v>124</v>
      </c>
      <c r="L875" t="s">
        <v>2686</v>
      </c>
      <c r="M875" t="s">
        <v>31</v>
      </c>
      <c r="N875">
        <v>8</v>
      </c>
      <c r="O875">
        <v>623.30999999999995</v>
      </c>
      <c r="P875">
        <v>0.1</v>
      </c>
      <c r="Q875" s="7">
        <f>IF(P875="", 0, P875)</f>
        <v>0.1</v>
      </c>
      <c r="R875">
        <v>4487.83</v>
      </c>
      <c r="S875">
        <v>2633.78</v>
      </c>
      <c r="T875" s="7">
        <f>N875*O875*(1-Q875)</f>
        <v>4487.8319999999994</v>
      </c>
      <c r="U875" s="7">
        <f t="shared" si="78"/>
        <v>1854.0519999999992</v>
      </c>
      <c r="V875">
        <v>1854.05</v>
      </c>
      <c r="W875" s="12">
        <f t="shared" si="79"/>
        <v>0.41312865543986482</v>
      </c>
      <c r="X875" t="s">
        <v>32</v>
      </c>
      <c r="Y875" t="str">
        <f t="shared" si="80"/>
        <v>Paid</v>
      </c>
      <c r="Z875" t="s">
        <v>33</v>
      </c>
      <c r="AA875">
        <f>C875-B875</f>
        <v>714</v>
      </c>
      <c r="AB875" t="str">
        <f>IF(B875="","Missing Order Date",
IF(C875="","Missing Ship Date","OK"))</f>
        <v>OK</v>
      </c>
      <c r="AC875" s="7" t="str">
        <f>IF(C875&lt;B875, "Invalid", "Valid")</f>
        <v>Valid</v>
      </c>
      <c r="AD875" s="7" t="str">
        <f>IF(COUNTIF($A:$A, A875)&gt;1, "Duplicate", "Unique")</f>
        <v>Unique</v>
      </c>
      <c r="AE875" s="7" t="str">
        <f>IF(G875="","Unknown",G875)</f>
        <v>West</v>
      </c>
      <c r="AF875" s="7" t="str">
        <f>IF(M875="","Unknown",M875)</f>
        <v>Second Class</v>
      </c>
      <c r="AG875" s="7" t="str">
        <f>IF(P875&lt;0,"Invalid",
IF(P875&gt;1,"Invalid","Valid"))</f>
        <v>Valid</v>
      </c>
      <c r="AH875" s="7" t="str">
        <f>TEXT(B875,"mmmm")</f>
        <v>January</v>
      </c>
      <c r="AI875" s="7">
        <f t="shared" si="81"/>
        <v>2025</v>
      </c>
      <c r="AJ875" s="7" t="str">
        <f>IF(OR(R875&lt;0,C875&lt;B875),"Invalid",
IF(OR(G875="Unknown",M875="Unknown"),"Warning","Clean"))</f>
        <v>Clean</v>
      </c>
      <c r="AK875" s="7" t="str">
        <f>IF(C875&lt;B875,"Ship Before Order","OK")</f>
        <v>OK</v>
      </c>
      <c r="AL875" s="7" t="str">
        <f>IF(ISNUMBER(B875),"Valid","Invalid")</f>
        <v>Valid</v>
      </c>
      <c r="AM875" s="7" t="str">
        <f t="shared" si="82"/>
        <v>Missmatched</v>
      </c>
      <c r="AN875" s="7" t="str">
        <f t="shared" si="83"/>
        <v>Missmatched</v>
      </c>
    </row>
    <row r="876" spans="1:40">
      <c r="A876" t="s">
        <v>2687</v>
      </c>
      <c r="B876" s="6">
        <v>45853</v>
      </c>
      <c r="C876" s="4">
        <v>46374</v>
      </c>
      <c r="D876" t="s">
        <v>2688</v>
      </c>
      <c r="E876" t="s">
        <v>71</v>
      </c>
      <c r="F876" t="s">
        <v>37</v>
      </c>
      <c r="G876" t="s">
        <v>63</v>
      </c>
      <c r="H876" t="s">
        <v>64</v>
      </c>
      <c r="I876" t="s">
        <v>65</v>
      </c>
      <c r="J876" t="s">
        <v>28</v>
      </c>
      <c r="K876" t="s">
        <v>29</v>
      </c>
      <c r="L876" t="s">
        <v>2689</v>
      </c>
      <c r="M876" t="s">
        <v>59</v>
      </c>
      <c r="N876">
        <v>8</v>
      </c>
      <c r="O876">
        <v>3924.88</v>
      </c>
      <c r="P876">
        <v>0.05</v>
      </c>
      <c r="Q876" s="7">
        <f>IF(P876="", 0, P876)</f>
        <v>0.05</v>
      </c>
      <c r="R876">
        <v>29829.09</v>
      </c>
      <c r="S876">
        <v>20710.18</v>
      </c>
      <c r="T876" s="7">
        <f>N876*O876*(1-Q876)</f>
        <v>29829.088</v>
      </c>
      <c r="U876" s="7">
        <f t="shared" si="78"/>
        <v>9118.9079999999994</v>
      </c>
      <c r="V876">
        <v>9118.91</v>
      </c>
      <c r="W876" s="12">
        <f t="shared" si="79"/>
        <v>0.30570522303598419</v>
      </c>
      <c r="X876" t="s">
        <v>32</v>
      </c>
      <c r="Y876" t="str">
        <f t="shared" si="80"/>
        <v>Paid</v>
      </c>
      <c r="Z876" t="s">
        <v>33</v>
      </c>
      <c r="AA876">
        <f>C876-B876</f>
        <v>521</v>
      </c>
      <c r="AB876" t="str">
        <f>IF(B876="","Missing Order Date",
IF(C876="","Missing Ship Date","OK"))</f>
        <v>OK</v>
      </c>
      <c r="AC876" s="7" t="str">
        <f>IF(C876&lt;B876, "Invalid", "Valid")</f>
        <v>Valid</v>
      </c>
      <c r="AD876" s="7" t="str">
        <f>IF(COUNTIF($A:$A, A876)&gt;1, "Duplicate", "Unique")</f>
        <v>Unique</v>
      </c>
      <c r="AE876" s="7" t="str">
        <f>IF(G876="","Unknown",G876)</f>
        <v>West</v>
      </c>
      <c r="AF876" s="7" t="str">
        <f>IF(M876="","Unknown",M876)</f>
        <v>Standard Class</v>
      </c>
      <c r="AG876" s="7" t="str">
        <f>IF(P876&lt;0,"Invalid",
IF(P876&gt;1,"Invalid","Valid"))</f>
        <v>Valid</v>
      </c>
      <c r="AH876" s="7" t="str">
        <f>TEXT(B876,"mmmm")</f>
        <v>July</v>
      </c>
      <c r="AI876" s="7">
        <f t="shared" si="81"/>
        <v>2025</v>
      </c>
      <c r="AJ876" s="7" t="str">
        <f>IF(OR(R876&lt;0,C876&lt;B876),"Invalid",
IF(OR(G876="Unknown",M876="Unknown"),"Warning","Clean"))</f>
        <v>Clean</v>
      </c>
      <c r="AK876" s="7" t="str">
        <f>IF(C876&lt;B876,"Ship Before Order","OK")</f>
        <v>OK</v>
      </c>
      <c r="AL876" s="7" t="str">
        <f>IF(ISNUMBER(B876),"Valid","Invalid")</f>
        <v>Valid</v>
      </c>
      <c r="AM876" s="7" t="str">
        <f t="shared" si="82"/>
        <v>Missmatched</v>
      </c>
      <c r="AN876" s="7" t="str">
        <f t="shared" si="83"/>
        <v>Missmatched</v>
      </c>
    </row>
    <row r="877" spans="1:40">
      <c r="A877" t="s">
        <v>2690</v>
      </c>
      <c r="B877" s="6">
        <v>45573</v>
      </c>
      <c r="C877" s="4">
        <v>46375</v>
      </c>
      <c r="D877" t="s">
        <v>2691</v>
      </c>
      <c r="E877" t="s">
        <v>36</v>
      </c>
      <c r="F877" t="s">
        <v>90</v>
      </c>
      <c r="G877" t="s">
        <v>63</v>
      </c>
      <c r="H877" t="s">
        <v>64</v>
      </c>
      <c r="I877" t="s">
        <v>65</v>
      </c>
      <c r="J877" t="s">
        <v>74</v>
      </c>
      <c r="K877" t="s">
        <v>80</v>
      </c>
      <c r="L877" t="s">
        <v>2692</v>
      </c>
      <c r="M877" t="s">
        <v>50</v>
      </c>
      <c r="N877">
        <v>7</v>
      </c>
      <c r="O877">
        <v>3852.62</v>
      </c>
      <c r="P877">
        <v>0.2</v>
      </c>
      <c r="Q877" s="7">
        <f>IF(P877="", 0, P877)</f>
        <v>0.2</v>
      </c>
      <c r="R877">
        <v>21574.67</v>
      </c>
      <c r="S877">
        <v>14672.83</v>
      </c>
      <c r="T877" s="7">
        <f>N877*O877*(1-Q877)</f>
        <v>21574.672000000002</v>
      </c>
      <c r="U877" s="7">
        <f t="shared" si="78"/>
        <v>6901.8420000000024</v>
      </c>
      <c r="V877">
        <v>6901.84</v>
      </c>
      <c r="W877" s="12">
        <f t="shared" si="79"/>
        <v>0.31990484026825539</v>
      </c>
      <c r="X877" t="s">
        <v>32</v>
      </c>
      <c r="Y877" t="str">
        <f t="shared" si="80"/>
        <v>Paid</v>
      </c>
      <c r="Z877" t="s">
        <v>33</v>
      </c>
      <c r="AA877">
        <f>C877-B877</f>
        <v>802</v>
      </c>
      <c r="AB877" t="str">
        <f>IF(B877="","Missing Order Date",
IF(C877="","Missing Ship Date","OK"))</f>
        <v>OK</v>
      </c>
      <c r="AC877" s="7" t="str">
        <f>IF(C877&lt;B877, "Invalid", "Valid")</f>
        <v>Valid</v>
      </c>
      <c r="AD877" s="7" t="str">
        <f>IF(COUNTIF($A:$A, A877)&gt;1, "Duplicate", "Unique")</f>
        <v>Unique</v>
      </c>
      <c r="AE877" s="7" t="str">
        <f>IF(G877="","Unknown",G877)</f>
        <v>West</v>
      </c>
      <c r="AF877" s="7" t="str">
        <f>IF(M877="","Unknown",M877)</f>
        <v>First Class</v>
      </c>
      <c r="AG877" s="7" t="str">
        <f>IF(P877&lt;0,"Invalid",
IF(P877&gt;1,"Invalid","Valid"))</f>
        <v>Valid</v>
      </c>
      <c r="AH877" s="7" t="str">
        <f>TEXT(B877,"mmmm")</f>
        <v>October</v>
      </c>
      <c r="AI877" s="7">
        <f t="shared" si="81"/>
        <v>2024</v>
      </c>
      <c r="AJ877" s="7" t="str">
        <f>IF(OR(R877&lt;0,C877&lt;B877),"Invalid",
IF(OR(G877="Unknown",M877="Unknown"),"Warning","Clean"))</f>
        <v>Clean</v>
      </c>
      <c r="AK877" s="7" t="str">
        <f>IF(C877&lt;B877,"Ship Before Order","OK")</f>
        <v>OK</v>
      </c>
      <c r="AL877" s="7" t="str">
        <f>IF(ISNUMBER(B877),"Valid","Invalid")</f>
        <v>Valid</v>
      </c>
      <c r="AM877" s="7" t="str">
        <f t="shared" si="82"/>
        <v>Missmatched</v>
      </c>
      <c r="AN877" s="7" t="str">
        <f t="shared" si="83"/>
        <v>Missmatched</v>
      </c>
    </row>
    <row r="878" spans="1:40">
      <c r="A878" t="s">
        <v>2693</v>
      </c>
      <c r="B878" s="6">
        <v>45614</v>
      </c>
      <c r="C878" s="4">
        <v>46376</v>
      </c>
      <c r="D878" t="s">
        <v>2694</v>
      </c>
      <c r="E878" t="s">
        <v>114</v>
      </c>
      <c r="F878" t="s">
        <v>24</v>
      </c>
      <c r="G878" t="s">
        <v>63</v>
      </c>
      <c r="H878" t="s">
        <v>26</v>
      </c>
      <c r="I878" t="s">
        <v>109</v>
      </c>
      <c r="J878" t="s">
        <v>41</v>
      </c>
      <c r="K878" t="s">
        <v>66</v>
      </c>
      <c r="L878" t="s">
        <v>845</v>
      </c>
      <c r="M878" t="s">
        <v>50</v>
      </c>
      <c r="N878">
        <v>6</v>
      </c>
      <c r="O878">
        <v>3790.22</v>
      </c>
      <c r="P878">
        <v>0</v>
      </c>
      <c r="Q878" s="7">
        <f>IF(P878="", 0, P878)</f>
        <v>0</v>
      </c>
      <c r="R878">
        <v>22741.32</v>
      </c>
      <c r="S878">
        <v>16388.57</v>
      </c>
      <c r="T878" s="7">
        <f>N878*O878*(1-Q878)</f>
        <v>22741.32</v>
      </c>
      <c r="U878" s="7">
        <f t="shared" si="78"/>
        <v>6352.75</v>
      </c>
      <c r="V878">
        <v>6352.75</v>
      </c>
      <c r="W878" s="12">
        <f t="shared" si="79"/>
        <v>0.27934834037777928</v>
      </c>
      <c r="X878" t="s">
        <v>32</v>
      </c>
      <c r="Y878" t="str">
        <f t="shared" si="80"/>
        <v>Paid</v>
      </c>
      <c r="Z878" t="s">
        <v>33</v>
      </c>
      <c r="AA878">
        <f>C878-B878</f>
        <v>762</v>
      </c>
      <c r="AB878" t="str">
        <f>IF(B878="","Missing Order Date",
IF(C878="","Missing Ship Date","OK"))</f>
        <v>OK</v>
      </c>
      <c r="AC878" s="7" t="str">
        <f>IF(C878&lt;B878, "Invalid", "Valid")</f>
        <v>Valid</v>
      </c>
      <c r="AD878" s="7" t="str">
        <f>IF(COUNTIF($A:$A, A878)&gt;1, "Duplicate", "Unique")</f>
        <v>Unique</v>
      </c>
      <c r="AE878" s="7" t="str">
        <f>IF(G878="","Unknown",G878)</f>
        <v>West</v>
      </c>
      <c r="AF878" s="7" t="str">
        <f>IF(M878="","Unknown",M878)</f>
        <v>First Class</v>
      </c>
      <c r="AG878" s="7" t="str">
        <f>IF(P878&lt;0,"Invalid",
IF(P878&gt;1,"Invalid","Valid"))</f>
        <v>Valid</v>
      </c>
      <c r="AH878" s="7" t="str">
        <f>TEXT(B878,"mmmm")</f>
        <v>November</v>
      </c>
      <c r="AI878" s="7">
        <f t="shared" si="81"/>
        <v>2024</v>
      </c>
      <c r="AJ878" s="7" t="str">
        <f>IF(OR(R878&lt;0,C878&lt;B878),"Invalid",
IF(OR(G878="Unknown",M878="Unknown"),"Warning","Clean"))</f>
        <v>Clean</v>
      </c>
      <c r="AK878" s="7" t="str">
        <f>IF(C878&lt;B878,"Ship Before Order","OK")</f>
        <v>OK</v>
      </c>
      <c r="AL878" s="7" t="str">
        <f>IF(ISNUMBER(B878),"Valid","Invalid")</f>
        <v>Valid</v>
      </c>
      <c r="AM878" s="7" t="str">
        <f t="shared" si="82"/>
        <v>Ok</v>
      </c>
      <c r="AN878" s="7" t="str">
        <f t="shared" si="83"/>
        <v>Ok</v>
      </c>
    </row>
    <row r="879" spans="1:40">
      <c r="A879" t="s">
        <v>2695</v>
      </c>
      <c r="B879" s="6">
        <v>45895</v>
      </c>
      <c r="C879" s="4">
        <v>46377</v>
      </c>
      <c r="D879" t="s">
        <v>2696</v>
      </c>
      <c r="E879" t="s">
        <v>128</v>
      </c>
      <c r="F879" t="s">
        <v>24</v>
      </c>
      <c r="G879" t="s">
        <v>63</v>
      </c>
      <c r="H879" t="s">
        <v>26</v>
      </c>
      <c r="I879" t="s">
        <v>109</v>
      </c>
      <c r="J879" t="s">
        <v>28</v>
      </c>
      <c r="K879" t="s">
        <v>124</v>
      </c>
      <c r="L879" t="s">
        <v>2697</v>
      </c>
      <c r="M879" t="s">
        <v>31</v>
      </c>
      <c r="N879">
        <v>6</v>
      </c>
      <c r="O879">
        <v>674.36</v>
      </c>
      <c r="P879">
        <v>0.1</v>
      </c>
      <c r="Q879" s="7">
        <f>IF(P879="", 0, P879)</f>
        <v>0.1</v>
      </c>
      <c r="R879">
        <v>3641.54</v>
      </c>
      <c r="S879">
        <v>2690.37</v>
      </c>
      <c r="T879" s="7">
        <f>N879*O879*(1-Q879)</f>
        <v>3641.5439999999999</v>
      </c>
      <c r="U879" s="7">
        <f t="shared" si="78"/>
        <v>951.17399999999998</v>
      </c>
      <c r="V879">
        <v>951.17</v>
      </c>
      <c r="W879" s="12">
        <f t="shared" si="79"/>
        <v>0.26120074342092253</v>
      </c>
      <c r="X879" t="s">
        <v>32</v>
      </c>
      <c r="Y879" t="str">
        <f t="shared" si="80"/>
        <v>Paid</v>
      </c>
      <c r="Z879" t="s">
        <v>33</v>
      </c>
      <c r="AA879">
        <f>C879-B879</f>
        <v>482</v>
      </c>
      <c r="AB879" t="str">
        <f>IF(B879="","Missing Order Date",
IF(C879="","Missing Ship Date","OK"))</f>
        <v>OK</v>
      </c>
      <c r="AC879" s="7" t="str">
        <f>IF(C879&lt;B879, "Invalid", "Valid")</f>
        <v>Valid</v>
      </c>
      <c r="AD879" s="7" t="str">
        <f>IF(COUNTIF($A:$A, A879)&gt;1, "Duplicate", "Unique")</f>
        <v>Unique</v>
      </c>
      <c r="AE879" s="7" t="str">
        <f>IF(G879="","Unknown",G879)</f>
        <v>West</v>
      </c>
      <c r="AF879" s="7" t="str">
        <f>IF(M879="","Unknown",M879)</f>
        <v>Second Class</v>
      </c>
      <c r="AG879" s="7" t="str">
        <f>IF(P879&lt;0,"Invalid",
IF(P879&gt;1,"Invalid","Valid"))</f>
        <v>Valid</v>
      </c>
      <c r="AH879" s="7" t="str">
        <f>TEXT(B879,"mmmm")</f>
        <v>August</v>
      </c>
      <c r="AI879" s="7">
        <f t="shared" si="81"/>
        <v>2025</v>
      </c>
      <c r="AJ879" s="7" t="str">
        <f>IF(OR(R879&lt;0,C879&lt;B879),"Invalid",
IF(OR(G879="Unknown",M879="Unknown"),"Warning","Clean"))</f>
        <v>Clean</v>
      </c>
      <c r="AK879" s="7" t="str">
        <f>IF(C879&lt;B879,"Ship Before Order","OK")</f>
        <v>OK</v>
      </c>
      <c r="AL879" s="7" t="str">
        <f>IF(ISNUMBER(B879),"Valid","Invalid")</f>
        <v>Valid</v>
      </c>
      <c r="AM879" s="7" t="str">
        <f t="shared" si="82"/>
        <v>Missmatched</v>
      </c>
      <c r="AN879" s="7" t="str">
        <f t="shared" si="83"/>
        <v>Missmatched</v>
      </c>
    </row>
    <row r="880" spans="1:40">
      <c r="A880" t="s">
        <v>2698</v>
      </c>
      <c r="B880" s="6">
        <v>45313</v>
      </c>
      <c r="C880" s="4">
        <v>46378</v>
      </c>
      <c r="D880" t="s">
        <v>2699</v>
      </c>
      <c r="E880" t="s">
        <v>23</v>
      </c>
      <c r="F880" t="s">
        <v>90</v>
      </c>
      <c r="G880" t="s">
        <v>38</v>
      </c>
      <c r="H880" t="s">
        <v>99</v>
      </c>
      <c r="I880" t="s">
        <v>100</v>
      </c>
      <c r="J880" t="s">
        <v>28</v>
      </c>
      <c r="K880" t="s">
        <v>29</v>
      </c>
      <c r="L880" t="s">
        <v>2700</v>
      </c>
      <c r="M880" t="s">
        <v>50</v>
      </c>
      <c r="N880">
        <v>8</v>
      </c>
      <c r="O880">
        <v>1557.21</v>
      </c>
      <c r="P880">
        <v>0.05</v>
      </c>
      <c r="Q880" s="7">
        <f>IF(P880="", 0, P880)</f>
        <v>0.05</v>
      </c>
      <c r="R880">
        <v>11834.8</v>
      </c>
      <c r="S880">
        <v>9322.36</v>
      </c>
      <c r="T880" s="7">
        <f>N880*O880*(1-Q880)</f>
        <v>11834.796</v>
      </c>
      <c r="U880" s="7">
        <f t="shared" si="78"/>
        <v>2512.4359999999997</v>
      </c>
      <c r="V880">
        <v>2512.44</v>
      </c>
      <c r="W880" s="12">
        <f t="shared" si="79"/>
        <v>0.21229229468763125</v>
      </c>
      <c r="X880" t="s">
        <v>32</v>
      </c>
      <c r="Y880" t="str">
        <f t="shared" si="80"/>
        <v>Paid</v>
      </c>
      <c r="Z880" t="s">
        <v>33</v>
      </c>
      <c r="AA880">
        <f>C880-B880</f>
        <v>1065</v>
      </c>
      <c r="AB880" t="str">
        <f>IF(B880="","Missing Order Date",
IF(C880="","Missing Ship Date","OK"))</f>
        <v>OK</v>
      </c>
      <c r="AC880" s="7" t="str">
        <f>IF(C880&lt;B880, "Invalid", "Valid")</f>
        <v>Valid</v>
      </c>
      <c r="AD880" s="7" t="str">
        <f>IF(COUNTIF($A:$A, A880)&gt;1, "Duplicate", "Unique")</f>
        <v>Unique</v>
      </c>
      <c r="AE880" s="7" t="str">
        <f>IF(G880="","Unknown",G880)</f>
        <v>East</v>
      </c>
      <c r="AF880" s="7" t="str">
        <f>IF(M880="","Unknown",M880)</f>
        <v>First Class</v>
      </c>
      <c r="AG880" s="7" t="str">
        <f>IF(P880&lt;0,"Invalid",
IF(P880&gt;1,"Invalid","Valid"))</f>
        <v>Valid</v>
      </c>
      <c r="AH880" s="7" t="str">
        <f>TEXT(B880,"mmmm")</f>
        <v>January</v>
      </c>
      <c r="AI880" s="7">
        <f t="shared" si="81"/>
        <v>2024</v>
      </c>
      <c r="AJ880" s="7" t="str">
        <f>IF(OR(R880&lt;0,C880&lt;B880),"Invalid",
IF(OR(G880="Unknown",M880="Unknown"),"Warning","Clean"))</f>
        <v>Clean</v>
      </c>
      <c r="AK880" s="7" t="str">
        <f>IF(C880&lt;B880,"Ship Before Order","OK")</f>
        <v>OK</v>
      </c>
      <c r="AL880" s="7" t="str">
        <f>IF(ISNUMBER(B880),"Valid","Invalid")</f>
        <v>Valid</v>
      </c>
      <c r="AM880" s="7" t="str">
        <f t="shared" si="82"/>
        <v>Missmatched</v>
      </c>
      <c r="AN880" s="7" t="str">
        <f t="shared" si="83"/>
        <v>Missmatched</v>
      </c>
    </row>
    <row r="881" spans="1:40">
      <c r="A881" t="s">
        <v>2701</v>
      </c>
      <c r="B881" s="6">
        <v>45896</v>
      </c>
      <c r="C881" s="4">
        <v>46379</v>
      </c>
      <c r="D881" t="s">
        <v>2702</v>
      </c>
      <c r="E881" t="s">
        <v>62</v>
      </c>
      <c r="F881" t="s">
        <v>95</v>
      </c>
      <c r="G881" t="s">
        <v>25</v>
      </c>
      <c r="H881" t="s">
        <v>136</v>
      </c>
      <c r="I881" t="s">
        <v>137</v>
      </c>
      <c r="J881" t="s">
        <v>28</v>
      </c>
      <c r="K881" t="s">
        <v>48</v>
      </c>
      <c r="L881" t="s">
        <v>2703</v>
      </c>
      <c r="M881" t="s">
        <v>59</v>
      </c>
      <c r="N881">
        <v>6</v>
      </c>
      <c r="O881">
        <v>1182.03</v>
      </c>
      <c r="P881">
        <v>0.15</v>
      </c>
      <c r="Q881" s="7">
        <f>IF(P881="", 0, P881)</f>
        <v>0.15</v>
      </c>
      <c r="R881">
        <v>6028.35</v>
      </c>
      <c r="S881">
        <v>4433.63</v>
      </c>
      <c r="T881" s="7">
        <f>N881*O881*(1-Q881)</f>
        <v>6028.3530000000001</v>
      </c>
      <c r="U881" s="7">
        <f t="shared" si="78"/>
        <v>1594.723</v>
      </c>
      <c r="V881">
        <v>1594.72</v>
      </c>
      <c r="W881" s="12">
        <f t="shared" si="79"/>
        <v>0.26453709661660491</v>
      </c>
      <c r="X881" t="s">
        <v>32</v>
      </c>
      <c r="Y881" t="str">
        <f t="shared" si="80"/>
        <v>Paid</v>
      </c>
      <c r="Z881" t="s">
        <v>33</v>
      </c>
      <c r="AA881">
        <f>C881-B881</f>
        <v>483</v>
      </c>
      <c r="AB881" t="str">
        <f>IF(B881="","Missing Order Date",
IF(C881="","Missing Ship Date","OK"))</f>
        <v>OK</v>
      </c>
      <c r="AC881" s="7" t="str">
        <f>IF(C881&lt;B881, "Invalid", "Valid")</f>
        <v>Valid</v>
      </c>
      <c r="AD881" s="7" t="str">
        <f>IF(COUNTIF($A:$A, A881)&gt;1, "Duplicate", "Unique")</f>
        <v>Unique</v>
      </c>
      <c r="AE881" s="7" t="str">
        <f>IF(G881="","Unknown",G881)</f>
        <v>North</v>
      </c>
      <c r="AF881" s="7" t="str">
        <f>IF(M881="","Unknown",M881)</f>
        <v>Standard Class</v>
      </c>
      <c r="AG881" s="7" t="str">
        <f>IF(P881&lt;0,"Invalid",
IF(P881&gt;1,"Invalid","Valid"))</f>
        <v>Valid</v>
      </c>
      <c r="AH881" s="7" t="str">
        <f>TEXT(B881,"mmmm")</f>
        <v>August</v>
      </c>
      <c r="AI881" s="7">
        <f t="shared" si="81"/>
        <v>2025</v>
      </c>
      <c r="AJ881" s="7" t="str">
        <f>IF(OR(R881&lt;0,C881&lt;B881),"Invalid",
IF(OR(G881="Unknown",M881="Unknown"),"Warning","Clean"))</f>
        <v>Clean</v>
      </c>
      <c r="AK881" s="7" t="str">
        <f>IF(C881&lt;B881,"Ship Before Order","OK")</f>
        <v>OK</v>
      </c>
      <c r="AL881" s="7" t="str">
        <f>IF(ISNUMBER(B881),"Valid","Invalid")</f>
        <v>Valid</v>
      </c>
      <c r="AM881" s="7" t="str">
        <f t="shared" si="82"/>
        <v>Missmatched</v>
      </c>
      <c r="AN881" s="7" t="str">
        <f t="shared" si="83"/>
        <v>Missmatched</v>
      </c>
    </row>
    <row r="882" spans="1:40">
      <c r="A882" t="s">
        <v>2704</v>
      </c>
      <c r="B882" s="6">
        <v>45359</v>
      </c>
      <c r="C882" s="4">
        <v>46380</v>
      </c>
      <c r="D882" t="s">
        <v>2705</v>
      </c>
      <c r="E882" t="s">
        <v>128</v>
      </c>
      <c r="F882" t="s">
        <v>37</v>
      </c>
      <c r="G882" t="s">
        <v>2785</v>
      </c>
      <c r="H882" t="s">
        <v>122</v>
      </c>
      <c r="I882" t="s">
        <v>123</v>
      </c>
      <c r="J882" t="s">
        <v>41</v>
      </c>
      <c r="K882" t="s">
        <v>66</v>
      </c>
      <c r="L882" t="s">
        <v>2706</v>
      </c>
      <c r="M882" t="s">
        <v>50</v>
      </c>
      <c r="N882">
        <v>5</v>
      </c>
      <c r="O882">
        <v>3234.77</v>
      </c>
      <c r="P882">
        <v>0</v>
      </c>
      <c r="Q882" s="7">
        <f>IF(P882="", 0, P882)</f>
        <v>0</v>
      </c>
      <c r="R882">
        <v>16173.85</v>
      </c>
      <c r="S882">
        <v>13636.34</v>
      </c>
      <c r="T882" s="7">
        <f>N882*O882*(1-Q882)</f>
        <v>16173.85</v>
      </c>
      <c r="U882" s="7">
        <f t="shared" si="78"/>
        <v>2537.5100000000002</v>
      </c>
      <c r="V882">
        <v>2537.5100000000002</v>
      </c>
      <c r="W882" s="12">
        <f t="shared" si="79"/>
        <v>0.15688967067210344</v>
      </c>
      <c r="X882" t="s">
        <v>32</v>
      </c>
      <c r="Y882" t="str">
        <f t="shared" si="80"/>
        <v>Paid</v>
      </c>
      <c r="Z882" t="s">
        <v>33</v>
      </c>
      <c r="AA882">
        <f>C882-B882</f>
        <v>1021</v>
      </c>
      <c r="AB882" t="str">
        <f>IF(B882="","Missing Order Date",
IF(C882="","Missing Ship Date","OK"))</f>
        <v>OK</v>
      </c>
      <c r="AC882" s="7" t="str">
        <f>IF(C882&lt;B882, "Invalid", "Valid")</f>
        <v>Valid</v>
      </c>
      <c r="AD882" s="7" t="str">
        <f>IF(COUNTIF($A:$A, A882)&gt;1, "Duplicate", "Unique")</f>
        <v>Unique</v>
      </c>
      <c r="AE882" s="7" t="str">
        <f>IF(G882="","Unknown",G882)</f>
        <v>Unknown</v>
      </c>
      <c r="AF882" s="7" t="str">
        <f>IF(M882="","Unknown",M882)</f>
        <v>First Class</v>
      </c>
      <c r="AG882" s="7" t="str">
        <f>IF(P882&lt;0,"Invalid",
IF(P882&gt;1,"Invalid","Valid"))</f>
        <v>Valid</v>
      </c>
      <c r="AH882" s="7" t="str">
        <f>TEXT(B882,"mmmm")</f>
        <v>March</v>
      </c>
      <c r="AI882" s="7">
        <f t="shared" si="81"/>
        <v>2024</v>
      </c>
      <c r="AJ882" s="7" t="str">
        <f>IF(OR(R882&lt;0,C882&lt;B882),"Invalid",
IF(OR(G882="Unknown",M882="Unknown"),"Warning","Clean"))</f>
        <v>Clean</v>
      </c>
      <c r="AK882" s="7" t="str">
        <f>IF(C882&lt;B882,"Ship Before Order","OK")</f>
        <v>OK</v>
      </c>
      <c r="AL882" s="7" t="str">
        <f>IF(ISNUMBER(B882),"Valid","Invalid")</f>
        <v>Valid</v>
      </c>
      <c r="AM882" s="7" t="str">
        <f t="shared" si="82"/>
        <v>Ok</v>
      </c>
      <c r="AN882" s="7" t="str">
        <f t="shared" si="83"/>
        <v>Ok</v>
      </c>
    </row>
    <row r="883" spans="1:40">
      <c r="A883" t="s">
        <v>2707</v>
      </c>
      <c r="B883" s="6">
        <v>45303</v>
      </c>
      <c r="C883" s="4">
        <v>46381</v>
      </c>
      <c r="D883" t="s">
        <v>2708</v>
      </c>
      <c r="E883" t="s">
        <v>62</v>
      </c>
      <c r="F883" t="s">
        <v>37</v>
      </c>
      <c r="G883" t="s">
        <v>54</v>
      </c>
      <c r="H883" t="s">
        <v>84</v>
      </c>
      <c r="I883" t="s">
        <v>85</v>
      </c>
      <c r="J883" t="s">
        <v>74</v>
      </c>
      <c r="K883" t="s">
        <v>80</v>
      </c>
      <c r="L883" t="s">
        <v>2709</v>
      </c>
      <c r="M883" t="s">
        <v>31</v>
      </c>
      <c r="N883">
        <v>9</v>
      </c>
      <c r="O883">
        <v>3726.75</v>
      </c>
      <c r="P883">
        <v>0.25</v>
      </c>
      <c r="Q883" s="7">
        <f>IF(P883="", 0, P883)</f>
        <v>0.25</v>
      </c>
      <c r="R883">
        <v>25155.56</v>
      </c>
      <c r="S883">
        <v>17592.689999999999</v>
      </c>
      <c r="T883" s="7">
        <f>N883*O883*(1-Q883)</f>
        <v>25155.5625</v>
      </c>
      <c r="U883" s="7">
        <f t="shared" si="78"/>
        <v>7562.8725000000013</v>
      </c>
      <c r="V883">
        <v>7562.87</v>
      </c>
      <c r="W883" s="12">
        <f t="shared" si="79"/>
        <v>0.30064414182747856</v>
      </c>
      <c r="X883" t="s">
        <v>32</v>
      </c>
      <c r="Y883" t="str">
        <f t="shared" si="80"/>
        <v>Paid</v>
      </c>
      <c r="Z883" t="s">
        <v>33</v>
      </c>
      <c r="AA883">
        <f>C883-B883</f>
        <v>1078</v>
      </c>
      <c r="AB883" t="str">
        <f>IF(B883="","Missing Order Date",
IF(C883="","Missing Ship Date","OK"))</f>
        <v>OK</v>
      </c>
      <c r="AC883" s="7" t="str">
        <f>IF(C883&lt;B883, "Invalid", "Valid")</f>
        <v>Valid</v>
      </c>
      <c r="AD883" s="7" t="str">
        <f>IF(COUNTIF($A:$A, A883)&gt;1, "Duplicate", "Unique")</f>
        <v>Unique</v>
      </c>
      <c r="AE883" s="7" t="str">
        <f>IF(G883="","Unknown",G883)</f>
        <v>South</v>
      </c>
      <c r="AF883" s="7" t="str">
        <f>IF(M883="","Unknown",M883)</f>
        <v>Second Class</v>
      </c>
      <c r="AG883" s="7" t="str">
        <f>IF(P883&lt;0,"Invalid",
IF(P883&gt;1,"Invalid","Valid"))</f>
        <v>Valid</v>
      </c>
      <c r="AH883" s="7" t="str">
        <f>TEXT(B883,"mmmm")</f>
        <v>January</v>
      </c>
      <c r="AI883" s="7">
        <f t="shared" si="81"/>
        <v>2024</v>
      </c>
      <c r="AJ883" s="7" t="str">
        <f>IF(OR(R883&lt;0,C883&lt;B883),"Invalid",
IF(OR(G883="Unknown",M883="Unknown"),"Warning","Clean"))</f>
        <v>Clean</v>
      </c>
      <c r="AK883" s="7" t="str">
        <f>IF(C883&lt;B883,"Ship Before Order","OK")</f>
        <v>OK</v>
      </c>
      <c r="AL883" s="7" t="str">
        <f>IF(ISNUMBER(B883),"Valid","Invalid")</f>
        <v>Valid</v>
      </c>
      <c r="AM883" s="7" t="str">
        <f t="shared" si="82"/>
        <v>Missmatched</v>
      </c>
      <c r="AN883" s="7" t="str">
        <f t="shared" si="83"/>
        <v>Missmatched</v>
      </c>
    </row>
    <row r="884" spans="1:40">
      <c r="A884" t="s">
        <v>2710</v>
      </c>
      <c r="B884" s="6">
        <v>45690</v>
      </c>
      <c r="C884" s="4">
        <v>46382</v>
      </c>
      <c r="D884" t="s">
        <v>2711</v>
      </c>
      <c r="E884" t="s">
        <v>132</v>
      </c>
      <c r="F884" t="s">
        <v>90</v>
      </c>
      <c r="G884" t="s">
        <v>38</v>
      </c>
      <c r="H884" t="s">
        <v>145</v>
      </c>
      <c r="I884" t="s">
        <v>146</v>
      </c>
      <c r="J884" t="s">
        <v>74</v>
      </c>
      <c r="K884" t="s">
        <v>75</v>
      </c>
      <c r="L884" t="s">
        <v>2712</v>
      </c>
      <c r="M884" t="s">
        <v>59</v>
      </c>
      <c r="N884">
        <v>4</v>
      </c>
      <c r="O884">
        <v>1912.45</v>
      </c>
      <c r="P884">
        <v>0</v>
      </c>
      <c r="Q884" s="7">
        <f>IF(P884="", 0, P884)</f>
        <v>0</v>
      </c>
      <c r="R884">
        <v>7649.8</v>
      </c>
      <c r="S884">
        <v>4894.53</v>
      </c>
      <c r="T884" s="7">
        <f>N884*O884*(1-Q884)</f>
        <v>7649.8</v>
      </c>
      <c r="U884" s="7">
        <f t="shared" si="78"/>
        <v>2755.2700000000004</v>
      </c>
      <c r="V884">
        <v>2755.27</v>
      </c>
      <c r="W884" s="12">
        <f t="shared" si="79"/>
        <v>0.36017542942299152</v>
      </c>
      <c r="X884" t="s">
        <v>111</v>
      </c>
      <c r="Y884" t="str">
        <f t="shared" si="80"/>
        <v>Pending</v>
      </c>
      <c r="Z884" t="s">
        <v>103</v>
      </c>
      <c r="AA884">
        <f>C884-B884</f>
        <v>692</v>
      </c>
      <c r="AB884" t="str">
        <f>IF(B884="","Missing Order Date",
IF(C884="","Missing Ship Date","OK"))</f>
        <v>OK</v>
      </c>
      <c r="AC884" s="7" t="str">
        <f>IF(C884&lt;B884, "Invalid", "Valid")</f>
        <v>Valid</v>
      </c>
      <c r="AD884" s="7" t="str">
        <f>IF(COUNTIF($A:$A, A884)&gt;1, "Duplicate", "Unique")</f>
        <v>Unique</v>
      </c>
      <c r="AE884" s="7" t="str">
        <f>IF(G884="","Unknown",G884)</f>
        <v>East</v>
      </c>
      <c r="AF884" s="7" t="str">
        <f>IF(M884="","Unknown",M884)</f>
        <v>Standard Class</v>
      </c>
      <c r="AG884" s="7" t="str">
        <f>IF(P884&lt;0,"Invalid",
IF(P884&gt;1,"Invalid","Valid"))</f>
        <v>Valid</v>
      </c>
      <c r="AH884" s="7" t="str">
        <f>TEXT(B884,"mmmm")</f>
        <v>February</v>
      </c>
      <c r="AI884" s="7">
        <f t="shared" si="81"/>
        <v>2025</v>
      </c>
      <c r="AJ884" s="7" t="str">
        <f>IF(OR(R884&lt;0,C884&lt;B884),"Invalid",
IF(OR(G884="Unknown",M884="Unknown"),"Warning","Clean"))</f>
        <v>Clean</v>
      </c>
      <c r="AK884" s="7" t="str">
        <f>IF(C884&lt;B884,"Ship Before Order","OK")</f>
        <v>OK</v>
      </c>
      <c r="AL884" s="7" t="str">
        <f>IF(ISNUMBER(B884),"Valid","Invalid")</f>
        <v>Valid</v>
      </c>
      <c r="AM884" s="7" t="str">
        <f t="shared" si="82"/>
        <v>Ok</v>
      </c>
      <c r="AN884" s="7" t="str">
        <f t="shared" si="83"/>
        <v>Ok</v>
      </c>
    </row>
    <row r="885" spans="1:40">
      <c r="A885" t="s">
        <v>2713</v>
      </c>
      <c r="B885" s="6">
        <v>45775</v>
      </c>
      <c r="C885" s="4">
        <v>46383</v>
      </c>
      <c r="D885" t="s">
        <v>2714</v>
      </c>
      <c r="E885" t="s">
        <v>128</v>
      </c>
      <c r="F885" t="s">
        <v>37</v>
      </c>
      <c r="G885" t="s">
        <v>63</v>
      </c>
      <c r="H885" t="s">
        <v>190</v>
      </c>
      <c r="I885" t="s">
        <v>191</v>
      </c>
      <c r="J885" t="s">
        <v>28</v>
      </c>
      <c r="K885" t="s">
        <v>124</v>
      </c>
      <c r="L885" t="s">
        <v>2715</v>
      </c>
      <c r="M885" t="s">
        <v>44</v>
      </c>
      <c r="N885">
        <v>1</v>
      </c>
      <c r="O885">
        <v>1620.87</v>
      </c>
      <c r="P885">
        <v>0</v>
      </c>
      <c r="Q885" s="7">
        <f>IF(P885="", 0, P885)</f>
        <v>0</v>
      </c>
      <c r="R885">
        <v>1620.87</v>
      </c>
      <c r="S885">
        <v>1103.6099999999999</v>
      </c>
      <c r="T885" s="7">
        <f>N885*O885*(1-Q885)</f>
        <v>1620.87</v>
      </c>
      <c r="U885" s="7">
        <f t="shared" si="78"/>
        <v>517.26</v>
      </c>
      <c r="V885">
        <v>517.26</v>
      </c>
      <c r="W885" s="12">
        <f t="shared" si="79"/>
        <v>0.31912491439782342</v>
      </c>
      <c r="X885" t="s">
        <v>32</v>
      </c>
      <c r="Y885" t="str">
        <f t="shared" si="80"/>
        <v>Paid</v>
      </c>
      <c r="Z885" t="s">
        <v>33</v>
      </c>
      <c r="AA885">
        <f>C885-B885</f>
        <v>608</v>
      </c>
      <c r="AB885" t="str">
        <f>IF(B885="","Missing Order Date",
IF(C885="","Missing Ship Date","OK"))</f>
        <v>OK</v>
      </c>
      <c r="AC885" s="7" t="str">
        <f>IF(C885&lt;B885, "Invalid", "Valid")</f>
        <v>Valid</v>
      </c>
      <c r="AD885" s="7" t="str">
        <f>IF(COUNTIF($A:$A, A885)&gt;1, "Duplicate", "Unique")</f>
        <v>Unique</v>
      </c>
      <c r="AE885" s="7" t="str">
        <f>IF(G885="","Unknown",G885)</f>
        <v>West</v>
      </c>
      <c r="AF885" s="7" t="str">
        <f>IF(M885="","Unknown",M885)</f>
        <v>Same Day</v>
      </c>
      <c r="AG885" s="7" t="str">
        <f>IF(P885&lt;0,"Invalid",
IF(P885&gt;1,"Invalid","Valid"))</f>
        <v>Valid</v>
      </c>
      <c r="AH885" s="7" t="str">
        <f>TEXT(B885,"mmmm")</f>
        <v>April</v>
      </c>
      <c r="AI885" s="7">
        <f t="shared" si="81"/>
        <v>2025</v>
      </c>
      <c r="AJ885" s="7" t="str">
        <f>IF(OR(R885&lt;0,C885&lt;B885),"Invalid",
IF(OR(G885="Unknown",M885="Unknown"),"Warning","Clean"))</f>
        <v>Clean</v>
      </c>
      <c r="AK885" s="7" t="str">
        <f>IF(C885&lt;B885,"Ship Before Order","OK")</f>
        <v>OK</v>
      </c>
      <c r="AL885" s="7" t="str">
        <f>IF(ISNUMBER(B885),"Valid","Invalid")</f>
        <v>Valid</v>
      </c>
      <c r="AM885" s="7" t="str">
        <f t="shared" si="82"/>
        <v>Ok</v>
      </c>
      <c r="AN885" s="7" t="str">
        <f t="shared" si="83"/>
        <v>Ok</v>
      </c>
    </row>
    <row r="886" spans="1:40">
      <c r="A886" t="s">
        <v>2716</v>
      </c>
      <c r="B886" s="6">
        <v>45675</v>
      </c>
      <c r="C886" s="4">
        <v>46384</v>
      </c>
      <c r="D886" t="s">
        <v>2717</v>
      </c>
      <c r="E886" t="s">
        <v>79</v>
      </c>
      <c r="F886" t="s">
        <v>95</v>
      </c>
      <c r="G886" t="s">
        <v>54</v>
      </c>
      <c r="H886" t="s">
        <v>175</v>
      </c>
      <c r="I886" t="s">
        <v>176</v>
      </c>
      <c r="J886" t="s">
        <v>28</v>
      </c>
      <c r="K886" t="s">
        <v>124</v>
      </c>
      <c r="L886" t="s">
        <v>2718</v>
      </c>
      <c r="M886" t="s">
        <v>44</v>
      </c>
      <c r="N886">
        <v>2</v>
      </c>
      <c r="O886">
        <v>2098.54</v>
      </c>
      <c r="P886">
        <v>0.15</v>
      </c>
      <c r="Q886" s="7">
        <f>IF(P886="", 0, P886)</f>
        <v>0.15</v>
      </c>
      <c r="R886">
        <v>3567.52</v>
      </c>
      <c r="S886">
        <v>2411.8000000000002</v>
      </c>
      <c r="T886" s="7">
        <f>N886*O886*(1-Q886)</f>
        <v>3567.518</v>
      </c>
      <c r="U886" s="7">
        <f t="shared" si="78"/>
        <v>1155.7179999999998</v>
      </c>
      <c r="V886">
        <v>1155.72</v>
      </c>
      <c r="W886" s="12">
        <f t="shared" si="79"/>
        <v>0.32395575859743381</v>
      </c>
      <c r="X886" t="s">
        <v>32</v>
      </c>
      <c r="Y886" t="str">
        <f t="shared" si="80"/>
        <v>Paid</v>
      </c>
      <c r="Z886" t="s">
        <v>33</v>
      </c>
      <c r="AA886">
        <f>C886-B886</f>
        <v>709</v>
      </c>
      <c r="AB886" t="str">
        <f>IF(B886="","Missing Order Date",
IF(C886="","Missing Ship Date","OK"))</f>
        <v>OK</v>
      </c>
      <c r="AC886" s="7" t="str">
        <f>IF(C886&lt;B886, "Invalid", "Valid")</f>
        <v>Valid</v>
      </c>
      <c r="AD886" s="7" t="str">
        <f>IF(COUNTIF($A:$A, A886)&gt;1, "Duplicate", "Unique")</f>
        <v>Unique</v>
      </c>
      <c r="AE886" s="7" t="str">
        <f>IF(G886="","Unknown",G886)</f>
        <v>South</v>
      </c>
      <c r="AF886" s="7" t="str">
        <f>IF(M886="","Unknown",M886)</f>
        <v>Same Day</v>
      </c>
      <c r="AG886" s="7" t="str">
        <f>IF(P886&lt;0,"Invalid",
IF(P886&gt;1,"Invalid","Valid"))</f>
        <v>Valid</v>
      </c>
      <c r="AH886" s="7" t="str">
        <f>TEXT(B886,"mmmm")</f>
        <v>January</v>
      </c>
      <c r="AI886" s="7">
        <f t="shared" si="81"/>
        <v>2025</v>
      </c>
      <c r="AJ886" s="7" t="str">
        <f>IF(OR(R886&lt;0,C886&lt;B886),"Invalid",
IF(OR(G886="Unknown",M886="Unknown"),"Warning","Clean"))</f>
        <v>Clean</v>
      </c>
      <c r="AK886" s="7" t="str">
        <f>IF(C886&lt;B886,"Ship Before Order","OK")</f>
        <v>OK</v>
      </c>
      <c r="AL886" s="7" t="str">
        <f>IF(ISNUMBER(B886),"Valid","Invalid")</f>
        <v>Valid</v>
      </c>
      <c r="AM886" s="7" t="str">
        <f t="shared" si="82"/>
        <v>Missmatched</v>
      </c>
      <c r="AN886" s="7" t="str">
        <f t="shared" si="83"/>
        <v>Missmatched</v>
      </c>
    </row>
    <row r="887" spans="1:40">
      <c r="A887" t="s">
        <v>2719</v>
      </c>
      <c r="B887" s="6">
        <v>45413</v>
      </c>
      <c r="C887" s="4">
        <v>46385</v>
      </c>
      <c r="D887" t="s">
        <v>2720</v>
      </c>
      <c r="E887" t="s">
        <v>162</v>
      </c>
      <c r="F887" t="s">
        <v>24</v>
      </c>
      <c r="G887" t="s">
        <v>25</v>
      </c>
      <c r="H887" t="s">
        <v>26</v>
      </c>
      <c r="I887" t="s">
        <v>27</v>
      </c>
      <c r="J887" t="s">
        <v>41</v>
      </c>
      <c r="K887" t="s">
        <v>42</v>
      </c>
      <c r="L887" t="s">
        <v>2721</v>
      </c>
      <c r="M887" t="s">
        <v>59</v>
      </c>
      <c r="N887">
        <v>1</v>
      </c>
      <c r="O887">
        <v>2167.08</v>
      </c>
      <c r="P887">
        <v>0.25</v>
      </c>
      <c r="Q887" s="7">
        <f>IF(P887="", 0, P887)</f>
        <v>0.25</v>
      </c>
      <c r="R887">
        <v>1625.31</v>
      </c>
      <c r="S887">
        <v>1157.8900000000001</v>
      </c>
      <c r="T887" s="7">
        <f>N887*O887*(1-Q887)</f>
        <v>1625.31</v>
      </c>
      <c r="U887" s="7">
        <f t="shared" si="78"/>
        <v>467.41999999999985</v>
      </c>
      <c r="V887">
        <v>467.42</v>
      </c>
      <c r="W887" s="12">
        <f t="shared" si="79"/>
        <v>0.28758821394072509</v>
      </c>
      <c r="X887" t="s">
        <v>32</v>
      </c>
      <c r="Y887" t="str">
        <f t="shared" si="80"/>
        <v>Paid</v>
      </c>
      <c r="Z887" t="s">
        <v>33</v>
      </c>
      <c r="AA887">
        <f>C887-B887</f>
        <v>972</v>
      </c>
      <c r="AB887" t="str">
        <f>IF(B887="","Missing Order Date",
IF(C887="","Missing Ship Date","OK"))</f>
        <v>OK</v>
      </c>
      <c r="AC887" s="7" t="str">
        <f>IF(C887&lt;B887, "Invalid", "Valid")</f>
        <v>Valid</v>
      </c>
      <c r="AD887" s="7" t="str">
        <f>IF(COUNTIF($A:$A, A887)&gt;1, "Duplicate", "Unique")</f>
        <v>Unique</v>
      </c>
      <c r="AE887" s="7" t="str">
        <f>IF(G887="","Unknown",G887)</f>
        <v>North</v>
      </c>
      <c r="AF887" s="7" t="str">
        <f>IF(M887="","Unknown",M887)</f>
        <v>Standard Class</v>
      </c>
      <c r="AG887" s="7" t="str">
        <f>IF(P887&lt;0,"Invalid",
IF(P887&gt;1,"Invalid","Valid"))</f>
        <v>Valid</v>
      </c>
      <c r="AH887" s="7" t="str">
        <f>TEXT(B887,"mmmm")</f>
        <v>May</v>
      </c>
      <c r="AI887" s="7">
        <f t="shared" si="81"/>
        <v>2024</v>
      </c>
      <c r="AJ887" s="7" t="str">
        <f>IF(OR(R887&lt;0,C887&lt;B887),"Invalid",
IF(OR(G887="Unknown",M887="Unknown"),"Warning","Clean"))</f>
        <v>Clean</v>
      </c>
      <c r="AK887" s="7" t="str">
        <f>IF(C887&lt;B887,"Ship Before Order","OK")</f>
        <v>OK</v>
      </c>
      <c r="AL887" s="7" t="str">
        <f>IF(ISNUMBER(B887),"Valid","Invalid")</f>
        <v>Valid</v>
      </c>
      <c r="AM887" s="7" t="str">
        <f t="shared" si="82"/>
        <v>Ok</v>
      </c>
      <c r="AN887" s="7" t="str">
        <f t="shared" si="83"/>
        <v>Ok</v>
      </c>
    </row>
    <row r="888" spans="1:40">
      <c r="A888" t="s">
        <v>2722</v>
      </c>
      <c r="B888" s="6">
        <v>45773</v>
      </c>
      <c r="C888" s="4">
        <v>46386</v>
      </c>
      <c r="D888" t="s">
        <v>2723</v>
      </c>
      <c r="E888" t="s">
        <v>53</v>
      </c>
      <c r="F888" t="s">
        <v>95</v>
      </c>
      <c r="G888" t="s">
        <v>54</v>
      </c>
      <c r="H888" t="s">
        <v>247</v>
      </c>
      <c r="I888" t="s">
        <v>248</v>
      </c>
      <c r="J888" t="s">
        <v>74</v>
      </c>
      <c r="K888" t="s">
        <v>75</v>
      </c>
      <c r="L888" t="s">
        <v>2724</v>
      </c>
      <c r="M888" t="s">
        <v>50</v>
      </c>
      <c r="N888">
        <v>7</v>
      </c>
      <c r="O888">
        <v>3989.9</v>
      </c>
      <c r="P888">
        <v>0.15</v>
      </c>
      <c r="Q888" s="7">
        <f>IF(P888="", 0, P888)</f>
        <v>0.15</v>
      </c>
      <c r="R888">
        <v>23739.9</v>
      </c>
      <c r="S888">
        <v>17716.52</v>
      </c>
      <c r="T888" s="7">
        <f>N888*O888*(1-Q888)</f>
        <v>23739.904999999999</v>
      </c>
      <c r="U888" s="7">
        <f t="shared" si="78"/>
        <v>6023.3849999999984</v>
      </c>
      <c r="V888">
        <v>6023.38</v>
      </c>
      <c r="W888" s="12">
        <f t="shared" si="79"/>
        <v>0.25372405660427028</v>
      </c>
      <c r="X888" t="s">
        <v>32</v>
      </c>
      <c r="Y888" t="str">
        <f t="shared" si="80"/>
        <v>Paid</v>
      </c>
      <c r="Z888" t="s">
        <v>68</v>
      </c>
      <c r="AA888">
        <f>C888-B888</f>
        <v>613</v>
      </c>
      <c r="AB888" t="str">
        <f>IF(B888="","Missing Order Date",
IF(C888="","Missing Ship Date","OK"))</f>
        <v>OK</v>
      </c>
      <c r="AC888" s="7" t="str">
        <f>IF(C888&lt;B888, "Invalid", "Valid")</f>
        <v>Valid</v>
      </c>
      <c r="AD888" s="7" t="str">
        <f>IF(COUNTIF($A:$A, A888)&gt;1, "Duplicate", "Unique")</f>
        <v>Unique</v>
      </c>
      <c r="AE888" s="7" t="str">
        <f>IF(G888="","Unknown",G888)</f>
        <v>South</v>
      </c>
      <c r="AF888" s="7" t="str">
        <f>IF(M888="","Unknown",M888)</f>
        <v>First Class</v>
      </c>
      <c r="AG888" s="7" t="str">
        <f>IF(P888&lt;0,"Invalid",
IF(P888&gt;1,"Invalid","Valid"))</f>
        <v>Valid</v>
      </c>
      <c r="AH888" s="7" t="str">
        <f>TEXT(B888,"mmmm")</f>
        <v>April</v>
      </c>
      <c r="AI888" s="7">
        <f t="shared" si="81"/>
        <v>2025</v>
      </c>
      <c r="AJ888" s="7" t="str">
        <f>IF(OR(R888&lt;0,C888&lt;B888),"Invalid",
IF(OR(G888="Unknown",M888="Unknown"),"Warning","Clean"))</f>
        <v>Clean</v>
      </c>
      <c r="AK888" s="7" t="str">
        <f>IF(C888&lt;B888,"Ship Before Order","OK")</f>
        <v>OK</v>
      </c>
      <c r="AL888" s="7" t="str">
        <f>IF(ISNUMBER(B888),"Valid","Invalid")</f>
        <v>Valid</v>
      </c>
      <c r="AM888" s="7" t="str">
        <f t="shared" si="82"/>
        <v>Missmatched</v>
      </c>
      <c r="AN888" s="7" t="str">
        <f t="shared" si="83"/>
        <v>Missmatched</v>
      </c>
    </row>
    <row r="889" spans="1:40">
      <c r="A889" t="s">
        <v>2725</v>
      </c>
      <c r="B889" s="6">
        <v>45632</v>
      </c>
      <c r="C889" s="4">
        <v>46387</v>
      </c>
      <c r="D889" t="s">
        <v>2726</v>
      </c>
      <c r="E889" t="s">
        <v>128</v>
      </c>
      <c r="F889" t="s">
        <v>37</v>
      </c>
      <c r="G889" t="s">
        <v>54</v>
      </c>
      <c r="H889" t="s">
        <v>84</v>
      </c>
      <c r="I889" t="s">
        <v>85</v>
      </c>
      <c r="J889" t="s">
        <v>28</v>
      </c>
      <c r="K889" t="s">
        <v>48</v>
      </c>
      <c r="L889" t="s">
        <v>2727</v>
      </c>
      <c r="M889" t="s">
        <v>59</v>
      </c>
      <c r="N889">
        <v>4</v>
      </c>
      <c r="O889">
        <v>4176.13</v>
      </c>
      <c r="P889">
        <v>0</v>
      </c>
      <c r="Q889" s="7">
        <f>IF(P889="", 0, P889)</f>
        <v>0</v>
      </c>
      <c r="R889">
        <v>16704.52</v>
      </c>
      <c r="S889">
        <v>10158.280000000001</v>
      </c>
      <c r="T889" s="7">
        <f>N889*O889*(1-Q889)</f>
        <v>16704.52</v>
      </c>
      <c r="U889" s="7">
        <f t="shared" si="78"/>
        <v>6546.24</v>
      </c>
      <c r="V889">
        <v>6546.24</v>
      </c>
      <c r="W889" s="12">
        <f t="shared" si="79"/>
        <v>0.39188435225914897</v>
      </c>
      <c r="X889" t="s">
        <v>32</v>
      </c>
      <c r="Y889" t="str">
        <f t="shared" si="80"/>
        <v>Paid</v>
      </c>
      <c r="Z889" t="s">
        <v>33</v>
      </c>
      <c r="AA889">
        <f>C889-B889</f>
        <v>755</v>
      </c>
      <c r="AB889" t="str">
        <f>IF(B889="","Missing Order Date",
IF(C889="","Missing Ship Date","OK"))</f>
        <v>OK</v>
      </c>
      <c r="AC889" s="7" t="str">
        <f>IF(C889&lt;B889, "Invalid", "Valid")</f>
        <v>Valid</v>
      </c>
      <c r="AD889" s="7" t="str">
        <f>IF(COUNTIF($A:$A, A889)&gt;1, "Duplicate", "Unique")</f>
        <v>Unique</v>
      </c>
      <c r="AE889" s="7" t="str">
        <f>IF(G889="","Unknown",G889)</f>
        <v>South</v>
      </c>
      <c r="AF889" s="7" t="str">
        <f>IF(M889="","Unknown",M889)</f>
        <v>Standard Class</v>
      </c>
      <c r="AG889" s="7" t="str">
        <f>IF(P889&lt;0,"Invalid",
IF(P889&gt;1,"Invalid","Valid"))</f>
        <v>Valid</v>
      </c>
      <c r="AH889" s="7" t="str">
        <f>TEXT(B889,"mmmm")</f>
        <v>December</v>
      </c>
      <c r="AI889" s="7">
        <f t="shared" si="81"/>
        <v>2024</v>
      </c>
      <c r="AJ889" s="7" t="str">
        <f>IF(OR(R889&lt;0,C889&lt;B889),"Invalid",
IF(OR(G889="Unknown",M889="Unknown"),"Warning","Clean"))</f>
        <v>Clean</v>
      </c>
      <c r="AK889" s="7" t="str">
        <f>IF(C889&lt;B889,"Ship Before Order","OK")</f>
        <v>OK</v>
      </c>
      <c r="AL889" s="7" t="str">
        <f>IF(ISNUMBER(B889),"Valid","Invalid")</f>
        <v>Valid</v>
      </c>
      <c r="AM889" s="7" t="str">
        <f t="shared" si="82"/>
        <v>Ok</v>
      </c>
      <c r="AN889" s="7" t="str">
        <f t="shared" si="83"/>
        <v>Ok</v>
      </c>
    </row>
    <row r="890" spans="1:40">
      <c r="A890" t="s">
        <v>2728</v>
      </c>
      <c r="B890" s="6">
        <v>45875</v>
      </c>
      <c r="C890" s="4">
        <v>46388</v>
      </c>
      <c r="D890" t="s">
        <v>2729</v>
      </c>
      <c r="E890" t="s">
        <v>118</v>
      </c>
      <c r="F890" t="s">
        <v>37</v>
      </c>
      <c r="G890" t="s">
        <v>63</v>
      </c>
      <c r="H890" t="s">
        <v>64</v>
      </c>
      <c r="I890" t="s">
        <v>65</v>
      </c>
      <c r="J890" t="s">
        <v>28</v>
      </c>
      <c r="K890" t="s">
        <v>48</v>
      </c>
      <c r="L890" t="s">
        <v>2730</v>
      </c>
      <c r="M890" t="s">
        <v>59</v>
      </c>
      <c r="N890">
        <v>4</v>
      </c>
      <c r="O890">
        <v>3523.64</v>
      </c>
      <c r="P890">
        <v>0.1</v>
      </c>
      <c r="Q890" s="7">
        <f>IF(P890="", 0, P890)</f>
        <v>0.1</v>
      </c>
      <c r="R890">
        <v>12685.1</v>
      </c>
      <c r="S890">
        <v>10779.56</v>
      </c>
      <c r="T890" s="7">
        <f>N890*O890*(1-Q890)</f>
        <v>12685.103999999999</v>
      </c>
      <c r="U890" s="7">
        <f t="shared" si="78"/>
        <v>1905.5439999999999</v>
      </c>
      <c r="V890">
        <v>1905.54</v>
      </c>
      <c r="W890" s="12">
        <f t="shared" si="79"/>
        <v>0.15021902855506741</v>
      </c>
      <c r="X890" t="s">
        <v>102</v>
      </c>
      <c r="Y890" t="str">
        <f t="shared" si="80"/>
        <v>Refunded</v>
      </c>
      <c r="Z890" t="s">
        <v>68</v>
      </c>
      <c r="AA890">
        <f>C890-B890</f>
        <v>513</v>
      </c>
      <c r="AB890" t="str">
        <f>IF(B890="","Missing Order Date",
IF(C890="","Missing Ship Date","OK"))</f>
        <v>OK</v>
      </c>
      <c r="AC890" s="7" t="str">
        <f>IF(C890&lt;B890, "Invalid", "Valid")</f>
        <v>Valid</v>
      </c>
      <c r="AD890" s="7" t="str">
        <f>IF(COUNTIF($A:$A, A890)&gt;1, "Duplicate", "Unique")</f>
        <v>Unique</v>
      </c>
      <c r="AE890" s="7" t="str">
        <f>IF(G890="","Unknown",G890)</f>
        <v>West</v>
      </c>
      <c r="AF890" s="7" t="str">
        <f>IF(M890="","Unknown",M890)</f>
        <v>Standard Class</v>
      </c>
      <c r="AG890" s="7" t="str">
        <f>IF(P890&lt;0,"Invalid",
IF(P890&gt;1,"Invalid","Valid"))</f>
        <v>Valid</v>
      </c>
      <c r="AH890" s="7" t="str">
        <f>TEXT(B890,"mmmm")</f>
        <v>August</v>
      </c>
      <c r="AI890" s="7">
        <f t="shared" si="81"/>
        <v>2025</v>
      </c>
      <c r="AJ890" s="7" t="str">
        <f>IF(OR(R890&lt;0,C890&lt;B890),"Invalid",
IF(OR(G890="Unknown",M890="Unknown"),"Warning","Clean"))</f>
        <v>Clean</v>
      </c>
      <c r="AK890" s="7" t="str">
        <f>IF(C890&lt;B890,"Ship Before Order","OK")</f>
        <v>OK</v>
      </c>
      <c r="AL890" s="7" t="str">
        <f>IF(ISNUMBER(B890),"Valid","Invalid")</f>
        <v>Valid</v>
      </c>
      <c r="AM890" s="7" t="str">
        <f t="shared" si="82"/>
        <v>Missmatched</v>
      </c>
      <c r="AN890" s="7" t="str">
        <f t="shared" si="83"/>
        <v>Missmatched</v>
      </c>
    </row>
    <row r="891" spans="1:40">
      <c r="A891" t="s">
        <v>2731</v>
      </c>
      <c r="B891" s="6">
        <v>45933</v>
      </c>
      <c r="C891" s="4">
        <v>46389</v>
      </c>
      <c r="D891" t="s">
        <v>883</v>
      </c>
      <c r="E891" t="s">
        <v>89</v>
      </c>
      <c r="F891" t="s">
        <v>95</v>
      </c>
      <c r="G891" t="s">
        <v>63</v>
      </c>
      <c r="H891" t="s">
        <v>72</v>
      </c>
      <c r="I891" t="s">
        <v>73</v>
      </c>
      <c r="J891" t="s">
        <v>28</v>
      </c>
      <c r="K891" t="s">
        <v>124</v>
      </c>
      <c r="L891" t="s">
        <v>2732</v>
      </c>
      <c r="M891" t="s">
        <v>50</v>
      </c>
      <c r="N891">
        <v>2</v>
      </c>
      <c r="O891">
        <v>3922.08</v>
      </c>
      <c r="P891">
        <v>0.25</v>
      </c>
      <c r="Q891" s="7">
        <f>IF(P891="", 0, P891)</f>
        <v>0.25</v>
      </c>
      <c r="R891">
        <v>5883.12</v>
      </c>
      <c r="S891">
        <v>4647.91</v>
      </c>
      <c r="T891" s="7">
        <f>N891*O891*(1-Q891)</f>
        <v>5883.12</v>
      </c>
      <c r="U891" s="7">
        <f t="shared" si="78"/>
        <v>1235.21</v>
      </c>
      <c r="V891">
        <v>1235.21</v>
      </c>
      <c r="W891" s="12">
        <f t="shared" si="79"/>
        <v>0.20995832143488491</v>
      </c>
      <c r="X891" t="s">
        <v>32</v>
      </c>
      <c r="Y891" t="str">
        <f t="shared" si="80"/>
        <v>Paid</v>
      </c>
      <c r="Z891" t="s">
        <v>103</v>
      </c>
      <c r="AA891">
        <f>C891-B891</f>
        <v>456</v>
      </c>
      <c r="AB891" t="str">
        <f>IF(B891="","Missing Order Date",
IF(C891="","Missing Ship Date","OK"))</f>
        <v>OK</v>
      </c>
      <c r="AC891" s="7" t="str">
        <f>IF(C891&lt;B891, "Invalid", "Valid")</f>
        <v>Valid</v>
      </c>
      <c r="AD891" s="7" t="str">
        <f>IF(COUNTIF($A:$A, A891)&gt;1, "Duplicate", "Unique")</f>
        <v>Unique</v>
      </c>
      <c r="AE891" s="7" t="str">
        <f>IF(G891="","Unknown",G891)</f>
        <v>West</v>
      </c>
      <c r="AF891" s="7" t="str">
        <f>IF(M891="","Unknown",M891)</f>
        <v>First Class</v>
      </c>
      <c r="AG891" s="7" t="str">
        <f>IF(P891&lt;0,"Invalid",
IF(P891&gt;1,"Invalid","Valid"))</f>
        <v>Valid</v>
      </c>
      <c r="AH891" s="7" t="str">
        <f>TEXT(B891,"mmmm")</f>
        <v>October</v>
      </c>
      <c r="AI891" s="7">
        <f t="shared" si="81"/>
        <v>2025</v>
      </c>
      <c r="AJ891" s="7" t="str">
        <f>IF(OR(R891&lt;0,C891&lt;B891),"Invalid",
IF(OR(G891="Unknown",M891="Unknown"),"Warning","Clean"))</f>
        <v>Clean</v>
      </c>
      <c r="AK891" s="7" t="str">
        <f>IF(C891&lt;B891,"Ship Before Order","OK")</f>
        <v>OK</v>
      </c>
      <c r="AL891" s="7" t="str">
        <f>IF(ISNUMBER(B891),"Valid","Invalid")</f>
        <v>Valid</v>
      </c>
      <c r="AM891" s="7" t="str">
        <f t="shared" si="82"/>
        <v>Ok</v>
      </c>
      <c r="AN891" s="7" t="str">
        <f t="shared" si="83"/>
        <v>Ok</v>
      </c>
    </row>
    <row r="892" spans="1:40">
      <c r="A892" t="s">
        <v>2733</v>
      </c>
      <c r="B892" s="6">
        <v>45427</v>
      </c>
      <c r="C892" s="4">
        <v>46390</v>
      </c>
      <c r="D892" t="s">
        <v>2734</v>
      </c>
      <c r="E892" t="s">
        <v>23</v>
      </c>
      <c r="F892" t="s">
        <v>24</v>
      </c>
      <c r="G892" t="s">
        <v>63</v>
      </c>
      <c r="H892" t="s">
        <v>190</v>
      </c>
      <c r="I892" t="s">
        <v>191</v>
      </c>
      <c r="J892" t="s">
        <v>28</v>
      </c>
      <c r="K892" t="s">
        <v>124</v>
      </c>
      <c r="L892" t="s">
        <v>2735</v>
      </c>
      <c r="M892" t="s">
        <v>59</v>
      </c>
      <c r="N892">
        <v>6</v>
      </c>
      <c r="O892">
        <v>2909.56</v>
      </c>
      <c r="P892">
        <v>0.2</v>
      </c>
      <c r="Q892" s="7">
        <f>IF(P892="", 0, P892)</f>
        <v>0.2</v>
      </c>
      <c r="R892">
        <v>13965.89</v>
      </c>
      <c r="S892">
        <v>11646.12</v>
      </c>
      <c r="T892" s="7">
        <f>N892*O892*(1-Q892)</f>
        <v>13965.888000000001</v>
      </c>
      <c r="U892" s="7">
        <f t="shared" si="78"/>
        <v>2319.768</v>
      </c>
      <c r="V892">
        <v>2319.77</v>
      </c>
      <c r="W892" s="12">
        <f t="shared" si="79"/>
        <v>0.16610243473239938</v>
      </c>
      <c r="X892" t="s">
        <v>32</v>
      </c>
      <c r="Y892" t="str">
        <f t="shared" si="80"/>
        <v>Paid</v>
      </c>
      <c r="Z892" t="s">
        <v>33</v>
      </c>
      <c r="AA892">
        <f>C892-B892</f>
        <v>963</v>
      </c>
      <c r="AB892" t="str">
        <f>IF(B892="","Missing Order Date",
IF(C892="","Missing Ship Date","OK"))</f>
        <v>OK</v>
      </c>
      <c r="AC892" s="7" t="str">
        <f>IF(C892&lt;B892, "Invalid", "Valid")</f>
        <v>Valid</v>
      </c>
      <c r="AD892" s="7" t="str">
        <f>IF(COUNTIF($A:$A, A892)&gt;1, "Duplicate", "Unique")</f>
        <v>Unique</v>
      </c>
      <c r="AE892" s="7" t="str">
        <f>IF(G892="","Unknown",G892)</f>
        <v>West</v>
      </c>
      <c r="AF892" s="7" t="str">
        <f>IF(M892="","Unknown",M892)</f>
        <v>Standard Class</v>
      </c>
      <c r="AG892" s="7" t="str">
        <f>IF(P892&lt;0,"Invalid",
IF(P892&gt;1,"Invalid","Valid"))</f>
        <v>Valid</v>
      </c>
      <c r="AH892" s="7" t="str">
        <f>TEXT(B892,"mmmm")</f>
        <v>May</v>
      </c>
      <c r="AI892" s="7">
        <f t="shared" si="81"/>
        <v>2024</v>
      </c>
      <c r="AJ892" s="7" t="str">
        <f>IF(OR(R892&lt;0,C892&lt;B892),"Invalid",
IF(OR(G892="Unknown",M892="Unknown"),"Warning","Clean"))</f>
        <v>Clean</v>
      </c>
      <c r="AK892" s="7" t="str">
        <f>IF(C892&lt;B892,"Ship Before Order","OK")</f>
        <v>OK</v>
      </c>
      <c r="AL892" s="7" t="str">
        <f>IF(ISNUMBER(B892),"Valid","Invalid")</f>
        <v>Valid</v>
      </c>
      <c r="AM892" s="7" t="str">
        <f t="shared" si="82"/>
        <v>Missmatched</v>
      </c>
      <c r="AN892" s="7" t="str">
        <f t="shared" si="83"/>
        <v>Missmatched</v>
      </c>
    </row>
    <row r="893" spans="1:40">
      <c r="A893" t="s">
        <v>2736</v>
      </c>
      <c r="B893" s="6">
        <v>45514</v>
      </c>
      <c r="C893" s="4">
        <v>46391</v>
      </c>
      <c r="D893" t="s">
        <v>2737</v>
      </c>
      <c r="E893" t="s">
        <v>264</v>
      </c>
      <c r="F893" t="s">
        <v>90</v>
      </c>
      <c r="G893" t="s">
        <v>54</v>
      </c>
      <c r="H893" t="s">
        <v>247</v>
      </c>
      <c r="I893" t="s">
        <v>248</v>
      </c>
      <c r="J893" t="s">
        <v>74</v>
      </c>
      <c r="K893" t="s">
        <v>274</v>
      </c>
      <c r="L893" t="s">
        <v>2738</v>
      </c>
      <c r="M893" t="s">
        <v>44</v>
      </c>
      <c r="N893">
        <v>5</v>
      </c>
      <c r="O893">
        <v>2407.9699999999998</v>
      </c>
      <c r="P893">
        <v>0.1</v>
      </c>
      <c r="Q893" s="7">
        <f>IF(P893="", 0, P893)</f>
        <v>0.1</v>
      </c>
      <c r="R893">
        <v>10835.86</v>
      </c>
      <c r="S893">
        <v>6419.92</v>
      </c>
      <c r="T893" s="7">
        <f>N893*O893*(1-Q893)</f>
        <v>10835.865</v>
      </c>
      <c r="U893" s="7">
        <f t="shared" si="78"/>
        <v>4415.9449999999997</v>
      </c>
      <c r="V893">
        <v>4415.9399999999996</v>
      </c>
      <c r="W893" s="12">
        <f t="shared" si="79"/>
        <v>0.40753045557507406</v>
      </c>
      <c r="X893" t="s">
        <v>155</v>
      </c>
      <c r="Y893" t="str">
        <f t="shared" si="80"/>
        <v>Failed</v>
      </c>
      <c r="Z893" t="s">
        <v>68</v>
      </c>
      <c r="AA893">
        <f>C893-B893</f>
        <v>877</v>
      </c>
      <c r="AB893" t="str">
        <f>IF(B893="","Missing Order Date",
IF(C893="","Missing Ship Date","OK"))</f>
        <v>OK</v>
      </c>
      <c r="AC893" s="7" t="str">
        <f>IF(C893&lt;B893, "Invalid", "Valid")</f>
        <v>Valid</v>
      </c>
      <c r="AD893" s="7" t="str">
        <f>IF(COUNTIF($A:$A, A893)&gt;1, "Duplicate", "Unique")</f>
        <v>Unique</v>
      </c>
      <c r="AE893" s="7" t="str">
        <f>IF(G893="","Unknown",G893)</f>
        <v>South</v>
      </c>
      <c r="AF893" s="7" t="str">
        <f>IF(M893="","Unknown",M893)</f>
        <v>Same Day</v>
      </c>
      <c r="AG893" s="7" t="str">
        <f>IF(P893&lt;0,"Invalid",
IF(P893&gt;1,"Invalid","Valid"))</f>
        <v>Valid</v>
      </c>
      <c r="AH893" s="7" t="str">
        <f>TEXT(B893,"mmmm")</f>
        <v>August</v>
      </c>
      <c r="AI893" s="7">
        <f t="shared" si="81"/>
        <v>2024</v>
      </c>
      <c r="AJ893" s="7" t="str">
        <f>IF(OR(R893&lt;0,C893&lt;B893),"Invalid",
IF(OR(G893="Unknown",M893="Unknown"),"Warning","Clean"))</f>
        <v>Clean</v>
      </c>
      <c r="AK893" s="7" t="str">
        <f>IF(C893&lt;B893,"Ship Before Order","OK")</f>
        <v>OK</v>
      </c>
      <c r="AL893" s="7" t="str">
        <f>IF(ISNUMBER(B893),"Valid","Invalid")</f>
        <v>Valid</v>
      </c>
      <c r="AM893" s="7" t="str">
        <f t="shared" si="82"/>
        <v>Missmatched</v>
      </c>
      <c r="AN893" s="7" t="str">
        <f t="shared" si="83"/>
        <v>Missmatched</v>
      </c>
    </row>
    <row r="894" spans="1:40">
      <c r="A894" t="s">
        <v>2739</v>
      </c>
      <c r="B894" s="6">
        <v>45995</v>
      </c>
      <c r="C894" s="4">
        <v>46392</v>
      </c>
      <c r="D894" t="s">
        <v>2740</v>
      </c>
      <c r="E894" t="s">
        <v>47</v>
      </c>
      <c r="F894" t="s">
        <v>37</v>
      </c>
      <c r="G894" t="s">
        <v>38</v>
      </c>
      <c r="H894" t="s">
        <v>228</v>
      </c>
      <c r="I894" t="s">
        <v>229</v>
      </c>
      <c r="J894" t="s">
        <v>74</v>
      </c>
      <c r="K894" t="s">
        <v>80</v>
      </c>
      <c r="L894" t="s">
        <v>2741</v>
      </c>
      <c r="M894" t="s">
        <v>44</v>
      </c>
      <c r="N894">
        <v>1</v>
      </c>
      <c r="O894">
        <v>726.89</v>
      </c>
      <c r="P894">
        <v>0.2</v>
      </c>
      <c r="Q894" s="7">
        <f>IF(P894="", 0, P894)</f>
        <v>0.2</v>
      </c>
      <c r="R894">
        <v>581.51</v>
      </c>
      <c r="S894">
        <v>423.86</v>
      </c>
      <c r="T894" s="7">
        <f>N894*O894*(1-Q894)</f>
        <v>581.51200000000006</v>
      </c>
      <c r="U894" s="7">
        <f t="shared" si="78"/>
        <v>157.65200000000004</v>
      </c>
      <c r="V894">
        <v>157.65</v>
      </c>
      <c r="W894" s="12">
        <f t="shared" si="79"/>
        <v>0.27110704508247468</v>
      </c>
      <c r="X894" t="s">
        <v>32</v>
      </c>
      <c r="Y894" t="str">
        <f t="shared" si="80"/>
        <v>Paid</v>
      </c>
      <c r="Z894" t="s">
        <v>33</v>
      </c>
      <c r="AA894">
        <f>C894-B894</f>
        <v>397</v>
      </c>
      <c r="AB894" t="str">
        <f>IF(B894="","Missing Order Date",
IF(C894="","Missing Ship Date","OK"))</f>
        <v>OK</v>
      </c>
      <c r="AC894" s="7" t="str">
        <f>IF(C894&lt;B894, "Invalid", "Valid")</f>
        <v>Valid</v>
      </c>
      <c r="AD894" s="7" t="str">
        <f>IF(COUNTIF($A:$A, A894)&gt;1, "Duplicate", "Unique")</f>
        <v>Unique</v>
      </c>
      <c r="AE894" s="7" t="str">
        <f>IF(G894="","Unknown",G894)</f>
        <v>East</v>
      </c>
      <c r="AF894" s="7" t="str">
        <f>IF(M894="","Unknown",M894)</f>
        <v>Same Day</v>
      </c>
      <c r="AG894" s="7" t="str">
        <f>IF(P894&lt;0,"Invalid",
IF(P894&gt;1,"Invalid","Valid"))</f>
        <v>Valid</v>
      </c>
      <c r="AH894" s="7" t="str">
        <f>TEXT(B894,"mmmm")</f>
        <v>December</v>
      </c>
      <c r="AI894" s="7">
        <f t="shared" si="81"/>
        <v>2025</v>
      </c>
      <c r="AJ894" s="7" t="str">
        <f>IF(OR(R894&lt;0,C894&lt;B894),"Invalid",
IF(OR(G894="Unknown",M894="Unknown"),"Warning","Clean"))</f>
        <v>Clean</v>
      </c>
      <c r="AK894" s="7" t="str">
        <f>IF(C894&lt;B894,"Ship Before Order","OK")</f>
        <v>OK</v>
      </c>
      <c r="AL894" s="7" t="str">
        <f>IF(ISNUMBER(B894),"Valid","Invalid")</f>
        <v>Valid</v>
      </c>
      <c r="AM894" s="7" t="str">
        <f t="shared" si="82"/>
        <v>Missmatched</v>
      </c>
      <c r="AN894" s="7" t="str">
        <f t="shared" si="83"/>
        <v>Missmatched</v>
      </c>
    </row>
    <row r="895" spans="1:40">
      <c r="A895" t="s">
        <v>2742</v>
      </c>
      <c r="B895" s="6">
        <v>45449</v>
      </c>
      <c r="C895" s="4">
        <v>46393</v>
      </c>
      <c r="D895" t="s">
        <v>2743</v>
      </c>
      <c r="E895" t="s">
        <v>128</v>
      </c>
      <c r="F895" t="s">
        <v>90</v>
      </c>
      <c r="G895" t="s">
        <v>54</v>
      </c>
      <c r="H895" t="s">
        <v>175</v>
      </c>
      <c r="I895" t="s">
        <v>176</v>
      </c>
      <c r="J895" t="s">
        <v>41</v>
      </c>
      <c r="K895" t="s">
        <v>42</v>
      </c>
      <c r="L895" t="s">
        <v>2744</v>
      </c>
      <c r="M895" t="s">
        <v>31</v>
      </c>
      <c r="N895">
        <v>3</v>
      </c>
      <c r="O895">
        <v>395.49</v>
      </c>
      <c r="P895">
        <v>0.05</v>
      </c>
      <c r="Q895" s="7">
        <f>IF(P895="", 0, P895)</f>
        <v>0.05</v>
      </c>
      <c r="R895">
        <v>1127.1500000000001</v>
      </c>
      <c r="S895">
        <v>845.62</v>
      </c>
      <c r="T895" s="7">
        <f>N895*O895*(1-Q895)</f>
        <v>1127.1465000000001</v>
      </c>
      <c r="U895" s="7">
        <f t="shared" si="78"/>
        <v>281.52650000000006</v>
      </c>
      <c r="V895">
        <v>281.52999999999997</v>
      </c>
      <c r="W895" s="12">
        <f t="shared" si="79"/>
        <v>0.24976921810962466</v>
      </c>
      <c r="X895" t="s">
        <v>32</v>
      </c>
      <c r="Y895" t="str">
        <f t="shared" si="80"/>
        <v>Paid</v>
      </c>
      <c r="Z895" t="s">
        <v>103</v>
      </c>
      <c r="AA895">
        <f>C895-B895</f>
        <v>944</v>
      </c>
      <c r="AB895" t="str">
        <f>IF(B895="","Missing Order Date",
IF(C895="","Missing Ship Date","OK"))</f>
        <v>OK</v>
      </c>
      <c r="AC895" s="7" t="str">
        <f>IF(C895&lt;B895, "Invalid", "Valid")</f>
        <v>Valid</v>
      </c>
      <c r="AD895" s="7" t="str">
        <f>IF(COUNTIF($A:$A, A895)&gt;1, "Duplicate", "Unique")</f>
        <v>Unique</v>
      </c>
      <c r="AE895" s="7" t="str">
        <f>IF(G895="","Unknown",G895)</f>
        <v>South</v>
      </c>
      <c r="AF895" s="7" t="str">
        <f>IF(M895="","Unknown",M895)</f>
        <v>Second Class</v>
      </c>
      <c r="AG895" s="7" t="str">
        <f>IF(P895&lt;0,"Invalid",
IF(P895&gt;1,"Invalid","Valid"))</f>
        <v>Valid</v>
      </c>
      <c r="AH895" s="7" t="str">
        <f>TEXT(B895,"mmmm")</f>
        <v>June</v>
      </c>
      <c r="AI895" s="7">
        <f t="shared" si="81"/>
        <v>2024</v>
      </c>
      <c r="AJ895" s="7" t="str">
        <f>IF(OR(R895&lt;0,C895&lt;B895),"Invalid",
IF(OR(G895="Unknown",M895="Unknown"),"Warning","Clean"))</f>
        <v>Clean</v>
      </c>
      <c r="AK895" s="7" t="str">
        <f>IF(C895&lt;B895,"Ship Before Order","OK")</f>
        <v>OK</v>
      </c>
      <c r="AL895" s="7" t="str">
        <f>IF(ISNUMBER(B895),"Valid","Invalid")</f>
        <v>Valid</v>
      </c>
      <c r="AM895" s="7" t="str">
        <f t="shared" si="82"/>
        <v>Missmatched</v>
      </c>
      <c r="AN895" s="7" t="str">
        <f t="shared" si="83"/>
        <v>Missmatched</v>
      </c>
    </row>
    <row r="896" spans="1:40">
      <c r="A896" t="s">
        <v>2745</v>
      </c>
      <c r="B896" s="6">
        <v>45344</v>
      </c>
      <c r="C896" s="4">
        <v>46394</v>
      </c>
      <c r="D896" t="s">
        <v>2746</v>
      </c>
      <c r="E896" t="s">
        <v>47</v>
      </c>
      <c r="F896" t="s">
        <v>95</v>
      </c>
      <c r="G896" t="s">
        <v>54</v>
      </c>
      <c r="H896" t="s">
        <v>55</v>
      </c>
      <c r="I896" t="s">
        <v>56</v>
      </c>
      <c r="J896" t="s">
        <v>41</v>
      </c>
      <c r="K896" t="s">
        <v>42</v>
      </c>
      <c r="L896" t="s">
        <v>2747</v>
      </c>
      <c r="M896" t="s">
        <v>50</v>
      </c>
      <c r="N896">
        <v>6</v>
      </c>
      <c r="O896">
        <v>4254.05</v>
      </c>
      <c r="P896">
        <v>0</v>
      </c>
      <c r="Q896" s="7">
        <f>IF(P896="", 0, P896)</f>
        <v>0</v>
      </c>
      <c r="R896">
        <v>25524.3</v>
      </c>
      <c r="S896">
        <v>16711.93</v>
      </c>
      <c r="T896" s="7">
        <f>N896*O896*(1-Q896)</f>
        <v>25524.300000000003</v>
      </c>
      <c r="U896" s="7">
        <f t="shared" si="78"/>
        <v>8812.3700000000026</v>
      </c>
      <c r="V896">
        <v>8812.3700000000008</v>
      </c>
      <c r="W896" s="12">
        <f t="shared" si="79"/>
        <v>0.34525413037771857</v>
      </c>
      <c r="X896" t="s">
        <v>32</v>
      </c>
      <c r="Y896" t="str">
        <f t="shared" si="80"/>
        <v>Paid</v>
      </c>
      <c r="Z896" t="s">
        <v>33</v>
      </c>
      <c r="AA896">
        <f>C896-B896</f>
        <v>1050</v>
      </c>
      <c r="AB896" t="str">
        <f>IF(B896="","Missing Order Date",
IF(C896="","Missing Ship Date","OK"))</f>
        <v>OK</v>
      </c>
      <c r="AC896" s="7" t="str">
        <f>IF(C896&lt;B896, "Invalid", "Valid")</f>
        <v>Valid</v>
      </c>
      <c r="AD896" s="7" t="str">
        <f>IF(COUNTIF($A:$A, A896)&gt;1, "Duplicate", "Unique")</f>
        <v>Unique</v>
      </c>
      <c r="AE896" s="7" t="str">
        <f>IF(G896="","Unknown",G896)</f>
        <v>South</v>
      </c>
      <c r="AF896" s="7" t="str">
        <f>IF(M896="","Unknown",M896)</f>
        <v>First Class</v>
      </c>
      <c r="AG896" s="7" t="str">
        <f>IF(P896&lt;0,"Invalid",
IF(P896&gt;1,"Invalid","Valid"))</f>
        <v>Valid</v>
      </c>
      <c r="AH896" s="7" t="str">
        <f>TEXT(B896,"mmmm")</f>
        <v>February</v>
      </c>
      <c r="AI896" s="7">
        <f t="shared" si="81"/>
        <v>2024</v>
      </c>
      <c r="AJ896" s="7" t="str">
        <f>IF(OR(R896&lt;0,C896&lt;B896),"Invalid",
IF(OR(G896="Unknown",M896="Unknown"),"Warning","Clean"))</f>
        <v>Clean</v>
      </c>
      <c r="AK896" s="7" t="str">
        <f>IF(C896&lt;B896,"Ship Before Order","OK")</f>
        <v>OK</v>
      </c>
      <c r="AL896" s="7" t="str">
        <f>IF(ISNUMBER(B896),"Valid","Invalid")</f>
        <v>Valid</v>
      </c>
      <c r="AM896" s="7" t="str">
        <f t="shared" si="82"/>
        <v>Ok</v>
      </c>
      <c r="AN896" s="7" t="str">
        <f t="shared" si="83"/>
        <v>Ok</v>
      </c>
    </row>
    <row r="897" spans="1:40">
      <c r="A897" t="s">
        <v>2748</v>
      </c>
      <c r="B897" s="6">
        <v>45423</v>
      </c>
      <c r="C897" s="4">
        <v>46395</v>
      </c>
      <c r="D897" t="s">
        <v>2749</v>
      </c>
      <c r="E897" t="s">
        <v>53</v>
      </c>
      <c r="F897" t="s">
        <v>24</v>
      </c>
      <c r="G897" t="s">
        <v>54</v>
      </c>
      <c r="H897" t="s">
        <v>185</v>
      </c>
      <c r="I897" t="s">
        <v>186</v>
      </c>
      <c r="J897" t="s">
        <v>41</v>
      </c>
      <c r="K897" t="s">
        <v>66</v>
      </c>
      <c r="L897" t="s">
        <v>2750</v>
      </c>
      <c r="M897" t="s">
        <v>44</v>
      </c>
      <c r="N897">
        <v>4</v>
      </c>
      <c r="O897">
        <v>711.18</v>
      </c>
      <c r="P897">
        <v>0.15</v>
      </c>
      <c r="Q897" s="7">
        <f>IF(P897="", 0, P897)</f>
        <v>0.15</v>
      </c>
      <c r="R897">
        <v>2418.0100000000002</v>
      </c>
      <c r="S897">
        <v>1441.89</v>
      </c>
      <c r="T897" s="7">
        <f>N897*O897*(1-Q897)</f>
        <v>2418.0119999999997</v>
      </c>
      <c r="U897" s="7">
        <f t="shared" si="78"/>
        <v>976.12199999999962</v>
      </c>
      <c r="V897">
        <v>976.12</v>
      </c>
      <c r="W897" s="12">
        <f t="shared" si="79"/>
        <v>0.40368782288921634</v>
      </c>
      <c r="X897" t="s">
        <v>111</v>
      </c>
      <c r="Y897" t="str">
        <f t="shared" si="80"/>
        <v>Pending</v>
      </c>
      <c r="Z897" t="s">
        <v>103</v>
      </c>
      <c r="AA897">
        <f>C897-B897</f>
        <v>972</v>
      </c>
      <c r="AB897" t="str">
        <f>IF(B897="","Missing Order Date",
IF(C897="","Missing Ship Date","OK"))</f>
        <v>OK</v>
      </c>
      <c r="AC897" s="7" t="str">
        <f>IF(C897&lt;B897, "Invalid", "Valid")</f>
        <v>Valid</v>
      </c>
      <c r="AD897" s="7" t="str">
        <f>IF(COUNTIF($A:$A, A897)&gt;1, "Duplicate", "Unique")</f>
        <v>Unique</v>
      </c>
      <c r="AE897" s="7" t="str">
        <f>IF(G897="","Unknown",G897)</f>
        <v>South</v>
      </c>
      <c r="AF897" s="7" t="str">
        <f>IF(M897="","Unknown",M897)</f>
        <v>Same Day</v>
      </c>
      <c r="AG897" s="7" t="str">
        <f>IF(P897&lt;0,"Invalid",
IF(P897&gt;1,"Invalid","Valid"))</f>
        <v>Valid</v>
      </c>
      <c r="AH897" s="7" t="str">
        <f>TEXT(B897,"mmmm")</f>
        <v>May</v>
      </c>
      <c r="AI897" s="7">
        <f t="shared" si="81"/>
        <v>2024</v>
      </c>
      <c r="AJ897" s="7" t="str">
        <f>IF(OR(R897&lt;0,C897&lt;B897),"Invalid",
IF(OR(G897="Unknown",M897="Unknown"),"Warning","Clean"))</f>
        <v>Clean</v>
      </c>
      <c r="AK897" s="7" t="str">
        <f>IF(C897&lt;B897,"Ship Before Order","OK")</f>
        <v>OK</v>
      </c>
      <c r="AL897" s="7" t="str">
        <f>IF(ISNUMBER(B897),"Valid","Invalid")</f>
        <v>Valid</v>
      </c>
      <c r="AM897" s="7" t="str">
        <f t="shared" si="82"/>
        <v>Missmatched</v>
      </c>
      <c r="AN897" s="7" t="str">
        <f t="shared" si="83"/>
        <v>Missmatched</v>
      </c>
    </row>
    <row r="898" spans="1:40">
      <c r="A898" t="s">
        <v>2751</v>
      </c>
      <c r="B898" s="6">
        <v>45650</v>
      </c>
      <c r="C898" s="4">
        <v>46396</v>
      </c>
      <c r="D898" t="s">
        <v>2752</v>
      </c>
      <c r="E898" t="s">
        <v>62</v>
      </c>
      <c r="F898" t="s">
        <v>37</v>
      </c>
      <c r="G898" t="s">
        <v>54</v>
      </c>
      <c r="H898" t="s">
        <v>247</v>
      </c>
      <c r="I898" t="s">
        <v>248</v>
      </c>
      <c r="J898" t="s">
        <v>74</v>
      </c>
      <c r="K898" t="s">
        <v>80</v>
      </c>
      <c r="L898" t="s">
        <v>2753</v>
      </c>
      <c r="M898" t="s">
        <v>31</v>
      </c>
      <c r="N898">
        <v>1</v>
      </c>
      <c r="O898">
        <v>3693.03</v>
      </c>
      <c r="P898">
        <v>0.05</v>
      </c>
      <c r="Q898" s="7">
        <f>IF(P898="", 0, P898)</f>
        <v>0.05</v>
      </c>
      <c r="R898">
        <v>3508.38</v>
      </c>
      <c r="S898">
        <v>2828.06</v>
      </c>
      <c r="T898" s="7">
        <f>N898*O898*(1-Q898)</f>
        <v>3508.3784999999998</v>
      </c>
      <c r="U898" s="7">
        <f t="shared" ref="U898:U933" si="84">T898-S898</f>
        <v>680.31849999999986</v>
      </c>
      <c r="V898">
        <v>680.32</v>
      </c>
      <c r="W898" s="12">
        <f t="shared" ref="W898:W933" si="85">IF(T898=0,0,U898/T898)</f>
        <v>0.19391251542557336</v>
      </c>
      <c r="X898" t="s">
        <v>155</v>
      </c>
      <c r="Y898" t="str">
        <f t="shared" ref="Y898:Y933" si="86">PROPER(TRIM(X898))</f>
        <v>Failed</v>
      </c>
      <c r="Z898" t="s">
        <v>103</v>
      </c>
      <c r="AA898">
        <f>C898-B898</f>
        <v>746</v>
      </c>
      <c r="AB898" t="str">
        <f>IF(B898="","Missing Order Date",
IF(C898="","Missing Ship Date","OK"))</f>
        <v>OK</v>
      </c>
      <c r="AC898" s="7" t="str">
        <f>IF(C898&lt;B898, "Invalid", "Valid")</f>
        <v>Valid</v>
      </c>
      <c r="AD898" s="7" t="str">
        <f>IF(COUNTIF($A:$A, A898)&gt;1, "Duplicate", "Unique")</f>
        <v>Unique</v>
      </c>
      <c r="AE898" s="7" t="str">
        <f>IF(G898="","Unknown",G898)</f>
        <v>South</v>
      </c>
      <c r="AF898" s="7" t="str">
        <f>IF(M898="","Unknown",M898)</f>
        <v>Second Class</v>
      </c>
      <c r="AG898" s="7" t="str">
        <f>IF(P898&lt;0,"Invalid",
IF(P898&gt;1,"Invalid","Valid"))</f>
        <v>Valid</v>
      </c>
      <c r="AH898" s="7" t="str">
        <f>TEXT(B898,"mmmm")</f>
        <v>December</v>
      </c>
      <c r="AI898" s="7">
        <f t="shared" ref="AI898:AI933" si="87">YEAR(B898)</f>
        <v>2024</v>
      </c>
      <c r="AJ898" s="7" t="str">
        <f>IF(OR(R898&lt;0,C898&lt;B898),"Invalid",
IF(OR(G898="Unknown",M898="Unknown"),"Warning","Clean"))</f>
        <v>Clean</v>
      </c>
      <c r="AK898" s="7" t="str">
        <f>IF(C898&lt;B898,"Ship Before Order","OK")</f>
        <v>OK</v>
      </c>
      <c r="AL898" s="7" t="str">
        <f>IF(ISNUMBER(B898),"Valid","Invalid")</f>
        <v>Valid</v>
      </c>
      <c r="AM898" s="7" t="str">
        <f t="shared" ref="AM898:AM933" si="88">IF(R898&lt;&gt;T898, "Missmatched", "Ok")</f>
        <v>Missmatched</v>
      </c>
      <c r="AN898" s="7" t="str">
        <f t="shared" ref="AN898:AN933" si="89">IF(V898&lt;&gt;U898, "Missmatched", "Ok")</f>
        <v>Missmatched</v>
      </c>
    </row>
    <row r="899" spans="1:40">
      <c r="A899" t="s">
        <v>2754</v>
      </c>
      <c r="B899" s="6">
        <v>45776</v>
      </c>
      <c r="C899" s="4">
        <v>46397</v>
      </c>
      <c r="D899" t="s">
        <v>2121</v>
      </c>
      <c r="E899" t="s">
        <v>141</v>
      </c>
      <c r="F899" t="s">
        <v>90</v>
      </c>
      <c r="G899" t="s">
        <v>25</v>
      </c>
      <c r="H899" t="s">
        <v>236</v>
      </c>
      <c r="I899" t="s">
        <v>237</v>
      </c>
      <c r="J899" t="s">
        <v>28</v>
      </c>
      <c r="K899" t="s">
        <v>29</v>
      </c>
      <c r="L899" t="s">
        <v>2755</v>
      </c>
      <c r="M899" t="s">
        <v>50</v>
      </c>
      <c r="N899">
        <v>4</v>
      </c>
      <c r="O899">
        <v>1786.65</v>
      </c>
      <c r="P899">
        <v>0.05</v>
      </c>
      <c r="Q899" s="7">
        <f>IF(P899="", 0, P899)</f>
        <v>0.05</v>
      </c>
      <c r="R899">
        <v>6789.27</v>
      </c>
      <c r="S899">
        <v>5626.43</v>
      </c>
      <c r="T899" s="7">
        <f>N899*O899*(1-Q899)</f>
        <v>6789.27</v>
      </c>
      <c r="U899" s="7">
        <f t="shared" si="84"/>
        <v>1162.8400000000001</v>
      </c>
      <c r="V899">
        <v>1162.8399999999999</v>
      </c>
      <c r="W899" s="12">
        <f t="shared" si="85"/>
        <v>0.17127614603631908</v>
      </c>
      <c r="X899" t="s">
        <v>32</v>
      </c>
      <c r="Y899" t="str">
        <f t="shared" si="86"/>
        <v>Paid</v>
      </c>
      <c r="Z899" t="s">
        <v>33</v>
      </c>
      <c r="AA899">
        <f>C899-B899</f>
        <v>621</v>
      </c>
      <c r="AB899" t="str">
        <f>IF(B899="","Missing Order Date",
IF(C899="","Missing Ship Date","OK"))</f>
        <v>OK</v>
      </c>
      <c r="AC899" s="7" t="str">
        <f>IF(C899&lt;B899, "Invalid", "Valid")</f>
        <v>Valid</v>
      </c>
      <c r="AD899" s="7" t="str">
        <f>IF(COUNTIF($A:$A, A899)&gt;1, "Duplicate", "Unique")</f>
        <v>Unique</v>
      </c>
      <c r="AE899" s="7" t="str">
        <f>IF(G899="","Unknown",G899)</f>
        <v>North</v>
      </c>
      <c r="AF899" s="7" t="str">
        <f>IF(M899="","Unknown",M899)</f>
        <v>First Class</v>
      </c>
      <c r="AG899" s="7" t="str">
        <f>IF(P899&lt;0,"Invalid",
IF(P899&gt;1,"Invalid","Valid"))</f>
        <v>Valid</v>
      </c>
      <c r="AH899" s="7" t="str">
        <f>TEXT(B899,"mmmm")</f>
        <v>April</v>
      </c>
      <c r="AI899" s="7">
        <f t="shared" si="87"/>
        <v>2025</v>
      </c>
      <c r="AJ899" s="7" t="str">
        <f>IF(OR(R899&lt;0,C899&lt;B899),"Invalid",
IF(OR(G899="Unknown",M899="Unknown"),"Warning","Clean"))</f>
        <v>Clean</v>
      </c>
      <c r="AK899" s="7" t="str">
        <f>IF(C899&lt;B899,"Ship Before Order","OK")</f>
        <v>OK</v>
      </c>
      <c r="AL899" s="7" t="str">
        <f>IF(ISNUMBER(B899),"Valid","Invalid")</f>
        <v>Valid</v>
      </c>
      <c r="AM899" s="7" t="str">
        <f t="shared" si="88"/>
        <v>Ok</v>
      </c>
      <c r="AN899" s="7" t="str">
        <f t="shared" si="89"/>
        <v>Ok</v>
      </c>
    </row>
    <row r="900" spans="1:40">
      <c r="A900" t="s">
        <v>2756</v>
      </c>
      <c r="B900" s="6">
        <v>45328</v>
      </c>
      <c r="C900" s="4">
        <v>46398</v>
      </c>
      <c r="D900" t="s">
        <v>2757</v>
      </c>
      <c r="E900" t="s">
        <v>71</v>
      </c>
      <c r="F900" t="s">
        <v>24</v>
      </c>
      <c r="G900" t="s">
        <v>25</v>
      </c>
      <c r="H900" t="s">
        <v>350</v>
      </c>
      <c r="I900" t="s">
        <v>351</v>
      </c>
      <c r="J900" t="s">
        <v>41</v>
      </c>
      <c r="K900" t="s">
        <v>42</v>
      </c>
      <c r="L900" t="s">
        <v>2758</v>
      </c>
      <c r="M900" t="s">
        <v>50</v>
      </c>
      <c r="N900">
        <v>4</v>
      </c>
      <c r="O900">
        <v>1536.7</v>
      </c>
      <c r="P900">
        <v>0.2</v>
      </c>
      <c r="Q900" s="7">
        <f>IF(P900="", 0, P900)</f>
        <v>0.2</v>
      </c>
      <c r="R900">
        <v>4917.4399999999996</v>
      </c>
      <c r="S900">
        <v>3846.77</v>
      </c>
      <c r="T900" s="7">
        <f>N900*O900*(1-Q900)</f>
        <v>4917.4400000000005</v>
      </c>
      <c r="U900" s="7">
        <f t="shared" si="84"/>
        <v>1070.6700000000005</v>
      </c>
      <c r="V900">
        <v>1070.67</v>
      </c>
      <c r="W900" s="12">
        <f t="shared" si="85"/>
        <v>0.21772914361944434</v>
      </c>
      <c r="X900" t="s">
        <v>32</v>
      </c>
      <c r="Y900" t="str">
        <f t="shared" si="86"/>
        <v>Paid</v>
      </c>
      <c r="Z900" t="s">
        <v>33</v>
      </c>
      <c r="AA900">
        <f>C900-B900</f>
        <v>1070</v>
      </c>
      <c r="AB900" t="str">
        <f>IF(B900="","Missing Order Date",
IF(C900="","Missing Ship Date","OK"))</f>
        <v>OK</v>
      </c>
      <c r="AC900" s="7" t="str">
        <f>IF(C900&lt;B900, "Invalid", "Valid")</f>
        <v>Valid</v>
      </c>
      <c r="AD900" s="7" t="str">
        <f>IF(COUNTIF($A:$A, A900)&gt;1, "Duplicate", "Unique")</f>
        <v>Unique</v>
      </c>
      <c r="AE900" s="7" t="str">
        <f>IF(G900="","Unknown",G900)</f>
        <v>North</v>
      </c>
      <c r="AF900" s="7" t="str">
        <f>IF(M900="","Unknown",M900)</f>
        <v>First Class</v>
      </c>
      <c r="AG900" s="7" t="str">
        <f>IF(P900&lt;0,"Invalid",
IF(P900&gt;1,"Invalid","Valid"))</f>
        <v>Valid</v>
      </c>
      <c r="AH900" s="7" t="str">
        <f>TEXT(B900,"mmmm")</f>
        <v>February</v>
      </c>
      <c r="AI900" s="7">
        <f t="shared" si="87"/>
        <v>2024</v>
      </c>
      <c r="AJ900" s="7" t="str">
        <f>IF(OR(R900&lt;0,C900&lt;B900),"Invalid",
IF(OR(G900="Unknown",M900="Unknown"),"Warning","Clean"))</f>
        <v>Clean</v>
      </c>
      <c r="AK900" s="7" t="str">
        <f>IF(C900&lt;B900,"Ship Before Order","OK")</f>
        <v>OK</v>
      </c>
      <c r="AL900" s="7" t="str">
        <f>IF(ISNUMBER(B900),"Valid","Invalid")</f>
        <v>Valid</v>
      </c>
      <c r="AM900" s="7" t="str">
        <f t="shared" si="88"/>
        <v>Ok</v>
      </c>
      <c r="AN900" s="7" t="str">
        <f t="shared" si="89"/>
        <v>Ok</v>
      </c>
    </row>
    <row r="901" spans="1:40">
      <c r="A901" t="s">
        <v>2759</v>
      </c>
      <c r="B901" s="6">
        <v>45804</v>
      </c>
      <c r="C901" s="4">
        <v>46399</v>
      </c>
      <c r="D901" t="s">
        <v>2760</v>
      </c>
      <c r="E901" t="s">
        <v>23</v>
      </c>
      <c r="F901" t="s">
        <v>24</v>
      </c>
      <c r="G901" t="s">
        <v>25</v>
      </c>
      <c r="H901" t="s">
        <v>122</v>
      </c>
      <c r="I901" t="s">
        <v>123</v>
      </c>
      <c r="J901" t="s">
        <v>41</v>
      </c>
      <c r="K901" t="s">
        <v>66</v>
      </c>
      <c r="L901" t="s">
        <v>2761</v>
      </c>
      <c r="M901" t="s">
        <v>50</v>
      </c>
      <c r="N901">
        <v>5</v>
      </c>
      <c r="O901">
        <v>881.08</v>
      </c>
      <c r="P901">
        <v>0.25</v>
      </c>
      <c r="Q901" s="7">
        <f>IF(P901="", 0, P901)</f>
        <v>0.25</v>
      </c>
      <c r="R901">
        <v>3304.05</v>
      </c>
      <c r="S901">
        <v>2279.41</v>
      </c>
      <c r="T901" s="7">
        <f>N901*O901*(1-Q901)</f>
        <v>3304.05</v>
      </c>
      <c r="U901" s="7">
        <f t="shared" si="84"/>
        <v>1024.6400000000003</v>
      </c>
      <c r="V901">
        <v>1024.6400000000001</v>
      </c>
      <c r="W901" s="12">
        <f t="shared" si="85"/>
        <v>0.31011637233092726</v>
      </c>
      <c r="X901" t="s">
        <v>155</v>
      </c>
      <c r="Y901" t="str">
        <f t="shared" si="86"/>
        <v>Failed</v>
      </c>
      <c r="Z901" t="s">
        <v>68</v>
      </c>
      <c r="AA901">
        <f>C901-B901</f>
        <v>595</v>
      </c>
      <c r="AB901" t="str">
        <f>IF(B901="","Missing Order Date",
IF(C901="","Missing Ship Date","OK"))</f>
        <v>OK</v>
      </c>
      <c r="AC901" s="7" t="str">
        <f>IF(C901&lt;B901, "Invalid", "Valid")</f>
        <v>Valid</v>
      </c>
      <c r="AD901" s="7" t="str">
        <f>IF(COUNTIF($A:$A, A901)&gt;1, "Duplicate", "Unique")</f>
        <v>Unique</v>
      </c>
      <c r="AE901" s="7" t="str">
        <f>IF(G901="","Unknown",G901)</f>
        <v>North</v>
      </c>
      <c r="AF901" s="7" t="str">
        <f>IF(M901="","Unknown",M901)</f>
        <v>First Class</v>
      </c>
      <c r="AG901" s="7" t="str">
        <f>IF(P901&lt;0,"Invalid",
IF(P901&gt;1,"Invalid","Valid"))</f>
        <v>Valid</v>
      </c>
      <c r="AH901" s="7" t="str">
        <f>TEXT(B901,"mmmm")</f>
        <v>May</v>
      </c>
      <c r="AI901" s="7">
        <f t="shared" si="87"/>
        <v>2025</v>
      </c>
      <c r="AJ901" s="7" t="str">
        <f>IF(OR(R901&lt;0,C901&lt;B901),"Invalid",
IF(OR(G901="Unknown",M901="Unknown"),"Warning","Clean"))</f>
        <v>Clean</v>
      </c>
      <c r="AK901" s="7" t="str">
        <f>IF(C901&lt;B901,"Ship Before Order","OK")</f>
        <v>OK</v>
      </c>
      <c r="AL901" s="7" t="str">
        <f>IF(ISNUMBER(B901),"Valid","Invalid")</f>
        <v>Valid</v>
      </c>
      <c r="AM901" s="7" t="str">
        <f t="shared" si="88"/>
        <v>Ok</v>
      </c>
      <c r="AN901" s="7" t="str">
        <f t="shared" si="89"/>
        <v>Ok</v>
      </c>
    </row>
    <row r="902" spans="1:40">
      <c r="A902" t="s">
        <v>1605</v>
      </c>
      <c r="B902" s="6">
        <v>45295</v>
      </c>
      <c r="C902" s="4">
        <v>46400</v>
      </c>
      <c r="D902" t="s">
        <v>1606</v>
      </c>
      <c r="E902" t="s">
        <v>114</v>
      </c>
      <c r="F902" t="s">
        <v>37</v>
      </c>
      <c r="G902" t="s">
        <v>38</v>
      </c>
      <c r="H902" t="s">
        <v>39</v>
      </c>
      <c r="I902" t="s">
        <v>40</v>
      </c>
      <c r="J902" t="s">
        <v>74</v>
      </c>
      <c r="K902" t="s">
        <v>80</v>
      </c>
      <c r="L902" t="s">
        <v>1607</v>
      </c>
      <c r="M902" t="s">
        <v>31</v>
      </c>
      <c r="N902">
        <v>6</v>
      </c>
      <c r="O902">
        <v>826.93</v>
      </c>
      <c r="P902">
        <v>0.1</v>
      </c>
      <c r="Q902" s="7">
        <f>IF(P902="", 0, P902)</f>
        <v>0.1</v>
      </c>
      <c r="R902">
        <v>4465.42</v>
      </c>
      <c r="S902">
        <v>3377.1</v>
      </c>
      <c r="T902" s="7">
        <f>N902*O902*(1-Q902)</f>
        <v>4465.4220000000005</v>
      </c>
      <c r="U902" s="7">
        <f t="shared" si="84"/>
        <v>1088.3220000000006</v>
      </c>
      <c r="V902">
        <v>1088.32</v>
      </c>
      <c r="W902" s="12">
        <f t="shared" si="85"/>
        <v>0.24372209390288319</v>
      </c>
      <c r="X902" t="s">
        <v>32</v>
      </c>
      <c r="Y902" t="str">
        <f t="shared" si="86"/>
        <v>Paid</v>
      </c>
      <c r="Z902" t="s">
        <v>33</v>
      </c>
      <c r="AA902">
        <f>C902-B902</f>
        <v>1105</v>
      </c>
      <c r="AB902" t="str">
        <f>IF(B902="","Missing Order Date",
IF(C902="","Missing Ship Date","OK"))</f>
        <v>OK</v>
      </c>
      <c r="AC902" s="7" t="str">
        <f>IF(C902&lt;B902, "Invalid", "Valid")</f>
        <v>Valid</v>
      </c>
      <c r="AD902" s="7" t="str">
        <f>IF(COUNTIF($A:$A, A902)&gt;1, "Duplicate", "Unique")</f>
        <v>Duplicate</v>
      </c>
      <c r="AE902" s="7" t="str">
        <f>IF(G902="","Unknown",G902)</f>
        <v>East</v>
      </c>
      <c r="AF902" s="7" t="str">
        <f>IF(M902="","Unknown",M902)</f>
        <v>Second Class</v>
      </c>
      <c r="AG902" s="7" t="str">
        <f>IF(P902&lt;0,"Invalid",
IF(P902&gt;1,"Invalid","Valid"))</f>
        <v>Valid</v>
      </c>
      <c r="AH902" s="7" t="str">
        <f>TEXT(B902,"mmmm")</f>
        <v>January</v>
      </c>
      <c r="AI902" s="7">
        <f t="shared" si="87"/>
        <v>2024</v>
      </c>
      <c r="AJ902" s="7" t="str">
        <f>IF(OR(R902&lt;0,C902&lt;B902),"Invalid",
IF(OR(G902="Unknown",M902="Unknown"),"Warning","Clean"))</f>
        <v>Clean</v>
      </c>
      <c r="AK902" s="7" t="str">
        <f>IF(C902&lt;B902,"Ship Before Order","OK")</f>
        <v>OK</v>
      </c>
      <c r="AL902" s="7" t="str">
        <f>IF(ISNUMBER(B902),"Valid","Invalid")</f>
        <v>Valid</v>
      </c>
      <c r="AM902" s="7" t="str">
        <f t="shared" si="88"/>
        <v>Missmatched</v>
      </c>
      <c r="AN902" s="7" t="str">
        <f t="shared" si="89"/>
        <v>Missmatched</v>
      </c>
    </row>
    <row r="903" spans="1:40">
      <c r="A903" t="s">
        <v>1887</v>
      </c>
      <c r="B903" s="6">
        <v>45521</v>
      </c>
      <c r="C903" s="4">
        <v>46401</v>
      </c>
      <c r="D903" t="s">
        <v>1888</v>
      </c>
      <c r="E903" t="s">
        <v>62</v>
      </c>
      <c r="F903" t="s">
        <v>90</v>
      </c>
      <c r="G903" t="s">
        <v>38</v>
      </c>
      <c r="H903" t="s">
        <v>99</v>
      </c>
      <c r="I903" t="s">
        <v>100</v>
      </c>
      <c r="J903" t="s">
        <v>74</v>
      </c>
      <c r="K903" t="s">
        <v>80</v>
      </c>
      <c r="L903" t="s">
        <v>1889</v>
      </c>
      <c r="M903" t="s">
        <v>44</v>
      </c>
      <c r="N903">
        <v>3</v>
      </c>
      <c r="O903">
        <v>1490.69</v>
      </c>
      <c r="P903">
        <v>0.25</v>
      </c>
      <c r="Q903" s="7">
        <f>IF(P903="", 0, P903)</f>
        <v>0.25</v>
      </c>
      <c r="R903">
        <v>3354.05</v>
      </c>
      <c r="S903">
        <v>2672.67</v>
      </c>
      <c r="T903" s="7">
        <f>N903*O903*(1-Q903)</f>
        <v>3354.0524999999998</v>
      </c>
      <c r="U903" s="7">
        <f t="shared" si="84"/>
        <v>681.38249999999971</v>
      </c>
      <c r="V903">
        <v>681.38</v>
      </c>
      <c r="W903" s="12">
        <f t="shared" si="85"/>
        <v>0.20315200790685289</v>
      </c>
      <c r="X903" t="s">
        <v>32</v>
      </c>
      <c r="Y903" t="str">
        <f t="shared" si="86"/>
        <v>Paid</v>
      </c>
      <c r="Z903" t="s">
        <v>33</v>
      </c>
      <c r="AA903">
        <f>C903-B903</f>
        <v>880</v>
      </c>
      <c r="AB903" t="str">
        <f>IF(B903="","Missing Order Date",
IF(C903="","Missing Ship Date","OK"))</f>
        <v>OK</v>
      </c>
      <c r="AC903" s="7" t="str">
        <f>IF(C903&lt;B903, "Invalid", "Valid")</f>
        <v>Valid</v>
      </c>
      <c r="AD903" s="7" t="str">
        <f>IF(COUNTIF($A:$A, A903)&gt;1, "Duplicate", "Unique")</f>
        <v>Duplicate</v>
      </c>
      <c r="AE903" s="7" t="str">
        <f>IF(G903="","Unknown",G903)</f>
        <v>East</v>
      </c>
      <c r="AF903" s="7" t="str">
        <f>IF(M903="","Unknown",M903)</f>
        <v>Same Day</v>
      </c>
      <c r="AG903" s="7" t="str">
        <f>IF(P903&lt;0,"Invalid",
IF(P903&gt;1,"Invalid","Valid"))</f>
        <v>Valid</v>
      </c>
      <c r="AH903" s="7" t="str">
        <f>TEXT(B903,"mmmm")</f>
        <v>August</v>
      </c>
      <c r="AI903" s="7">
        <f t="shared" si="87"/>
        <v>2024</v>
      </c>
      <c r="AJ903" s="7" t="str">
        <f>IF(OR(R903&lt;0,C903&lt;B903),"Invalid",
IF(OR(G903="Unknown",M903="Unknown"),"Warning","Clean"))</f>
        <v>Clean</v>
      </c>
      <c r="AK903" s="7" t="str">
        <f>IF(C903&lt;B903,"Ship Before Order","OK")</f>
        <v>OK</v>
      </c>
      <c r="AL903" s="7" t="str">
        <f>IF(ISNUMBER(B903),"Valid","Invalid")</f>
        <v>Valid</v>
      </c>
      <c r="AM903" s="7" t="str">
        <f t="shared" si="88"/>
        <v>Missmatched</v>
      </c>
      <c r="AN903" s="7" t="str">
        <f t="shared" si="89"/>
        <v>Missmatched</v>
      </c>
    </row>
    <row r="904" spans="1:40">
      <c r="A904" t="s">
        <v>2164</v>
      </c>
      <c r="B904" s="6">
        <v>45870</v>
      </c>
      <c r="C904" s="4">
        <v>46402</v>
      </c>
      <c r="D904" t="s">
        <v>1137</v>
      </c>
      <c r="E904" t="s">
        <v>47</v>
      </c>
      <c r="F904" t="s">
        <v>24</v>
      </c>
      <c r="G904" t="s">
        <v>54</v>
      </c>
      <c r="H904" t="s">
        <v>84</v>
      </c>
      <c r="I904" t="s">
        <v>85</v>
      </c>
      <c r="J904" t="s">
        <v>28</v>
      </c>
      <c r="K904" t="s">
        <v>124</v>
      </c>
      <c r="L904" t="s">
        <v>2165</v>
      </c>
      <c r="M904" t="s">
        <v>50</v>
      </c>
      <c r="N904">
        <v>5</v>
      </c>
      <c r="O904">
        <v>2736.24</v>
      </c>
      <c r="P904">
        <v>0.15</v>
      </c>
      <c r="Q904" s="7">
        <f>IF(P904="", 0, P904)</f>
        <v>0.15</v>
      </c>
      <c r="R904">
        <v>11629.02</v>
      </c>
      <c r="S904">
        <v>9627.2099999999991</v>
      </c>
      <c r="T904" s="7">
        <f>N904*O904*(1-Q904)</f>
        <v>11629.019999999999</v>
      </c>
      <c r="U904" s="7">
        <f t="shared" si="84"/>
        <v>2001.8099999999995</v>
      </c>
      <c r="V904">
        <v>2001.81</v>
      </c>
      <c r="W904" s="12">
        <f t="shared" si="85"/>
        <v>0.17213918283741877</v>
      </c>
      <c r="X904" t="s">
        <v>32</v>
      </c>
      <c r="Y904" t="str">
        <f t="shared" si="86"/>
        <v>Paid</v>
      </c>
      <c r="Z904" t="s">
        <v>33</v>
      </c>
      <c r="AA904">
        <f>C904-B904</f>
        <v>532</v>
      </c>
      <c r="AB904" t="str">
        <f>IF(B904="","Missing Order Date",
IF(C904="","Missing Ship Date","OK"))</f>
        <v>OK</v>
      </c>
      <c r="AC904" s="7" t="str">
        <f>IF(C904&lt;B904, "Invalid", "Valid")</f>
        <v>Valid</v>
      </c>
      <c r="AD904" s="7" t="str">
        <f>IF(COUNTIF($A:$A, A904)&gt;1, "Duplicate", "Unique")</f>
        <v>Duplicate</v>
      </c>
      <c r="AE904" s="7" t="str">
        <f>IF(G904="","Unknown",G904)</f>
        <v>South</v>
      </c>
      <c r="AF904" s="7" t="str">
        <f>IF(M904="","Unknown",M904)</f>
        <v>First Class</v>
      </c>
      <c r="AG904" s="7" t="str">
        <f>IF(P904&lt;0,"Invalid",
IF(P904&gt;1,"Invalid","Valid"))</f>
        <v>Valid</v>
      </c>
      <c r="AH904" s="7" t="str">
        <f>TEXT(B904,"mmmm")</f>
        <v>August</v>
      </c>
      <c r="AI904" s="7">
        <f t="shared" si="87"/>
        <v>2025</v>
      </c>
      <c r="AJ904" s="7" t="str">
        <f>IF(OR(R904&lt;0,C904&lt;B904),"Invalid",
IF(OR(G904="Unknown",M904="Unknown"),"Warning","Clean"))</f>
        <v>Clean</v>
      </c>
      <c r="AK904" s="7" t="str">
        <f>IF(C904&lt;B904,"Ship Before Order","OK")</f>
        <v>OK</v>
      </c>
      <c r="AL904" s="7" t="str">
        <f>IF(ISNUMBER(B904),"Valid","Invalid")</f>
        <v>Valid</v>
      </c>
      <c r="AM904" s="7" t="str">
        <f t="shared" si="88"/>
        <v>Ok</v>
      </c>
      <c r="AN904" s="7" t="str">
        <f t="shared" si="89"/>
        <v>Ok</v>
      </c>
    </row>
    <row r="905" spans="1:40">
      <c r="A905" t="s">
        <v>2193</v>
      </c>
      <c r="B905" s="6">
        <v>45364</v>
      </c>
      <c r="C905" s="4">
        <v>46403</v>
      </c>
      <c r="D905" t="s">
        <v>2194</v>
      </c>
      <c r="E905" t="s">
        <v>114</v>
      </c>
      <c r="F905" t="s">
        <v>95</v>
      </c>
      <c r="G905" t="s">
        <v>54</v>
      </c>
      <c r="H905" t="s">
        <v>247</v>
      </c>
      <c r="I905" t="s">
        <v>248</v>
      </c>
      <c r="J905" t="s">
        <v>41</v>
      </c>
      <c r="K905" t="s">
        <v>158</v>
      </c>
      <c r="L905" t="s">
        <v>2195</v>
      </c>
      <c r="M905" t="s">
        <v>2785</v>
      </c>
      <c r="N905">
        <v>1</v>
      </c>
      <c r="O905">
        <v>2825.63</v>
      </c>
      <c r="P905">
        <v>0.15</v>
      </c>
      <c r="Q905" s="7">
        <f>IF(P905="", 0, P905)</f>
        <v>0.15</v>
      </c>
      <c r="R905">
        <v>2401.79</v>
      </c>
      <c r="S905">
        <v>1820.34</v>
      </c>
      <c r="T905" s="7">
        <f>N905*O905*(1-Q905)</f>
        <v>2401.7855</v>
      </c>
      <c r="U905" s="7">
        <f t="shared" si="84"/>
        <v>581.44550000000004</v>
      </c>
      <c r="V905">
        <v>581.45000000000005</v>
      </c>
      <c r="W905" s="12">
        <f t="shared" si="85"/>
        <v>0.24208885431276025</v>
      </c>
      <c r="X905" t="s">
        <v>32</v>
      </c>
      <c r="Y905" t="str">
        <f t="shared" si="86"/>
        <v>Paid</v>
      </c>
      <c r="Z905" t="s">
        <v>33</v>
      </c>
      <c r="AA905">
        <f>C905-B905</f>
        <v>1039</v>
      </c>
      <c r="AB905" t="str">
        <f>IF(B905="","Missing Order Date",
IF(C905="","Missing Ship Date","OK"))</f>
        <v>OK</v>
      </c>
      <c r="AC905" s="7" t="str">
        <f>IF(C905&lt;B905, "Invalid", "Valid")</f>
        <v>Valid</v>
      </c>
      <c r="AD905" s="7" t="str">
        <f>IF(COUNTIF($A:$A, A905)&gt;1, "Duplicate", "Unique")</f>
        <v>Duplicate</v>
      </c>
      <c r="AE905" s="7" t="str">
        <f>IF(G905="","Unknown",G905)</f>
        <v>South</v>
      </c>
      <c r="AF905" s="7" t="str">
        <f>IF(M905="","Unknown",M905)</f>
        <v>Unknown</v>
      </c>
      <c r="AG905" s="7" t="str">
        <f>IF(P905&lt;0,"Invalid",
IF(P905&gt;1,"Invalid","Valid"))</f>
        <v>Valid</v>
      </c>
      <c r="AH905" s="7" t="str">
        <f>TEXT(B905,"mmmm")</f>
        <v>March</v>
      </c>
      <c r="AI905" s="7">
        <f t="shared" si="87"/>
        <v>2024</v>
      </c>
      <c r="AJ905" s="7" t="str">
        <f>IF(OR(R905&lt;0,C905&lt;B905),"Invalid",
IF(OR(G905="Unknown",M905="Unknown"),"Warning","Clean"))</f>
        <v>Clean</v>
      </c>
      <c r="AK905" s="7" t="str">
        <f>IF(C905&lt;B905,"Ship Before Order","OK")</f>
        <v>OK</v>
      </c>
      <c r="AL905" s="7" t="str">
        <f>IF(ISNUMBER(B905),"Valid","Invalid")</f>
        <v>Valid</v>
      </c>
      <c r="AM905" s="7" t="str">
        <f t="shared" si="88"/>
        <v>Missmatched</v>
      </c>
      <c r="AN905" s="7" t="str">
        <f t="shared" si="89"/>
        <v>Missmatched</v>
      </c>
    </row>
    <row r="906" spans="1:40">
      <c r="A906" t="s">
        <v>935</v>
      </c>
      <c r="B906" s="6">
        <v>45313</v>
      </c>
      <c r="C906" s="4">
        <v>46404</v>
      </c>
      <c r="D906" t="s">
        <v>936</v>
      </c>
      <c r="E906" t="s">
        <v>128</v>
      </c>
      <c r="F906" t="s">
        <v>37</v>
      </c>
      <c r="G906" t="s">
        <v>2785</v>
      </c>
      <c r="H906" t="s">
        <v>166</v>
      </c>
      <c r="I906" t="s">
        <v>167</v>
      </c>
      <c r="J906" t="s">
        <v>41</v>
      </c>
      <c r="K906" t="s">
        <v>66</v>
      </c>
      <c r="L906" t="s">
        <v>937</v>
      </c>
      <c r="M906" t="s">
        <v>31</v>
      </c>
      <c r="N906">
        <v>6</v>
      </c>
      <c r="O906">
        <v>3391.53</v>
      </c>
      <c r="P906">
        <v>-0.14000000000000001</v>
      </c>
      <c r="Q906" s="7">
        <f>IF(P906="", 0, P906)</f>
        <v>-0.14000000000000001</v>
      </c>
      <c r="R906">
        <v>15261.89</v>
      </c>
      <c r="S906">
        <v>8413.5300000000007</v>
      </c>
      <c r="T906" s="7">
        <f>N906*O906*(1-Q906)</f>
        <v>23198.065200000005</v>
      </c>
      <c r="U906" s="7">
        <f t="shared" si="84"/>
        <v>14784.535200000004</v>
      </c>
      <c r="V906">
        <v>6848.36</v>
      </c>
      <c r="W906" s="12">
        <f t="shared" si="85"/>
        <v>0.63731759836591895</v>
      </c>
      <c r="X906" t="s">
        <v>32</v>
      </c>
      <c r="Y906" t="str">
        <f t="shared" si="86"/>
        <v>Paid</v>
      </c>
      <c r="Z906" t="s">
        <v>33</v>
      </c>
      <c r="AA906">
        <f>C906-B906</f>
        <v>1091</v>
      </c>
      <c r="AB906" t="str">
        <f>IF(B906="","Missing Order Date",
IF(C906="","Missing Ship Date","OK"))</f>
        <v>OK</v>
      </c>
      <c r="AC906" s="7" t="str">
        <f>IF(C906&lt;B906, "Invalid", "Valid")</f>
        <v>Valid</v>
      </c>
      <c r="AD906" s="7" t="str">
        <f>IF(COUNTIF($A:$A, A906)&gt;1, "Duplicate", "Unique")</f>
        <v>Duplicate</v>
      </c>
      <c r="AE906" s="7" t="str">
        <f>IF(G906="","Unknown",G906)</f>
        <v>Unknown</v>
      </c>
      <c r="AF906" s="7" t="str">
        <f>IF(M906="","Unknown",M906)</f>
        <v>Second Class</v>
      </c>
      <c r="AG906" s="7" t="str">
        <f>IF(P906&lt;0,"Invalid",
IF(P906&gt;1,"Invalid","Valid"))</f>
        <v>Invalid</v>
      </c>
      <c r="AH906" s="7" t="str">
        <f>TEXT(B906,"mmmm")</f>
        <v>January</v>
      </c>
      <c r="AI906" s="7">
        <f t="shared" si="87"/>
        <v>2024</v>
      </c>
      <c r="AJ906" s="7" t="str">
        <f>IF(OR(R906&lt;0,C906&lt;B906),"Invalid",
IF(OR(G906="Unknown",M906="Unknown"),"Warning","Clean"))</f>
        <v>Clean</v>
      </c>
      <c r="AK906" s="7" t="str">
        <f>IF(C906&lt;B906,"Ship Before Order","OK")</f>
        <v>OK</v>
      </c>
      <c r="AL906" s="7" t="str">
        <f>IF(ISNUMBER(B906),"Valid","Invalid")</f>
        <v>Valid</v>
      </c>
      <c r="AM906" s="7" t="str">
        <f t="shared" si="88"/>
        <v>Missmatched</v>
      </c>
      <c r="AN906" s="7" t="str">
        <f t="shared" si="89"/>
        <v>Missmatched</v>
      </c>
    </row>
    <row r="907" spans="1:40">
      <c r="A907" t="s">
        <v>1986</v>
      </c>
      <c r="B907" s="6">
        <v>45762</v>
      </c>
      <c r="C907" s="4">
        <v>46405</v>
      </c>
      <c r="D907" t="s">
        <v>1987</v>
      </c>
      <c r="E907" t="s">
        <v>132</v>
      </c>
      <c r="F907" t="s">
        <v>37</v>
      </c>
      <c r="G907" t="s">
        <v>54</v>
      </c>
      <c r="H907" t="s">
        <v>175</v>
      </c>
      <c r="I907" t="s">
        <v>176</v>
      </c>
      <c r="J907" t="s">
        <v>41</v>
      </c>
      <c r="K907" t="s">
        <v>57</v>
      </c>
      <c r="L907" t="s">
        <v>1988</v>
      </c>
      <c r="M907" t="s">
        <v>50</v>
      </c>
      <c r="N907">
        <v>5</v>
      </c>
      <c r="O907">
        <v>2850.53</v>
      </c>
      <c r="P907">
        <v>0</v>
      </c>
      <c r="Q907" s="7">
        <f>IF(P907="", 0, P907)</f>
        <v>0</v>
      </c>
      <c r="R907">
        <v>14252.65</v>
      </c>
      <c r="S907">
        <v>11558.31</v>
      </c>
      <c r="T907" s="7">
        <f>N907*O907*(1-Q907)</f>
        <v>14252.650000000001</v>
      </c>
      <c r="U907" s="7">
        <f t="shared" si="84"/>
        <v>2694.340000000002</v>
      </c>
      <c r="V907">
        <v>2694.34</v>
      </c>
      <c r="W907" s="12">
        <f t="shared" si="85"/>
        <v>0.18904133617257154</v>
      </c>
      <c r="X907" t="s">
        <v>32</v>
      </c>
      <c r="Y907" t="str">
        <f t="shared" si="86"/>
        <v>Paid</v>
      </c>
      <c r="Z907" t="s">
        <v>33</v>
      </c>
      <c r="AA907">
        <f>C907-B907</f>
        <v>643</v>
      </c>
      <c r="AB907" t="str">
        <f>IF(B907="","Missing Order Date",
IF(C907="","Missing Ship Date","OK"))</f>
        <v>OK</v>
      </c>
      <c r="AC907" s="7" t="str">
        <f>IF(C907&lt;B907, "Invalid", "Valid")</f>
        <v>Valid</v>
      </c>
      <c r="AD907" s="7" t="str">
        <f>IF(COUNTIF($A:$A, A907)&gt;1, "Duplicate", "Unique")</f>
        <v>Duplicate</v>
      </c>
      <c r="AE907" s="7" t="str">
        <f>IF(G907="","Unknown",G907)</f>
        <v>South</v>
      </c>
      <c r="AF907" s="7" t="str">
        <f>IF(M907="","Unknown",M907)</f>
        <v>First Class</v>
      </c>
      <c r="AG907" s="7" t="str">
        <f>IF(P907&lt;0,"Invalid",
IF(P907&gt;1,"Invalid","Valid"))</f>
        <v>Valid</v>
      </c>
      <c r="AH907" s="7" t="str">
        <f>TEXT(B907,"mmmm")</f>
        <v>April</v>
      </c>
      <c r="AI907" s="7">
        <f t="shared" si="87"/>
        <v>2025</v>
      </c>
      <c r="AJ907" s="7" t="str">
        <f>IF(OR(R907&lt;0,C907&lt;B907),"Invalid",
IF(OR(G907="Unknown",M907="Unknown"),"Warning","Clean"))</f>
        <v>Clean</v>
      </c>
      <c r="AK907" s="7" t="str">
        <f>IF(C907&lt;B907,"Ship Before Order","OK")</f>
        <v>OK</v>
      </c>
      <c r="AL907" s="7" t="str">
        <f>IF(ISNUMBER(B907),"Valid","Invalid")</f>
        <v>Valid</v>
      </c>
      <c r="AM907" s="7" t="str">
        <f t="shared" si="88"/>
        <v>Ok</v>
      </c>
      <c r="AN907" s="7" t="str">
        <f t="shared" si="89"/>
        <v>Ok</v>
      </c>
    </row>
    <row r="908" spans="1:40">
      <c r="A908" t="s">
        <v>2266</v>
      </c>
      <c r="B908" s="6">
        <v>45794</v>
      </c>
      <c r="C908" s="4">
        <v>46406</v>
      </c>
      <c r="D908" t="s">
        <v>2267</v>
      </c>
      <c r="E908" t="s">
        <v>62</v>
      </c>
      <c r="F908" t="s">
        <v>90</v>
      </c>
      <c r="G908" t="s">
        <v>54</v>
      </c>
      <c r="H908" t="s">
        <v>247</v>
      </c>
      <c r="I908" t="s">
        <v>248</v>
      </c>
      <c r="J908" t="s">
        <v>74</v>
      </c>
      <c r="K908" t="s">
        <v>274</v>
      </c>
      <c r="L908" t="s">
        <v>2268</v>
      </c>
      <c r="M908" t="s">
        <v>44</v>
      </c>
      <c r="N908">
        <v>6</v>
      </c>
      <c r="O908">
        <v>1810.63</v>
      </c>
      <c r="P908">
        <v>0.15</v>
      </c>
      <c r="Q908" s="7">
        <f>IF(P908="", 0, P908)</f>
        <v>0.15</v>
      </c>
      <c r="R908">
        <v>9234.2099999999991</v>
      </c>
      <c r="S908">
        <v>5516.52</v>
      </c>
      <c r="T908" s="7">
        <f>N908*O908*(1-Q908)</f>
        <v>9234.2129999999997</v>
      </c>
      <c r="U908" s="7">
        <f t="shared" si="84"/>
        <v>3717.6929999999993</v>
      </c>
      <c r="V908">
        <v>3717.69</v>
      </c>
      <c r="W908" s="12">
        <f t="shared" si="85"/>
        <v>0.40259987505161504</v>
      </c>
      <c r="X908" t="s">
        <v>32</v>
      </c>
      <c r="Y908" t="str">
        <f t="shared" si="86"/>
        <v>Paid</v>
      </c>
      <c r="Z908" t="s">
        <v>33</v>
      </c>
      <c r="AA908">
        <f>C908-B908</f>
        <v>612</v>
      </c>
      <c r="AB908" t="str">
        <f>IF(B908="","Missing Order Date",
IF(C908="","Missing Ship Date","OK"))</f>
        <v>OK</v>
      </c>
      <c r="AC908" s="7" t="str">
        <f>IF(C908&lt;B908, "Invalid", "Valid")</f>
        <v>Valid</v>
      </c>
      <c r="AD908" s="7" t="str">
        <f>IF(COUNTIF($A:$A, A908)&gt;1, "Duplicate", "Unique")</f>
        <v>Duplicate</v>
      </c>
      <c r="AE908" s="7" t="str">
        <f>IF(G908="","Unknown",G908)</f>
        <v>South</v>
      </c>
      <c r="AF908" s="7" t="str">
        <f>IF(M908="","Unknown",M908)</f>
        <v>Same Day</v>
      </c>
      <c r="AG908" s="7" t="str">
        <f>IF(P908&lt;0,"Invalid",
IF(P908&gt;1,"Invalid","Valid"))</f>
        <v>Valid</v>
      </c>
      <c r="AH908" s="7" t="str">
        <f>TEXT(B908,"mmmm")</f>
        <v>May</v>
      </c>
      <c r="AI908" s="7">
        <f t="shared" si="87"/>
        <v>2025</v>
      </c>
      <c r="AJ908" s="7" t="str">
        <f>IF(OR(R908&lt;0,C908&lt;B908),"Invalid",
IF(OR(G908="Unknown",M908="Unknown"),"Warning","Clean"))</f>
        <v>Clean</v>
      </c>
      <c r="AK908" s="7" t="str">
        <f>IF(C908&lt;B908,"Ship Before Order","OK")</f>
        <v>OK</v>
      </c>
      <c r="AL908" s="7" t="str">
        <f>IF(ISNUMBER(B908),"Valid","Invalid")</f>
        <v>Valid</v>
      </c>
      <c r="AM908" s="7" t="str">
        <f t="shared" si="88"/>
        <v>Missmatched</v>
      </c>
      <c r="AN908" s="7" t="str">
        <f t="shared" si="89"/>
        <v>Missmatched</v>
      </c>
    </row>
    <row r="909" spans="1:40">
      <c r="A909" t="s">
        <v>509</v>
      </c>
      <c r="B909" s="6">
        <v>45639</v>
      </c>
      <c r="C909" s="4">
        <v>46407</v>
      </c>
      <c r="D909" t="s">
        <v>510</v>
      </c>
      <c r="E909" t="s">
        <v>23</v>
      </c>
      <c r="F909" t="s">
        <v>24</v>
      </c>
      <c r="G909" t="s">
        <v>63</v>
      </c>
      <c r="H909" t="s">
        <v>190</v>
      </c>
      <c r="I909" t="s">
        <v>191</v>
      </c>
      <c r="J909" t="s">
        <v>74</v>
      </c>
      <c r="K909" t="s">
        <v>171</v>
      </c>
      <c r="L909" t="s">
        <v>511</v>
      </c>
      <c r="M909" t="s">
        <v>31</v>
      </c>
      <c r="N909">
        <v>8</v>
      </c>
      <c r="O909">
        <v>3372.15</v>
      </c>
      <c r="P909">
        <v>0.15</v>
      </c>
      <c r="Q909" s="7">
        <f>IF(P909="", 0, P909)</f>
        <v>0.15</v>
      </c>
      <c r="R909">
        <v>22930.62</v>
      </c>
      <c r="S909">
        <v>16875.55</v>
      </c>
      <c r="T909" s="7">
        <f>N909*O909*(1-Q909)</f>
        <v>22930.62</v>
      </c>
      <c r="U909" s="7">
        <f t="shared" si="84"/>
        <v>6055.07</v>
      </c>
      <c r="V909">
        <v>6055.07</v>
      </c>
      <c r="W909" s="12">
        <f t="shared" si="85"/>
        <v>0.26406045715292475</v>
      </c>
      <c r="X909" t="s">
        <v>32</v>
      </c>
      <c r="Y909" t="str">
        <f t="shared" si="86"/>
        <v>Paid</v>
      </c>
      <c r="Z909" t="s">
        <v>33</v>
      </c>
      <c r="AA909">
        <f>C909-B909</f>
        <v>768</v>
      </c>
      <c r="AB909" t="str">
        <f>IF(B909="","Missing Order Date",
IF(C909="","Missing Ship Date","OK"))</f>
        <v>OK</v>
      </c>
      <c r="AC909" s="7" t="str">
        <f>IF(C909&lt;B909, "Invalid", "Valid")</f>
        <v>Valid</v>
      </c>
      <c r="AD909" s="7" t="str">
        <f>IF(COUNTIF($A:$A, A909)&gt;1, "Duplicate", "Unique")</f>
        <v>Duplicate</v>
      </c>
      <c r="AE909" s="7" t="str">
        <f>IF(G909="","Unknown",G909)</f>
        <v>West</v>
      </c>
      <c r="AF909" s="7" t="str">
        <f>IF(M909="","Unknown",M909)</f>
        <v>Second Class</v>
      </c>
      <c r="AG909" s="7" t="str">
        <f>IF(P909&lt;0,"Invalid",
IF(P909&gt;1,"Invalid","Valid"))</f>
        <v>Valid</v>
      </c>
      <c r="AH909" s="7" t="str">
        <f>TEXT(B909,"mmmm")</f>
        <v>December</v>
      </c>
      <c r="AI909" s="7">
        <f t="shared" si="87"/>
        <v>2024</v>
      </c>
      <c r="AJ909" s="7" t="str">
        <f>IF(OR(R909&lt;0,C909&lt;B909),"Invalid",
IF(OR(G909="Unknown",M909="Unknown"),"Warning","Clean"))</f>
        <v>Clean</v>
      </c>
      <c r="AK909" s="7" t="str">
        <f>IF(C909&lt;B909,"Ship Before Order","OK")</f>
        <v>OK</v>
      </c>
      <c r="AL909" s="7" t="str">
        <f>IF(ISNUMBER(B909),"Valid","Invalid")</f>
        <v>Valid</v>
      </c>
      <c r="AM909" s="7" t="str">
        <f t="shared" si="88"/>
        <v>Ok</v>
      </c>
      <c r="AN909" s="7" t="str">
        <f t="shared" si="89"/>
        <v>Ok</v>
      </c>
    </row>
    <row r="910" spans="1:40">
      <c r="A910" t="s">
        <v>2237</v>
      </c>
      <c r="B910" s="6">
        <v>45878</v>
      </c>
      <c r="C910" s="4">
        <v>46408</v>
      </c>
      <c r="D910" t="s">
        <v>144</v>
      </c>
      <c r="E910" t="s">
        <v>264</v>
      </c>
      <c r="F910" t="s">
        <v>90</v>
      </c>
      <c r="G910" t="s">
        <v>63</v>
      </c>
      <c r="H910" t="s">
        <v>180</v>
      </c>
      <c r="I910" t="s">
        <v>181</v>
      </c>
      <c r="J910" t="s">
        <v>28</v>
      </c>
      <c r="K910" t="s">
        <v>48</v>
      </c>
      <c r="L910" t="s">
        <v>2238</v>
      </c>
      <c r="M910" t="s">
        <v>44</v>
      </c>
      <c r="N910">
        <v>2</v>
      </c>
      <c r="O910">
        <v>2372.41</v>
      </c>
      <c r="P910">
        <v>0.2</v>
      </c>
      <c r="Q910" s="7">
        <f>IF(P910="", 0, P910)</f>
        <v>0.2</v>
      </c>
      <c r="R910">
        <v>3795.86</v>
      </c>
      <c r="S910">
        <v>2264.92</v>
      </c>
      <c r="T910" s="7">
        <f>N910*O910*(1-Q910)</f>
        <v>3795.8559999999998</v>
      </c>
      <c r="U910" s="7">
        <f t="shared" si="84"/>
        <v>1530.9359999999997</v>
      </c>
      <c r="V910">
        <v>1530.94</v>
      </c>
      <c r="W910" s="12">
        <f t="shared" si="85"/>
        <v>0.40331772332775528</v>
      </c>
      <c r="X910" t="s">
        <v>32</v>
      </c>
      <c r="Y910" t="str">
        <f t="shared" si="86"/>
        <v>Paid</v>
      </c>
      <c r="Z910" t="s">
        <v>33</v>
      </c>
      <c r="AA910">
        <f>C910-B910</f>
        <v>530</v>
      </c>
      <c r="AB910" t="str">
        <f>IF(B910="","Missing Order Date",
IF(C910="","Missing Ship Date","OK"))</f>
        <v>OK</v>
      </c>
      <c r="AC910" s="7" t="str">
        <f>IF(C910&lt;B910, "Invalid", "Valid")</f>
        <v>Valid</v>
      </c>
      <c r="AD910" s="7" t="str">
        <f>IF(COUNTIF($A:$A, A910)&gt;1, "Duplicate", "Unique")</f>
        <v>Duplicate</v>
      </c>
      <c r="AE910" s="7" t="str">
        <f>IF(G910="","Unknown",G910)</f>
        <v>West</v>
      </c>
      <c r="AF910" s="7" t="str">
        <f>IF(M910="","Unknown",M910)</f>
        <v>Same Day</v>
      </c>
      <c r="AG910" s="7" t="str">
        <f>IF(P910&lt;0,"Invalid",
IF(P910&gt;1,"Invalid","Valid"))</f>
        <v>Valid</v>
      </c>
      <c r="AH910" s="7" t="str">
        <f>TEXT(B910,"mmmm")</f>
        <v>August</v>
      </c>
      <c r="AI910" s="7">
        <f t="shared" si="87"/>
        <v>2025</v>
      </c>
      <c r="AJ910" s="7" t="str">
        <f>IF(OR(R910&lt;0,C910&lt;B910),"Invalid",
IF(OR(G910="Unknown",M910="Unknown"),"Warning","Clean"))</f>
        <v>Clean</v>
      </c>
      <c r="AK910" s="7" t="str">
        <f>IF(C910&lt;B910,"Ship Before Order","OK")</f>
        <v>OK</v>
      </c>
      <c r="AL910" s="7" t="str">
        <f>IF(ISNUMBER(B910),"Valid","Invalid")</f>
        <v>Valid</v>
      </c>
      <c r="AM910" s="7" t="str">
        <f t="shared" si="88"/>
        <v>Missmatched</v>
      </c>
      <c r="AN910" s="7" t="str">
        <f t="shared" si="89"/>
        <v>Missmatched</v>
      </c>
    </row>
    <row r="911" spans="1:40">
      <c r="A911" t="s">
        <v>1299</v>
      </c>
      <c r="B911" s="6">
        <v>45771</v>
      </c>
      <c r="C911" s="4">
        <v>46409</v>
      </c>
      <c r="D911" t="s">
        <v>1300</v>
      </c>
      <c r="E911" t="s">
        <v>162</v>
      </c>
      <c r="F911" t="s">
        <v>37</v>
      </c>
      <c r="G911" t="s">
        <v>54</v>
      </c>
      <c r="H911" t="s">
        <v>84</v>
      </c>
      <c r="I911" t="s">
        <v>85</v>
      </c>
      <c r="J911" t="s">
        <v>28</v>
      </c>
      <c r="K911" t="s">
        <v>29</v>
      </c>
      <c r="L911" t="s">
        <v>1301</v>
      </c>
      <c r="M911" t="s">
        <v>44</v>
      </c>
      <c r="N911">
        <v>1</v>
      </c>
      <c r="O911">
        <v>4358.5</v>
      </c>
      <c r="P911">
        <v>0.25</v>
      </c>
      <c r="Q911" s="7">
        <f>IF(P911="", 0, P911)</f>
        <v>0.25</v>
      </c>
      <c r="R911">
        <v>3268.88</v>
      </c>
      <c r="S911">
        <v>1993.74</v>
      </c>
      <c r="T911" s="7">
        <f>N911*O911*(1-Q911)</f>
        <v>3268.875</v>
      </c>
      <c r="U911" s="7">
        <f t="shared" si="84"/>
        <v>1275.135</v>
      </c>
      <c r="V911">
        <v>1275.1400000000001</v>
      </c>
      <c r="W911" s="12">
        <f t="shared" si="85"/>
        <v>0.39008374440747962</v>
      </c>
      <c r="X911" t="s">
        <v>32</v>
      </c>
      <c r="Y911" t="str">
        <f t="shared" si="86"/>
        <v>Paid</v>
      </c>
      <c r="Z911" t="s">
        <v>33</v>
      </c>
      <c r="AA911">
        <f>C911-B911</f>
        <v>638</v>
      </c>
      <c r="AB911" t="str">
        <f>IF(B911="","Missing Order Date",
IF(C911="","Missing Ship Date","OK"))</f>
        <v>OK</v>
      </c>
      <c r="AC911" s="7" t="str">
        <f>IF(C911&lt;B911, "Invalid", "Valid")</f>
        <v>Valid</v>
      </c>
      <c r="AD911" s="7" t="str">
        <f>IF(COUNTIF($A:$A, A911)&gt;1, "Duplicate", "Unique")</f>
        <v>Duplicate</v>
      </c>
      <c r="AE911" s="7" t="str">
        <f>IF(G911="","Unknown",G911)</f>
        <v>South</v>
      </c>
      <c r="AF911" s="7" t="str">
        <f>IF(M911="","Unknown",M911)</f>
        <v>Same Day</v>
      </c>
      <c r="AG911" s="7" t="str">
        <f>IF(P911&lt;0,"Invalid",
IF(P911&gt;1,"Invalid","Valid"))</f>
        <v>Valid</v>
      </c>
      <c r="AH911" s="7" t="str">
        <f>TEXT(B911,"mmmm")</f>
        <v>April</v>
      </c>
      <c r="AI911" s="7">
        <f t="shared" si="87"/>
        <v>2025</v>
      </c>
      <c r="AJ911" s="7" t="str">
        <f>IF(OR(R911&lt;0,C911&lt;B911),"Invalid",
IF(OR(G911="Unknown",M911="Unknown"),"Warning","Clean"))</f>
        <v>Clean</v>
      </c>
      <c r="AK911" s="7" t="str">
        <f>IF(C911&lt;B911,"Ship Before Order","OK")</f>
        <v>OK</v>
      </c>
      <c r="AL911" s="7" t="str">
        <f>IF(ISNUMBER(B911),"Valid","Invalid")</f>
        <v>Valid</v>
      </c>
      <c r="AM911" s="7" t="str">
        <f t="shared" si="88"/>
        <v>Missmatched</v>
      </c>
      <c r="AN911" s="7" t="str">
        <f t="shared" si="89"/>
        <v>Missmatched</v>
      </c>
    </row>
    <row r="912" spans="1:40">
      <c r="A912" t="s">
        <v>479</v>
      </c>
      <c r="B912" s="6">
        <v>45436</v>
      </c>
      <c r="C912" s="4">
        <v>46410</v>
      </c>
      <c r="D912" t="s">
        <v>480</v>
      </c>
      <c r="E912" t="s">
        <v>132</v>
      </c>
      <c r="F912" t="s">
        <v>37</v>
      </c>
      <c r="G912" t="s">
        <v>25</v>
      </c>
      <c r="H912" t="s">
        <v>122</v>
      </c>
      <c r="I912" t="s">
        <v>123</v>
      </c>
      <c r="J912" t="s">
        <v>74</v>
      </c>
      <c r="K912" t="s">
        <v>80</v>
      </c>
      <c r="L912" t="s">
        <v>481</v>
      </c>
      <c r="M912" t="s">
        <v>44</v>
      </c>
      <c r="N912">
        <v>1</v>
      </c>
      <c r="O912">
        <v>634.13</v>
      </c>
      <c r="P912">
        <v>0</v>
      </c>
      <c r="Q912" s="7">
        <f>IF(P912="", 0, P912)</f>
        <v>0</v>
      </c>
      <c r="R912">
        <v>634.13</v>
      </c>
      <c r="S912">
        <v>453.35</v>
      </c>
      <c r="T912" s="7">
        <f>N912*O912*(1-Q912)</f>
        <v>634.13</v>
      </c>
      <c r="U912" s="7">
        <f t="shared" si="84"/>
        <v>180.77999999999997</v>
      </c>
      <c r="V912">
        <v>180.78</v>
      </c>
      <c r="W912" s="12">
        <f t="shared" si="85"/>
        <v>0.28508350022865969</v>
      </c>
      <c r="X912" t="s">
        <v>102</v>
      </c>
      <c r="Y912" t="str">
        <f t="shared" si="86"/>
        <v>Refunded</v>
      </c>
      <c r="Z912" t="s">
        <v>68</v>
      </c>
      <c r="AA912">
        <f>C912-B912</f>
        <v>974</v>
      </c>
      <c r="AB912" t="str">
        <f>IF(B912="","Missing Order Date",
IF(C912="","Missing Ship Date","OK"))</f>
        <v>OK</v>
      </c>
      <c r="AC912" s="7" t="str">
        <f>IF(C912&lt;B912, "Invalid", "Valid")</f>
        <v>Valid</v>
      </c>
      <c r="AD912" s="7" t="str">
        <f>IF(COUNTIF($A:$A, A912)&gt;1, "Duplicate", "Unique")</f>
        <v>Duplicate</v>
      </c>
      <c r="AE912" s="7" t="str">
        <f>IF(G912="","Unknown",G912)</f>
        <v>North</v>
      </c>
      <c r="AF912" s="7" t="str">
        <f>IF(M912="","Unknown",M912)</f>
        <v>Same Day</v>
      </c>
      <c r="AG912" s="7" t="str">
        <f>IF(P912&lt;0,"Invalid",
IF(P912&gt;1,"Invalid","Valid"))</f>
        <v>Valid</v>
      </c>
      <c r="AH912" s="7" t="str">
        <f>TEXT(B912,"mmmm")</f>
        <v>May</v>
      </c>
      <c r="AI912" s="7">
        <f t="shared" si="87"/>
        <v>2024</v>
      </c>
      <c r="AJ912" s="7" t="str">
        <f>IF(OR(R912&lt;0,C912&lt;B912),"Invalid",
IF(OR(G912="Unknown",M912="Unknown"),"Warning","Clean"))</f>
        <v>Clean</v>
      </c>
      <c r="AK912" s="7" t="str">
        <f>IF(C912&lt;B912,"Ship Before Order","OK")</f>
        <v>OK</v>
      </c>
      <c r="AL912" s="7" t="str">
        <f>IF(ISNUMBER(B912),"Valid","Invalid")</f>
        <v>Valid</v>
      </c>
      <c r="AM912" s="7" t="str">
        <f t="shared" si="88"/>
        <v>Ok</v>
      </c>
      <c r="AN912" s="7" t="str">
        <f t="shared" si="89"/>
        <v>Ok</v>
      </c>
    </row>
    <row r="913" spans="1:40">
      <c r="A913" t="s">
        <v>858</v>
      </c>
      <c r="B913" s="6">
        <v>45343</v>
      </c>
      <c r="C913" s="4">
        <v>46411</v>
      </c>
      <c r="D913" t="s">
        <v>859</v>
      </c>
      <c r="E913" t="s">
        <v>53</v>
      </c>
      <c r="F913" t="s">
        <v>37</v>
      </c>
      <c r="G913" t="s">
        <v>38</v>
      </c>
      <c r="H913" t="s">
        <v>99</v>
      </c>
      <c r="I913" t="s">
        <v>100</v>
      </c>
      <c r="J913" t="s">
        <v>41</v>
      </c>
      <c r="K913" t="s">
        <v>57</v>
      </c>
      <c r="L913" t="s">
        <v>860</v>
      </c>
      <c r="M913" t="s">
        <v>59</v>
      </c>
      <c r="N913">
        <v>5</v>
      </c>
      <c r="O913">
        <v>3373.86</v>
      </c>
      <c r="P913">
        <v>0.15</v>
      </c>
      <c r="Q913" s="7">
        <f>IF(P913="", 0, P913)</f>
        <v>0.15</v>
      </c>
      <c r="R913">
        <v>14338.9</v>
      </c>
      <c r="S913">
        <v>11897.65</v>
      </c>
      <c r="T913" s="7">
        <f>N913*O913*(1-Q913)</f>
        <v>14338.904999999999</v>
      </c>
      <c r="U913" s="7">
        <f t="shared" si="84"/>
        <v>2441.2549999999992</v>
      </c>
      <c r="V913">
        <v>2441.25</v>
      </c>
      <c r="W913" s="12">
        <f t="shared" si="85"/>
        <v>0.17025393501107647</v>
      </c>
      <c r="X913" t="s">
        <v>111</v>
      </c>
      <c r="Y913" t="str">
        <f t="shared" si="86"/>
        <v>Pending</v>
      </c>
      <c r="Z913" t="s">
        <v>103</v>
      </c>
      <c r="AA913">
        <f>C913-B913</f>
        <v>1068</v>
      </c>
      <c r="AB913" t="str">
        <f>IF(B913="","Missing Order Date",
IF(C913="","Missing Ship Date","OK"))</f>
        <v>OK</v>
      </c>
      <c r="AC913" s="7" t="str">
        <f>IF(C913&lt;B913, "Invalid", "Valid")</f>
        <v>Valid</v>
      </c>
      <c r="AD913" s="7" t="str">
        <f>IF(COUNTIF($A:$A, A913)&gt;1, "Duplicate", "Unique")</f>
        <v>Duplicate</v>
      </c>
      <c r="AE913" s="7" t="str">
        <f>IF(G913="","Unknown",G913)</f>
        <v>East</v>
      </c>
      <c r="AF913" s="7" t="str">
        <f>IF(M913="","Unknown",M913)</f>
        <v>Standard Class</v>
      </c>
      <c r="AG913" s="7" t="str">
        <f>IF(P913&lt;0,"Invalid",
IF(P913&gt;1,"Invalid","Valid"))</f>
        <v>Valid</v>
      </c>
      <c r="AH913" s="7" t="str">
        <f>TEXT(B913,"mmmm")</f>
        <v>February</v>
      </c>
      <c r="AI913" s="7">
        <f t="shared" si="87"/>
        <v>2024</v>
      </c>
      <c r="AJ913" s="7" t="str">
        <f>IF(OR(R913&lt;0,C913&lt;B913),"Invalid",
IF(OR(G913="Unknown",M913="Unknown"),"Warning","Clean"))</f>
        <v>Clean</v>
      </c>
      <c r="AK913" s="7" t="str">
        <f>IF(C913&lt;B913,"Ship Before Order","OK")</f>
        <v>OK</v>
      </c>
      <c r="AL913" s="7" t="str">
        <f>IF(ISNUMBER(B913),"Valid","Invalid")</f>
        <v>Valid</v>
      </c>
      <c r="AM913" s="7" t="str">
        <f t="shared" si="88"/>
        <v>Missmatched</v>
      </c>
      <c r="AN913" s="7" t="str">
        <f t="shared" si="89"/>
        <v>Missmatched</v>
      </c>
    </row>
    <row r="914" spans="1:40">
      <c r="A914" t="s">
        <v>1234</v>
      </c>
      <c r="B914" s="6">
        <v>45801</v>
      </c>
      <c r="C914" s="4">
        <v>46412</v>
      </c>
      <c r="D914" t="s">
        <v>1235</v>
      </c>
      <c r="E914" t="s">
        <v>264</v>
      </c>
      <c r="F914" t="s">
        <v>37</v>
      </c>
      <c r="G914" t="s">
        <v>38</v>
      </c>
      <c r="H914" t="s">
        <v>39</v>
      </c>
      <c r="I914" t="s">
        <v>40</v>
      </c>
      <c r="J914" t="s">
        <v>28</v>
      </c>
      <c r="K914" t="s">
        <v>124</v>
      </c>
      <c r="L914" t="s">
        <v>1236</v>
      </c>
      <c r="M914" t="s">
        <v>44</v>
      </c>
      <c r="N914">
        <v>1</v>
      </c>
      <c r="O914">
        <v>2564.7399999999998</v>
      </c>
      <c r="P914">
        <v>0</v>
      </c>
      <c r="Q914" s="7">
        <f>IF(P914="", 0, P914)</f>
        <v>0</v>
      </c>
      <c r="R914">
        <v>2564.7399999999998</v>
      </c>
      <c r="S914">
        <v>1754.58</v>
      </c>
      <c r="T914" s="7">
        <f>N914*O914*(1-Q914)</f>
        <v>2564.7399999999998</v>
      </c>
      <c r="U914" s="7">
        <f t="shared" si="84"/>
        <v>810.15999999999985</v>
      </c>
      <c r="V914">
        <v>810.16</v>
      </c>
      <c r="W914" s="12">
        <f t="shared" si="85"/>
        <v>0.31588387126960232</v>
      </c>
      <c r="X914" t="s">
        <v>32</v>
      </c>
      <c r="Y914" t="str">
        <f t="shared" si="86"/>
        <v>Paid</v>
      </c>
      <c r="Z914" t="s">
        <v>33</v>
      </c>
      <c r="AA914">
        <f>C914-B914</f>
        <v>611</v>
      </c>
      <c r="AB914" t="str">
        <f>IF(B914="","Missing Order Date",
IF(C914="","Missing Ship Date","OK"))</f>
        <v>OK</v>
      </c>
      <c r="AC914" s="7" t="str">
        <f>IF(C914&lt;B914, "Invalid", "Valid")</f>
        <v>Valid</v>
      </c>
      <c r="AD914" s="7" t="str">
        <f>IF(COUNTIF($A:$A, A914)&gt;1, "Duplicate", "Unique")</f>
        <v>Duplicate</v>
      </c>
      <c r="AE914" s="7" t="str">
        <f>IF(G914="","Unknown",G914)</f>
        <v>East</v>
      </c>
      <c r="AF914" s="7" t="str">
        <f>IF(M914="","Unknown",M914)</f>
        <v>Same Day</v>
      </c>
      <c r="AG914" s="7" t="str">
        <f>IF(P914&lt;0,"Invalid",
IF(P914&gt;1,"Invalid","Valid"))</f>
        <v>Valid</v>
      </c>
      <c r="AH914" s="7" t="str">
        <f>TEXT(B914,"mmmm")</f>
        <v>May</v>
      </c>
      <c r="AI914" s="7">
        <f t="shared" si="87"/>
        <v>2025</v>
      </c>
      <c r="AJ914" s="7" t="str">
        <f>IF(OR(R914&lt;0,C914&lt;B914),"Invalid",
IF(OR(G914="Unknown",M914="Unknown"),"Warning","Clean"))</f>
        <v>Clean</v>
      </c>
      <c r="AK914" s="7" t="str">
        <f>IF(C914&lt;B914,"Ship Before Order","OK")</f>
        <v>OK</v>
      </c>
      <c r="AL914" s="7" t="str">
        <f>IF(ISNUMBER(B914),"Valid","Invalid")</f>
        <v>Valid</v>
      </c>
      <c r="AM914" s="7" t="str">
        <f t="shared" si="88"/>
        <v>Ok</v>
      </c>
      <c r="AN914" s="7" t="str">
        <f t="shared" si="89"/>
        <v>Ok</v>
      </c>
    </row>
    <row r="915" spans="1:40">
      <c r="A915" t="s">
        <v>946</v>
      </c>
      <c r="B915" s="6">
        <v>45649</v>
      </c>
      <c r="C915" s="4">
        <v>46413</v>
      </c>
      <c r="D915" t="s">
        <v>947</v>
      </c>
      <c r="E915" t="s">
        <v>89</v>
      </c>
      <c r="F915" t="s">
        <v>24</v>
      </c>
      <c r="G915" t="s">
        <v>54</v>
      </c>
      <c r="H915" t="s">
        <v>175</v>
      </c>
      <c r="I915" t="s">
        <v>176</v>
      </c>
      <c r="J915" t="s">
        <v>74</v>
      </c>
      <c r="K915" t="s">
        <v>80</v>
      </c>
      <c r="L915" t="s">
        <v>948</v>
      </c>
      <c r="M915" t="s">
        <v>59</v>
      </c>
      <c r="N915">
        <v>9</v>
      </c>
      <c r="O915">
        <v>993.67</v>
      </c>
      <c r="P915">
        <v>0</v>
      </c>
      <c r="Q915" s="7">
        <f>IF(P915="", 0, P915)</f>
        <v>0</v>
      </c>
      <c r="R915">
        <v>8943.0300000000007</v>
      </c>
      <c r="S915">
        <v>5165.38</v>
      </c>
      <c r="T915" s="7">
        <f>N915*O915*(1-Q915)</f>
        <v>8943.0299999999988</v>
      </c>
      <c r="U915" s="7">
        <f t="shared" si="84"/>
        <v>3777.6499999999987</v>
      </c>
      <c r="V915">
        <v>3777.65</v>
      </c>
      <c r="W915" s="12">
        <f t="shared" si="85"/>
        <v>0.42241276167026154</v>
      </c>
      <c r="X915" t="s">
        <v>32</v>
      </c>
      <c r="Y915" t="str">
        <f t="shared" si="86"/>
        <v>Paid</v>
      </c>
      <c r="Z915" t="s">
        <v>33</v>
      </c>
      <c r="AA915">
        <f>C915-B915</f>
        <v>764</v>
      </c>
      <c r="AB915" t="str">
        <f>IF(B915="","Missing Order Date",
IF(C915="","Missing Ship Date","OK"))</f>
        <v>OK</v>
      </c>
      <c r="AC915" s="7" t="str">
        <f>IF(C915&lt;B915, "Invalid", "Valid")</f>
        <v>Valid</v>
      </c>
      <c r="AD915" s="7" t="str">
        <f>IF(COUNTIF($A:$A, A915)&gt;1, "Duplicate", "Unique")</f>
        <v>Duplicate</v>
      </c>
      <c r="AE915" s="7" t="str">
        <f>IF(G915="","Unknown",G915)</f>
        <v>South</v>
      </c>
      <c r="AF915" s="7" t="str">
        <f>IF(M915="","Unknown",M915)</f>
        <v>Standard Class</v>
      </c>
      <c r="AG915" s="7" t="str">
        <f>IF(P915&lt;0,"Invalid",
IF(P915&gt;1,"Invalid","Valid"))</f>
        <v>Valid</v>
      </c>
      <c r="AH915" s="7" t="str">
        <f>TEXT(B915,"mmmm")</f>
        <v>December</v>
      </c>
      <c r="AI915" s="7">
        <f t="shared" si="87"/>
        <v>2024</v>
      </c>
      <c r="AJ915" s="7" t="str">
        <f>IF(OR(R915&lt;0,C915&lt;B915),"Invalid",
IF(OR(G915="Unknown",M915="Unknown"),"Warning","Clean"))</f>
        <v>Clean</v>
      </c>
      <c r="AK915" s="7" t="str">
        <f>IF(C915&lt;B915,"Ship Before Order","OK")</f>
        <v>OK</v>
      </c>
      <c r="AL915" s="7" t="str">
        <f>IF(ISNUMBER(B915),"Valid","Invalid")</f>
        <v>Valid</v>
      </c>
      <c r="AM915" s="7" t="str">
        <f t="shared" si="88"/>
        <v>Ok</v>
      </c>
      <c r="AN915" s="7" t="str">
        <f t="shared" si="89"/>
        <v>Ok</v>
      </c>
    </row>
    <row r="916" spans="1:40">
      <c r="A916" t="s">
        <v>2217</v>
      </c>
      <c r="B916" s="6">
        <v>45567</v>
      </c>
      <c r="C916" s="4">
        <v>46414</v>
      </c>
      <c r="D916" t="s">
        <v>2218</v>
      </c>
      <c r="E916" t="s">
        <v>47</v>
      </c>
      <c r="F916" t="s">
        <v>95</v>
      </c>
      <c r="G916" t="s">
        <v>63</v>
      </c>
      <c r="H916" t="s">
        <v>72</v>
      </c>
      <c r="I916" t="s">
        <v>73</v>
      </c>
      <c r="J916" t="s">
        <v>41</v>
      </c>
      <c r="K916" t="s">
        <v>66</v>
      </c>
      <c r="L916" t="s">
        <v>2219</v>
      </c>
      <c r="M916" t="s">
        <v>50</v>
      </c>
      <c r="N916">
        <v>7</v>
      </c>
      <c r="O916">
        <v>1382.86</v>
      </c>
      <c r="P916">
        <v>0</v>
      </c>
      <c r="Q916" s="7">
        <f>IF(P916="", 0, P916)</f>
        <v>0</v>
      </c>
      <c r="R916">
        <v>9680.02</v>
      </c>
      <c r="S916">
        <v>6876.66</v>
      </c>
      <c r="T916" s="7">
        <f>N916*O916*(1-Q916)</f>
        <v>9680.0199999999986</v>
      </c>
      <c r="U916" s="7">
        <f t="shared" si="84"/>
        <v>2803.3599999999988</v>
      </c>
      <c r="V916">
        <v>2803.36</v>
      </c>
      <c r="W916" s="12">
        <f t="shared" si="85"/>
        <v>0.28960270743242256</v>
      </c>
      <c r="X916" t="s">
        <v>32</v>
      </c>
      <c r="Y916" t="str">
        <f t="shared" si="86"/>
        <v>Paid</v>
      </c>
      <c r="Z916" t="s">
        <v>33</v>
      </c>
      <c r="AA916">
        <f>C916-B916</f>
        <v>847</v>
      </c>
      <c r="AB916" t="str">
        <f>IF(B916="","Missing Order Date",
IF(C916="","Missing Ship Date","OK"))</f>
        <v>OK</v>
      </c>
      <c r="AC916" s="7" t="str">
        <f>IF(C916&lt;B916, "Invalid", "Valid")</f>
        <v>Valid</v>
      </c>
      <c r="AD916" s="7" t="str">
        <f>IF(COUNTIF($A:$A, A916)&gt;1, "Duplicate", "Unique")</f>
        <v>Duplicate</v>
      </c>
      <c r="AE916" s="7" t="str">
        <f>IF(G916="","Unknown",G916)</f>
        <v>West</v>
      </c>
      <c r="AF916" s="7" t="str">
        <f>IF(M916="","Unknown",M916)</f>
        <v>First Class</v>
      </c>
      <c r="AG916" s="7" t="str">
        <f>IF(P916&lt;0,"Invalid",
IF(P916&gt;1,"Invalid","Valid"))</f>
        <v>Valid</v>
      </c>
      <c r="AH916" s="7" t="str">
        <f>TEXT(B916,"mmmm")</f>
        <v>October</v>
      </c>
      <c r="AI916" s="7">
        <f t="shared" si="87"/>
        <v>2024</v>
      </c>
      <c r="AJ916" s="7" t="str">
        <f>IF(OR(R916&lt;0,C916&lt;B916),"Invalid",
IF(OR(G916="Unknown",M916="Unknown"),"Warning","Clean"))</f>
        <v>Clean</v>
      </c>
      <c r="AK916" s="7" t="str">
        <f>IF(C916&lt;B916,"Ship Before Order","OK")</f>
        <v>OK</v>
      </c>
      <c r="AL916" s="7" t="str">
        <f>IF(ISNUMBER(B916),"Valid","Invalid")</f>
        <v>Valid</v>
      </c>
      <c r="AM916" s="7" t="str">
        <f t="shared" si="88"/>
        <v>Ok</v>
      </c>
      <c r="AN916" s="7" t="str">
        <f t="shared" si="89"/>
        <v>Ok</v>
      </c>
    </row>
    <row r="917" spans="1:40">
      <c r="A917" t="s">
        <v>1744</v>
      </c>
      <c r="B917" s="6">
        <v>45971</v>
      </c>
      <c r="C917" s="4">
        <v>46415</v>
      </c>
      <c r="D917" t="s">
        <v>1745</v>
      </c>
      <c r="E917" t="s">
        <v>36</v>
      </c>
      <c r="F917" t="s">
        <v>90</v>
      </c>
      <c r="G917" t="s">
        <v>54</v>
      </c>
      <c r="H917" t="s">
        <v>55</v>
      </c>
      <c r="I917" t="s">
        <v>56</v>
      </c>
      <c r="J917" t="s">
        <v>28</v>
      </c>
      <c r="K917" t="s">
        <v>48</v>
      </c>
      <c r="L917" t="s">
        <v>1746</v>
      </c>
      <c r="M917" t="s">
        <v>31</v>
      </c>
      <c r="N917">
        <v>3</v>
      </c>
      <c r="O917">
        <v>3804.27</v>
      </c>
      <c r="P917">
        <v>0.1</v>
      </c>
      <c r="Q917" s="7">
        <f>IF(P917="", 0, P917)</f>
        <v>0.1</v>
      </c>
      <c r="R917">
        <v>10271.530000000001</v>
      </c>
      <c r="S917">
        <v>8272.24</v>
      </c>
      <c r="T917" s="7">
        <f>N917*O917*(1-Q917)</f>
        <v>10271.529</v>
      </c>
      <c r="U917" s="7">
        <f t="shared" si="84"/>
        <v>1999.2890000000007</v>
      </c>
      <c r="V917">
        <v>1999.29</v>
      </c>
      <c r="W917" s="12">
        <f t="shared" si="85"/>
        <v>0.19464375751652949</v>
      </c>
      <c r="X917" t="s">
        <v>32</v>
      </c>
      <c r="Y917" t="str">
        <f t="shared" si="86"/>
        <v>Paid</v>
      </c>
      <c r="Z917" t="s">
        <v>33</v>
      </c>
      <c r="AA917">
        <f>C917-B917</f>
        <v>444</v>
      </c>
      <c r="AB917" t="str">
        <f>IF(B917="","Missing Order Date",
IF(C917="","Missing Ship Date","OK"))</f>
        <v>OK</v>
      </c>
      <c r="AC917" s="7" t="str">
        <f>IF(C917&lt;B917, "Invalid", "Valid")</f>
        <v>Valid</v>
      </c>
      <c r="AD917" s="7" t="str">
        <f>IF(COUNTIF($A:$A, A917)&gt;1, "Duplicate", "Unique")</f>
        <v>Duplicate</v>
      </c>
      <c r="AE917" s="7" t="str">
        <f>IF(G917="","Unknown",G917)</f>
        <v>South</v>
      </c>
      <c r="AF917" s="7" t="str">
        <f>IF(M917="","Unknown",M917)</f>
        <v>Second Class</v>
      </c>
      <c r="AG917" s="7" t="str">
        <f>IF(P917&lt;0,"Invalid",
IF(P917&gt;1,"Invalid","Valid"))</f>
        <v>Valid</v>
      </c>
      <c r="AH917" s="7" t="str">
        <f>TEXT(B917,"mmmm")</f>
        <v>November</v>
      </c>
      <c r="AI917" s="7">
        <f t="shared" si="87"/>
        <v>2025</v>
      </c>
      <c r="AJ917" s="7" t="str">
        <f>IF(OR(R917&lt;0,C917&lt;B917),"Invalid",
IF(OR(G917="Unknown",M917="Unknown"),"Warning","Clean"))</f>
        <v>Clean</v>
      </c>
      <c r="AK917" s="7" t="str">
        <f>IF(C917&lt;B917,"Ship Before Order","OK")</f>
        <v>OK</v>
      </c>
      <c r="AL917" s="7" t="str">
        <f>IF(ISNUMBER(B917),"Valid","Invalid")</f>
        <v>Valid</v>
      </c>
      <c r="AM917" s="7" t="str">
        <f t="shared" si="88"/>
        <v>Missmatched</v>
      </c>
      <c r="AN917" s="7" t="str">
        <f t="shared" si="89"/>
        <v>Missmatched</v>
      </c>
    </row>
    <row r="918" spans="1:40">
      <c r="A918" t="s">
        <v>2618</v>
      </c>
      <c r="B918" s="6">
        <v>45446</v>
      </c>
      <c r="C918" s="4">
        <v>46416</v>
      </c>
      <c r="D918" t="s">
        <v>2619</v>
      </c>
      <c r="E918" t="s">
        <v>47</v>
      </c>
      <c r="F918" t="s">
        <v>95</v>
      </c>
      <c r="G918" t="s">
        <v>63</v>
      </c>
      <c r="H918" t="s">
        <v>180</v>
      </c>
      <c r="I918" t="s">
        <v>181</v>
      </c>
      <c r="J918" t="s">
        <v>41</v>
      </c>
      <c r="K918" t="s">
        <v>158</v>
      </c>
      <c r="L918" t="s">
        <v>2620</v>
      </c>
      <c r="M918" t="s">
        <v>59</v>
      </c>
      <c r="N918">
        <v>3</v>
      </c>
      <c r="O918">
        <v>679.63</v>
      </c>
      <c r="P918">
        <v>0.2</v>
      </c>
      <c r="Q918" s="7">
        <f>IF(P918="", 0, P918)</f>
        <v>0.2</v>
      </c>
      <c r="R918">
        <v>1631.11</v>
      </c>
      <c r="S918">
        <v>898.73</v>
      </c>
      <c r="T918" s="7">
        <f>N918*O918*(1-Q918)</f>
        <v>1631.1120000000001</v>
      </c>
      <c r="U918" s="7">
        <f t="shared" si="84"/>
        <v>732.38200000000006</v>
      </c>
      <c r="V918">
        <v>396.58</v>
      </c>
      <c r="W918" s="12">
        <f t="shared" si="85"/>
        <v>0.44900779345624336</v>
      </c>
      <c r="X918" t="s">
        <v>32</v>
      </c>
      <c r="Y918" t="str">
        <f t="shared" si="86"/>
        <v>Paid</v>
      </c>
      <c r="Z918" t="s">
        <v>33</v>
      </c>
      <c r="AA918">
        <f>C918-B918</f>
        <v>970</v>
      </c>
      <c r="AB918" t="str">
        <f>IF(B918="","Missing Order Date",
IF(C918="","Missing Ship Date","OK"))</f>
        <v>OK</v>
      </c>
      <c r="AC918" s="7" t="str">
        <f>IF(C918&lt;B918, "Invalid", "Valid")</f>
        <v>Valid</v>
      </c>
      <c r="AD918" s="7" t="str">
        <f>IF(COUNTIF($A:$A, A918)&gt;1, "Duplicate", "Unique")</f>
        <v>Duplicate</v>
      </c>
      <c r="AE918" s="7" t="str">
        <f>IF(G918="","Unknown",G918)</f>
        <v>West</v>
      </c>
      <c r="AF918" s="7" t="str">
        <f>IF(M918="","Unknown",M918)</f>
        <v>Standard Class</v>
      </c>
      <c r="AG918" s="7" t="str">
        <f>IF(P918&lt;0,"Invalid",
IF(P918&gt;1,"Invalid","Valid"))</f>
        <v>Valid</v>
      </c>
      <c r="AH918" s="7" t="str">
        <f>TEXT(B918,"mmmm")</f>
        <v>June</v>
      </c>
      <c r="AI918" s="7">
        <f t="shared" si="87"/>
        <v>2024</v>
      </c>
      <c r="AJ918" s="7" t="str">
        <f>IF(OR(R918&lt;0,C918&lt;B918),"Invalid",
IF(OR(G918="Unknown",M918="Unknown"),"Warning","Clean"))</f>
        <v>Clean</v>
      </c>
      <c r="AK918" s="7" t="str">
        <f>IF(C918&lt;B918,"Ship Before Order","OK")</f>
        <v>OK</v>
      </c>
      <c r="AL918" s="7" t="str">
        <f>IF(ISNUMBER(B918),"Valid","Invalid")</f>
        <v>Valid</v>
      </c>
      <c r="AM918" s="7" t="str">
        <f t="shared" si="88"/>
        <v>Missmatched</v>
      </c>
      <c r="AN918" s="7" t="str">
        <f t="shared" si="89"/>
        <v>Missmatched</v>
      </c>
    </row>
    <row r="919" spans="1:40">
      <c r="A919" t="s">
        <v>491</v>
      </c>
      <c r="B919" s="6">
        <v>45687</v>
      </c>
      <c r="C919" s="4">
        <v>46417</v>
      </c>
      <c r="D919" t="s">
        <v>492</v>
      </c>
      <c r="E919" t="s">
        <v>114</v>
      </c>
      <c r="F919" t="s">
        <v>90</v>
      </c>
      <c r="G919" t="s">
        <v>63</v>
      </c>
      <c r="H919" t="s">
        <v>72</v>
      </c>
      <c r="I919" t="s">
        <v>73</v>
      </c>
      <c r="J919" t="s">
        <v>28</v>
      </c>
      <c r="K919" t="s">
        <v>124</v>
      </c>
      <c r="L919" t="s">
        <v>493</v>
      </c>
      <c r="M919" t="s">
        <v>31</v>
      </c>
      <c r="N919">
        <v>2</v>
      </c>
      <c r="O919">
        <v>3039.3</v>
      </c>
      <c r="P919">
        <v>0.05</v>
      </c>
      <c r="Q919" s="7">
        <f>IF(P919="", 0, P919)</f>
        <v>0.05</v>
      </c>
      <c r="R919">
        <v>5774.67</v>
      </c>
      <c r="S919">
        <v>3518.36</v>
      </c>
      <c r="T919" s="7">
        <f>N919*O919*(1-Q919)</f>
        <v>5774.67</v>
      </c>
      <c r="U919" s="7">
        <f t="shared" si="84"/>
        <v>2256.31</v>
      </c>
      <c r="V919">
        <v>2256.31</v>
      </c>
      <c r="W919" s="12">
        <f t="shared" si="85"/>
        <v>0.39072535746631409</v>
      </c>
      <c r="X919" t="s">
        <v>32</v>
      </c>
      <c r="Y919" t="str">
        <f t="shared" si="86"/>
        <v>Paid</v>
      </c>
      <c r="Z919" t="s">
        <v>33</v>
      </c>
      <c r="AA919">
        <f>C919-B919</f>
        <v>730</v>
      </c>
      <c r="AB919" t="str">
        <f>IF(B919="","Missing Order Date",
IF(C919="","Missing Ship Date","OK"))</f>
        <v>OK</v>
      </c>
      <c r="AC919" s="7" t="str">
        <f>IF(C919&lt;B919, "Invalid", "Valid")</f>
        <v>Valid</v>
      </c>
      <c r="AD919" s="7" t="str">
        <f>IF(COUNTIF($A:$A, A919)&gt;1, "Duplicate", "Unique")</f>
        <v>Duplicate</v>
      </c>
      <c r="AE919" s="7" t="str">
        <f>IF(G919="","Unknown",G919)</f>
        <v>West</v>
      </c>
      <c r="AF919" s="7" t="str">
        <f>IF(M919="","Unknown",M919)</f>
        <v>Second Class</v>
      </c>
      <c r="AG919" s="7" t="str">
        <f>IF(P919&lt;0,"Invalid",
IF(P919&gt;1,"Invalid","Valid"))</f>
        <v>Valid</v>
      </c>
      <c r="AH919" s="7" t="str">
        <f>TEXT(B919,"mmmm")</f>
        <v>January</v>
      </c>
      <c r="AI919" s="7">
        <f t="shared" si="87"/>
        <v>2025</v>
      </c>
      <c r="AJ919" s="7" t="str">
        <f>IF(OR(R919&lt;0,C919&lt;B919),"Invalid",
IF(OR(G919="Unknown",M919="Unknown"),"Warning","Clean"))</f>
        <v>Clean</v>
      </c>
      <c r="AK919" s="7" t="str">
        <f>IF(C919&lt;B919,"Ship Before Order","OK")</f>
        <v>OK</v>
      </c>
      <c r="AL919" s="7" t="str">
        <f>IF(ISNUMBER(B919),"Valid","Invalid")</f>
        <v>Valid</v>
      </c>
      <c r="AM919" s="7" t="str">
        <f t="shared" si="88"/>
        <v>Ok</v>
      </c>
      <c r="AN919" s="7" t="str">
        <f t="shared" si="89"/>
        <v>Ok</v>
      </c>
    </row>
    <row r="920" spans="1:40">
      <c r="A920" t="s">
        <v>2112</v>
      </c>
      <c r="B920" s="6">
        <v>45970</v>
      </c>
      <c r="C920" s="4">
        <v>46418</v>
      </c>
      <c r="D920" t="s">
        <v>2113</v>
      </c>
      <c r="E920" t="s">
        <v>118</v>
      </c>
      <c r="F920" t="s">
        <v>37</v>
      </c>
      <c r="G920" t="s">
        <v>25</v>
      </c>
      <c r="H920" t="s">
        <v>350</v>
      </c>
      <c r="I920" t="s">
        <v>351</v>
      </c>
      <c r="J920" t="s">
        <v>74</v>
      </c>
      <c r="K920" t="s">
        <v>171</v>
      </c>
      <c r="L920" t="s">
        <v>2114</v>
      </c>
      <c r="M920" t="s">
        <v>44</v>
      </c>
      <c r="N920">
        <v>7</v>
      </c>
      <c r="O920">
        <v>3411.21</v>
      </c>
      <c r="P920">
        <v>0.15</v>
      </c>
      <c r="Q920" s="7">
        <f>IF(P920="", 0, P920)</f>
        <v>0.15</v>
      </c>
      <c r="R920">
        <v>20296.7</v>
      </c>
      <c r="S920">
        <v>14920.87</v>
      </c>
      <c r="T920" s="7">
        <f>N920*O920*(1-Q920)</f>
        <v>20296.699499999999</v>
      </c>
      <c r="U920" s="7">
        <f t="shared" si="84"/>
        <v>5375.829499999998</v>
      </c>
      <c r="V920">
        <v>5375.83</v>
      </c>
      <c r="W920" s="12">
        <f t="shared" si="85"/>
        <v>0.26486225014071862</v>
      </c>
      <c r="X920" t="s">
        <v>32</v>
      </c>
      <c r="Y920" t="str">
        <f t="shared" si="86"/>
        <v>Paid</v>
      </c>
      <c r="Z920" t="s">
        <v>33</v>
      </c>
      <c r="AA920">
        <f>C920-B920</f>
        <v>448</v>
      </c>
      <c r="AB920" t="str">
        <f>IF(B920="","Missing Order Date",
IF(C920="","Missing Ship Date","OK"))</f>
        <v>OK</v>
      </c>
      <c r="AC920" s="7" t="str">
        <f>IF(C920&lt;B920, "Invalid", "Valid")</f>
        <v>Valid</v>
      </c>
      <c r="AD920" s="7" t="str">
        <f>IF(COUNTIF($A:$A, A920)&gt;1, "Duplicate", "Unique")</f>
        <v>Duplicate</v>
      </c>
      <c r="AE920" s="7" t="str">
        <f>IF(G920="","Unknown",G920)</f>
        <v>North</v>
      </c>
      <c r="AF920" s="7" t="str">
        <f>IF(M920="","Unknown",M920)</f>
        <v>Same Day</v>
      </c>
      <c r="AG920" s="7" t="str">
        <f>IF(P920&lt;0,"Invalid",
IF(P920&gt;1,"Invalid","Valid"))</f>
        <v>Valid</v>
      </c>
      <c r="AH920" s="7" t="str">
        <f>TEXT(B920,"mmmm")</f>
        <v>November</v>
      </c>
      <c r="AI920" s="7">
        <f t="shared" si="87"/>
        <v>2025</v>
      </c>
      <c r="AJ920" s="7" t="str">
        <f>IF(OR(R920&lt;0,C920&lt;B920),"Invalid",
IF(OR(G920="Unknown",M920="Unknown"),"Warning","Clean"))</f>
        <v>Clean</v>
      </c>
      <c r="AK920" s="7" t="str">
        <f>IF(C920&lt;B920,"Ship Before Order","OK")</f>
        <v>OK</v>
      </c>
      <c r="AL920" s="7" t="str">
        <f>IF(ISNUMBER(B920),"Valid","Invalid")</f>
        <v>Valid</v>
      </c>
      <c r="AM920" s="7" t="str">
        <f t="shared" si="88"/>
        <v>Missmatched</v>
      </c>
      <c r="AN920" s="7" t="str">
        <f t="shared" si="89"/>
        <v>Missmatched</v>
      </c>
    </row>
    <row r="921" spans="1:40">
      <c r="A921" t="s">
        <v>77</v>
      </c>
      <c r="B921" s="6">
        <v>45934</v>
      </c>
      <c r="C921" s="4">
        <v>46419</v>
      </c>
      <c r="D921" t="s">
        <v>78</v>
      </c>
      <c r="E921" t="s">
        <v>79</v>
      </c>
      <c r="F921" t="s">
        <v>24</v>
      </c>
      <c r="G921" t="s">
        <v>38</v>
      </c>
      <c r="H921" t="s">
        <v>39</v>
      </c>
      <c r="I921" t="s">
        <v>40</v>
      </c>
      <c r="J921" t="s">
        <v>74</v>
      </c>
      <c r="K921" t="s">
        <v>80</v>
      </c>
      <c r="L921" t="s">
        <v>81</v>
      </c>
      <c r="M921" t="s">
        <v>59</v>
      </c>
      <c r="N921">
        <v>4</v>
      </c>
      <c r="O921">
        <v>1719.87</v>
      </c>
      <c r="P921">
        <v>0.15</v>
      </c>
      <c r="Q921" s="7">
        <f>IF(P921="", 0, P921)</f>
        <v>0.15</v>
      </c>
      <c r="R921">
        <v>5847.56</v>
      </c>
      <c r="S921">
        <v>4727.25</v>
      </c>
      <c r="T921" s="7">
        <f>N921*O921*(1-Q921)</f>
        <v>5847.5579999999991</v>
      </c>
      <c r="U921" s="7">
        <f t="shared" si="84"/>
        <v>1120.3079999999991</v>
      </c>
      <c r="V921">
        <v>1120.31</v>
      </c>
      <c r="W921" s="12">
        <f t="shared" si="85"/>
        <v>0.19158561573908275</v>
      </c>
      <c r="X921" t="s">
        <v>32</v>
      </c>
      <c r="Y921" t="str">
        <f t="shared" si="86"/>
        <v>Paid</v>
      </c>
      <c r="Z921" t="s">
        <v>33</v>
      </c>
      <c r="AA921">
        <f>C921-B921</f>
        <v>485</v>
      </c>
      <c r="AB921" t="str">
        <f>IF(B921="","Missing Order Date",
IF(C921="","Missing Ship Date","OK"))</f>
        <v>OK</v>
      </c>
      <c r="AC921" s="7" t="str">
        <f>IF(C921&lt;B921, "Invalid", "Valid")</f>
        <v>Valid</v>
      </c>
      <c r="AD921" s="7" t="str">
        <f>IF(COUNTIF($A:$A, A921)&gt;1, "Duplicate", "Unique")</f>
        <v>Duplicate</v>
      </c>
      <c r="AE921" s="7" t="str">
        <f>IF(G921="","Unknown",G921)</f>
        <v>East</v>
      </c>
      <c r="AF921" s="7" t="str">
        <f>IF(M921="","Unknown",M921)</f>
        <v>Standard Class</v>
      </c>
      <c r="AG921" s="7" t="str">
        <f>IF(P921&lt;0,"Invalid",
IF(P921&gt;1,"Invalid","Valid"))</f>
        <v>Valid</v>
      </c>
      <c r="AH921" s="7" t="str">
        <f>TEXT(B921,"mmmm")</f>
        <v>October</v>
      </c>
      <c r="AI921" s="7">
        <f t="shared" si="87"/>
        <v>2025</v>
      </c>
      <c r="AJ921" s="7" t="str">
        <f>IF(OR(R921&lt;0,C921&lt;B921),"Invalid",
IF(OR(G921="Unknown",M921="Unknown"),"Warning","Clean"))</f>
        <v>Clean</v>
      </c>
      <c r="AK921" s="7" t="str">
        <f>IF(C921&lt;B921,"Ship Before Order","OK")</f>
        <v>OK</v>
      </c>
      <c r="AL921" s="7" t="str">
        <f>IF(ISNUMBER(B921),"Valid","Invalid")</f>
        <v>Valid</v>
      </c>
      <c r="AM921" s="7" t="str">
        <f t="shared" si="88"/>
        <v>Missmatched</v>
      </c>
      <c r="AN921" s="7" t="str">
        <f t="shared" si="89"/>
        <v>Missmatched</v>
      </c>
    </row>
    <row r="922" spans="1:40">
      <c r="A922" t="s">
        <v>1098</v>
      </c>
      <c r="B922" s="6">
        <v>45630</v>
      </c>
      <c r="C922" s="4">
        <v>46420</v>
      </c>
      <c r="D922" t="s">
        <v>1099</v>
      </c>
      <c r="E922" t="s">
        <v>132</v>
      </c>
      <c r="F922" t="s">
        <v>95</v>
      </c>
      <c r="G922" t="s">
        <v>38</v>
      </c>
      <c r="H922" t="s">
        <v>39</v>
      </c>
      <c r="I922" t="s">
        <v>40</v>
      </c>
      <c r="J922" t="s">
        <v>28</v>
      </c>
      <c r="K922" t="s">
        <v>153</v>
      </c>
      <c r="L922" t="s">
        <v>1100</v>
      </c>
      <c r="M922" t="s">
        <v>31</v>
      </c>
      <c r="N922">
        <v>4</v>
      </c>
      <c r="O922">
        <v>2685.66</v>
      </c>
      <c r="P922">
        <v>0</v>
      </c>
      <c r="Q922" s="7">
        <f>IF(P922="", 0, P922)</f>
        <v>0</v>
      </c>
      <c r="R922">
        <v>10989.89</v>
      </c>
      <c r="S922">
        <v>6477.37</v>
      </c>
      <c r="T922" s="7">
        <f>N922*O922*(1-Q922)</f>
        <v>10742.64</v>
      </c>
      <c r="U922" s="7">
        <f t="shared" si="84"/>
        <v>4265.2699999999995</v>
      </c>
      <c r="V922">
        <v>4265.2700000000004</v>
      </c>
      <c r="W922" s="12">
        <f t="shared" si="85"/>
        <v>0.39704113700170535</v>
      </c>
      <c r="X922" t="s">
        <v>32</v>
      </c>
      <c r="Y922" t="str">
        <f t="shared" si="86"/>
        <v>Paid</v>
      </c>
      <c r="Z922" t="s">
        <v>33</v>
      </c>
      <c r="AA922">
        <f>C922-B922</f>
        <v>790</v>
      </c>
      <c r="AB922" t="str">
        <f>IF(B922="","Missing Order Date",
IF(C922="","Missing Ship Date","OK"))</f>
        <v>OK</v>
      </c>
      <c r="AC922" s="7" t="str">
        <f>IF(C922&lt;B922, "Invalid", "Valid")</f>
        <v>Valid</v>
      </c>
      <c r="AD922" s="7" t="str">
        <f>IF(COUNTIF($A:$A, A922)&gt;1, "Duplicate", "Unique")</f>
        <v>Duplicate</v>
      </c>
      <c r="AE922" s="7" t="str">
        <f>IF(G922="","Unknown",G922)</f>
        <v>East</v>
      </c>
      <c r="AF922" s="7" t="str">
        <f>IF(M922="","Unknown",M922)</f>
        <v>Second Class</v>
      </c>
      <c r="AG922" s="7" t="str">
        <f>IF(P922&lt;0,"Invalid",
IF(P922&gt;1,"Invalid","Valid"))</f>
        <v>Valid</v>
      </c>
      <c r="AH922" s="7" t="str">
        <f>TEXT(B922,"mmmm")</f>
        <v>December</v>
      </c>
      <c r="AI922" s="7">
        <f t="shared" si="87"/>
        <v>2024</v>
      </c>
      <c r="AJ922" s="7" t="str">
        <f>IF(OR(R922&lt;0,C922&lt;B922),"Invalid",
IF(OR(G922="Unknown",M922="Unknown"),"Warning","Clean"))</f>
        <v>Clean</v>
      </c>
      <c r="AK922" s="7" t="str">
        <f>IF(C922&lt;B922,"Ship Before Order","OK")</f>
        <v>OK</v>
      </c>
      <c r="AL922" s="7" t="str">
        <f>IF(ISNUMBER(B922),"Valid","Invalid")</f>
        <v>Valid</v>
      </c>
      <c r="AM922" s="7" t="str">
        <f t="shared" si="88"/>
        <v>Missmatched</v>
      </c>
      <c r="AN922" s="7" t="str">
        <f t="shared" si="89"/>
        <v>Ok</v>
      </c>
    </row>
    <row r="923" spans="1:40">
      <c r="A923" t="s">
        <v>380</v>
      </c>
      <c r="B923" s="6">
        <v>45893</v>
      </c>
      <c r="C923" s="4">
        <v>46421</v>
      </c>
      <c r="D923" t="s">
        <v>381</v>
      </c>
      <c r="E923" t="s">
        <v>128</v>
      </c>
      <c r="F923" t="s">
        <v>37</v>
      </c>
      <c r="G923" t="s">
        <v>38</v>
      </c>
      <c r="H923" t="s">
        <v>145</v>
      </c>
      <c r="I923" t="s">
        <v>146</v>
      </c>
      <c r="J923" t="s">
        <v>74</v>
      </c>
      <c r="K923" t="s">
        <v>80</v>
      </c>
      <c r="L923" t="s">
        <v>382</v>
      </c>
      <c r="M923" t="s">
        <v>50</v>
      </c>
      <c r="N923">
        <v>3</v>
      </c>
      <c r="O923">
        <v>3703.96</v>
      </c>
      <c r="P923">
        <v>0.15</v>
      </c>
      <c r="Q923" s="7">
        <f>IF(P923="", 0, P923)</f>
        <v>0.15</v>
      </c>
      <c r="R923">
        <v>9549.44</v>
      </c>
      <c r="S923">
        <v>5586.28</v>
      </c>
      <c r="T923" s="7">
        <f>N923*O923*(1-Q923)</f>
        <v>9445.098</v>
      </c>
      <c r="U923" s="7">
        <f t="shared" si="84"/>
        <v>3858.8180000000002</v>
      </c>
      <c r="V923">
        <v>3858.82</v>
      </c>
      <c r="W923" s="12">
        <f t="shared" si="85"/>
        <v>0.40855245758170006</v>
      </c>
      <c r="X923" t="s">
        <v>32</v>
      </c>
      <c r="Y923" t="str">
        <f t="shared" si="86"/>
        <v>Paid</v>
      </c>
      <c r="Z923" t="s">
        <v>103</v>
      </c>
      <c r="AA923">
        <f>C923-B923</f>
        <v>528</v>
      </c>
      <c r="AB923" t="str">
        <f>IF(B923="","Missing Order Date",
IF(C923="","Missing Ship Date","OK"))</f>
        <v>OK</v>
      </c>
      <c r="AC923" s="7" t="str">
        <f>IF(C923&lt;B923, "Invalid", "Valid")</f>
        <v>Valid</v>
      </c>
      <c r="AD923" s="7" t="str">
        <f>IF(COUNTIF($A:$A, A923)&gt;1, "Duplicate", "Unique")</f>
        <v>Duplicate</v>
      </c>
      <c r="AE923" s="7" t="str">
        <f>IF(G923="","Unknown",G923)</f>
        <v>East</v>
      </c>
      <c r="AF923" s="7" t="str">
        <f>IF(M923="","Unknown",M923)</f>
        <v>First Class</v>
      </c>
      <c r="AG923" s="7" t="str">
        <f>IF(P923&lt;0,"Invalid",
IF(P923&gt;1,"Invalid","Valid"))</f>
        <v>Valid</v>
      </c>
      <c r="AH923" s="7" t="str">
        <f>TEXT(B923,"mmmm")</f>
        <v>August</v>
      </c>
      <c r="AI923" s="7">
        <f t="shared" si="87"/>
        <v>2025</v>
      </c>
      <c r="AJ923" s="7" t="str">
        <f>IF(OR(R923&lt;0,C923&lt;B923),"Invalid",
IF(OR(G923="Unknown",M923="Unknown"),"Warning","Clean"))</f>
        <v>Clean</v>
      </c>
      <c r="AK923" s="7" t="str">
        <f>IF(C923&lt;B923,"Ship Before Order","OK")</f>
        <v>OK</v>
      </c>
      <c r="AL923" s="7" t="str">
        <f>IF(ISNUMBER(B923),"Valid","Invalid")</f>
        <v>Valid</v>
      </c>
      <c r="AM923" s="7" t="str">
        <f t="shared" si="88"/>
        <v>Missmatched</v>
      </c>
      <c r="AN923" s="7" t="str">
        <f t="shared" si="89"/>
        <v>Missmatched</v>
      </c>
    </row>
    <row r="924" spans="1:40">
      <c r="A924" t="s">
        <v>1222</v>
      </c>
      <c r="B924" s="6">
        <v>45760</v>
      </c>
      <c r="C924" s="4">
        <v>46422</v>
      </c>
      <c r="D924" t="s">
        <v>1223</v>
      </c>
      <c r="E924" t="s">
        <v>132</v>
      </c>
      <c r="F924" t="s">
        <v>37</v>
      </c>
      <c r="G924" t="s">
        <v>25</v>
      </c>
      <c r="H924" t="s">
        <v>136</v>
      </c>
      <c r="I924" t="s">
        <v>137</v>
      </c>
      <c r="J924" t="s">
        <v>28</v>
      </c>
      <c r="K924" t="s">
        <v>124</v>
      </c>
      <c r="L924" t="s">
        <v>1224</v>
      </c>
      <c r="M924" t="s">
        <v>31</v>
      </c>
      <c r="N924">
        <v>9</v>
      </c>
      <c r="O924">
        <v>1118.68</v>
      </c>
      <c r="P924">
        <v>0</v>
      </c>
      <c r="Q924" s="7">
        <f>IF(P924="", 0, P924)</f>
        <v>0</v>
      </c>
      <c r="R924">
        <v>10348.43</v>
      </c>
      <c r="S924">
        <v>8595.3700000000008</v>
      </c>
      <c r="T924" s="7">
        <f>N924*O924*(1-Q924)</f>
        <v>10068.120000000001</v>
      </c>
      <c r="U924" s="7">
        <f t="shared" si="84"/>
        <v>1472.75</v>
      </c>
      <c r="V924">
        <v>1472.75</v>
      </c>
      <c r="W924" s="12">
        <f t="shared" si="85"/>
        <v>0.14627855051389932</v>
      </c>
      <c r="X924" t="s">
        <v>32</v>
      </c>
      <c r="Y924" t="str">
        <f t="shared" si="86"/>
        <v>Paid</v>
      </c>
      <c r="Z924" t="s">
        <v>103</v>
      </c>
      <c r="AA924">
        <f>C924-B924</f>
        <v>662</v>
      </c>
      <c r="AB924" t="str">
        <f>IF(B924="","Missing Order Date",
IF(C924="","Missing Ship Date","OK"))</f>
        <v>OK</v>
      </c>
      <c r="AC924" s="7" t="str">
        <f>IF(C924&lt;B924, "Invalid", "Valid")</f>
        <v>Valid</v>
      </c>
      <c r="AD924" s="7" t="str">
        <f>IF(COUNTIF($A:$A, A924)&gt;1, "Duplicate", "Unique")</f>
        <v>Duplicate</v>
      </c>
      <c r="AE924" s="7" t="str">
        <f>IF(G924="","Unknown",G924)</f>
        <v>North</v>
      </c>
      <c r="AF924" s="7" t="str">
        <f>IF(M924="","Unknown",M924)</f>
        <v>Second Class</v>
      </c>
      <c r="AG924" s="7" t="str">
        <f>IF(P924&lt;0,"Invalid",
IF(P924&gt;1,"Invalid","Valid"))</f>
        <v>Valid</v>
      </c>
      <c r="AH924" s="7" t="str">
        <f>TEXT(B924,"mmmm")</f>
        <v>April</v>
      </c>
      <c r="AI924" s="7">
        <f t="shared" si="87"/>
        <v>2025</v>
      </c>
      <c r="AJ924" s="7" t="str">
        <f>IF(OR(R924&lt;0,C924&lt;B924),"Invalid",
IF(OR(G924="Unknown",M924="Unknown"),"Warning","Clean"))</f>
        <v>Clean</v>
      </c>
      <c r="AK924" s="7" t="str">
        <f>IF(C924&lt;B924,"Ship Before Order","OK")</f>
        <v>OK</v>
      </c>
      <c r="AL924" s="7" t="str">
        <f>IF(ISNUMBER(B924),"Valid","Invalid")</f>
        <v>Valid</v>
      </c>
      <c r="AM924" s="7" t="str">
        <f t="shared" si="88"/>
        <v>Missmatched</v>
      </c>
      <c r="AN924" s="7" t="str">
        <f t="shared" si="89"/>
        <v>Ok</v>
      </c>
    </row>
    <row r="925" spans="1:40">
      <c r="A925" t="s">
        <v>780</v>
      </c>
      <c r="B925" s="6">
        <v>45698</v>
      </c>
      <c r="C925" s="4">
        <v>46423</v>
      </c>
      <c r="D925" t="s">
        <v>781</v>
      </c>
      <c r="E925" t="s">
        <v>47</v>
      </c>
      <c r="F925" t="s">
        <v>37</v>
      </c>
      <c r="G925" t="s">
        <v>25</v>
      </c>
      <c r="H925" t="s">
        <v>122</v>
      </c>
      <c r="I925" t="s">
        <v>123</v>
      </c>
      <c r="J925" t="s">
        <v>41</v>
      </c>
      <c r="K925" t="s">
        <v>57</v>
      </c>
      <c r="L925" t="s">
        <v>782</v>
      </c>
      <c r="M925" t="s">
        <v>59</v>
      </c>
      <c r="N925">
        <v>4</v>
      </c>
      <c r="O925">
        <v>3944.64</v>
      </c>
      <c r="P925">
        <v>0.25</v>
      </c>
      <c r="Q925" s="7">
        <f>IF(P925="", 0, P925)</f>
        <v>0.25</v>
      </c>
      <c r="R925">
        <v>12116.89</v>
      </c>
      <c r="S925">
        <v>6682.92</v>
      </c>
      <c r="T925" s="7">
        <f>N925*O925*(1-Q925)</f>
        <v>11833.92</v>
      </c>
      <c r="U925" s="7">
        <f t="shared" si="84"/>
        <v>5151</v>
      </c>
      <c r="V925">
        <v>5151</v>
      </c>
      <c r="W925" s="12">
        <f t="shared" si="85"/>
        <v>0.43527419485681834</v>
      </c>
      <c r="X925" t="s">
        <v>32</v>
      </c>
      <c r="Y925" t="str">
        <f t="shared" si="86"/>
        <v>Paid</v>
      </c>
      <c r="Z925" t="s">
        <v>103</v>
      </c>
      <c r="AA925">
        <f>C925-B925</f>
        <v>725</v>
      </c>
      <c r="AB925" t="str">
        <f>IF(B925="","Missing Order Date",
IF(C925="","Missing Ship Date","OK"))</f>
        <v>OK</v>
      </c>
      <c r="AC925" s="7" t="str">
        <f>IF(C925&lt;B925, "Invalid", "Valid")</f>
        <v>Valid</v>
      </c>
      <c r="AD925" s="7" t="str">
        <f>IF(COUNTIF($A:$A, A925)&gt;1, "Duplicate", "Unique")</f>
        <v>Duplicate</v>
      </c>
      <c r="AE925" s="7" t="str">
        <f>IF(G925="","Unknown",G925)</f>
        <v>North</v>
      </c>
      <c r="AF925" s="7" t="str">
        <f>IF(M925="","Unknown",M925)</f>
        <v>Standard Class</v>
      </c>
      <c r="AG925" s="7" t="str">
        <f>IF(P925&lt;0,"Invalid",
IF(P925&gt;1,"Invalid","Valid"))</f>
        <v>Valid</v>
      </c>
      <c r="AH925" s="7" t="str">
        <f>TEXT(B925,"mmmm")</f>
        <v>February</v>
      </c>
      <c r="AI925" s="7">
        <f t="shared" si="87"/>
        <v>2025</v>
      </c>
      <c r="AJ925" s="7" t="str">
        <f>IF(OR(R925&lt;0,C925&lt;B925),"Invalid",
IF(OR(G925="Unknown",M925="Unknown"),"Warning","Clean"))</f>
        <v>Clean</v>
      </c>
      <c r="AK925" s="7" t="str">
        <f>IF(C925&lt;B925,"Ship Before Order","OK")</f>
        <v>OK</v>
      </c>
      <c r="AL925" s="7" t="str">
        <f>IF(ISNUMBER(B925),"Valid","Invalid")</f>
        <v>Valid</v>
      </c>
      <c r="AM925" s="7" t="str">
        <f t="shared" si="88"/>
        <v>Missmatched</v>
      </c>
      <c r="AN925" s="7" t="str">
        <f t="shared" si="89"/>
        <v>Ok</v>
      </c>
    </row>
    <row r="926" spans="1:40">
      <c r="A926" t="s">
        <v>1048</v>
      </c>
      <c r="B926" s="6">
        <v>45795</v>
      </c>
      <c r="C926" s="4">
        <v>46424</v>
      </c>
      <c r="D926" t="s">
        <v>1049</v>
      </c>
      <c r="E926" t="s">
        <v>47</v>
      </c>
      <c r="F926" t="s">
        <v>90</v>
      </c>
      <c r="G926" t="s">
        <v>63</v>
      </c>
      <c r="H926" t="s">
        <v>72</v>
      </c>
      <c r="I926" t="s">
        <v>73</v>
      </c>
      <c r="J926" t="s">
        <v>28</v>
      </c>
      <c r="K926" t="s">
        <v>91</v>
      </c>
      <c r="L926" t="s">
        <v>1050</v>
      </c>
      <c r="M926" t="s">
        <v>59</v>
      </c>
      <c r="N926">
        <v>9</v>
      </c>
      <c r="O926">
        <v>847.76</v>
      </c>
      <c r="P926">
        <v>0.15</v>
      </c>
      <c r="Q926" s="7">
        <f>IF(P926="", 0, P926)</f>
        <v>0.15</v>
      </c>
      <c r="R926">
        <v>6589.37</v>
      </c>
      <c r="S926">
        <v>5376.17</v>
      </c>
      <c r="T926" s="7">
        <f>N926*O926*(1-Q926)</f>
        <v>6485.3639999999996</v>
      </c>
      <c r="U926" s="7">
        <f t="shared" si="84"/>
        <v>1109.1939999999995</v>
      </c>
      <c r="V926">
        <v>1109.19</v>
      </c>
      <c r="W926" s="12">
        <f t="shared" si="85"/>
        <v>0.17103033846673826</v>
      </c>
      <c r="X926" t="s">
        <v>155</v>
      </c>
      <c r="Y926" t="str">
        <f t="shared" si="86"/>
        <v>Failed</v>
      </c>
      <c r="Z926" t="s">
        <v>33</v>
      </c>
      <c r="AA926">
        <f>C926-B926</f>
        <v>629</v>
      </c>
      <c r="AB926" t="str">
        <f>IF(B926="","Missing Order Date",
IF(C926="","Missing Ship Date","OK"))</f>
        <v>OK</v>
      </c>
      <c r="AC926" s="7" t="str">
        <f>IF(C926&lt;B926, "Invalid", "Valid")</f>
        <v>Valid</v>
      </c>
      <c r="AD926" s="7" t="str">
        <f>IF(COUNTIF($A:$A, A926)&gt;1, "Duplicate", "Unique")</f>
        <v>Duplicate</v>
      </c>
      <c r="AE926" s="7" t="str">
        <f>IF(G926="","Unknown",G926)</f>
        <v>West</v>
      </c>
      <c r="AF926" s="7" t="str">
        <f>IF(M926="","Unknown",M926)</f>
        <v>Standard Class</v>
      </c>
      <c r="AG926" s="7" t="str">
        <f>IF(P926&lt;0,"Invalid",
IF(P926&gt;1,"Invalid","Valid"))</f>
        <v>Valid</v>
      </c>
      <c r="AH926" s="7" t="str">
        <f>TEXT(B926,"mmmm")</f>
        <v>May</v>
      </c>
      <c r="AI926" s="7">
        <f t="shared" si="87"/>
        <v>2025</v>
      </c>
      <c r="AJ926" s="7" t="str">
        <f>IF(OR(R926&lt;0,C926&lt;B926),"Invalid",
IF(OR(G926="Unknown",M926="Unknown"),"Warning","Clean"))</f>
        <v>Clean</v>
      </c>
      <c r="AK926" s="7" t="str">
        <f>IF(C926&lt;B926,"Ship Before Order","OK")</f>
        <v>OK</v>
      </c>
      <c r="AL926" s="7" t="str">
        <f>IF(ISNUMBER(B926),"Valid","Invalid")</f>
        <v>Valid</v>
      </c>
      <c r="AM926" s="7" t="str">
        <f t="shared" si="88"/>
        <v>Missmatched</v>
      </c>
      <c r="AN926" s="7" t="str">
        <f t="shared" si="89"/>
        <v>Missmatched</v>
      </c>
    </row>
    <row r="927" spans="1:40">
      <c r="A927" t="s">
        <v>619</v>
      </c>
      <c r="B927" s="6">
        <v>45907</v>
      </c>
      <c r="C927" s="4">
        <v>46425</v>
      </c>
      <c r="D927" t="s">
        <v>620</v>
      </c>
      <c r="E927" t="s">
        <v>141</v>
      </c>
      <c r="F927" t="s">
        <v>90</v>
      </c>
      <c r="G927" t="s">
        <v>38</v>
      </c>
      <c r="H927" t="s">
        <v>145</v>
      </c>
      <c r="I927" t="s">
        <v>146</v>
      </c>
      <c r="J927" t="s">
        <v>74</v>
      </c>
      <c r="K927" t="s">
        <v>80</v>
      </c>
      <c r="L927" t="s">
        <v>621</v>
      </c>
      <c r="M927" t="s">
        <v>59</v>
      </c>
      <c r="N927">
        <v>3</v>
      </c>
      <c r="O927">
        <v>1711.32</v>
      </c>
      <c r="P927">
        <v>0</v>
      </c>
      <c r="Q927" s="7">
        <f>IF(P927="", 0, P927)</f>
        <v>0</v>
      </c>
      <c r="R927">
        <v>5206.53</v>
      </c>
      <c r="S927">
        <v>3930</v>
      </c>
      <c r="T927" s="7">
        <f>N927*O927*(1-Q927)</f>
        <v>5133.96</v>
      </c>
      <c r="U927" s="7">
        <f t="shared" si="84"/>
        <v>1203.96</v>
      </c>
      <c r="V927">
        <v>1203.96</v>
      </c>
      <c r="W927" s="12">
        <f t="shared" si="85"/>
        <v>0.23450903396208775</v>
      </c>
      <c r="X927" t="s">
        <v>32</v>
      </c>
      <c r="Y927" t="str">
        <f t="shared" si="86"/>
        <v>Paid</v>
      </c>
      <c r="Z927" t="s">
        <v>103</v>
      </c>
      <c r="AA927">
        <f>C927-B927</f>
        <v>518</v>
      </c>
      <c r="AB927" t="str">
        <f>IF(B927="","Missing Order Date",
IF(C927="","Missing Ship Date","OK"))</f>
        <v>OK</v>
      </c>
      <c r="AC927" s="7" t="str">
        <f>IF(C927&lt;B927, "Invalid", "Valid")</f>
        <v>Valid</v>
      </c>
      <c r="AD927" s="7" t="str">
        <f>IF(COUNTIF($A:$A, A927)&gt;1, "Duplicate", "Unique")</f>
        <v>Duplicate</v>
      </c>
      <c r="AE927" s="7" t="str">
        <f>IF(G927="","Unknown",G927)</f>
        <v>East</v>
      </c>
      <c r="AF927" s="7" t="str">
        <f>IF(M927="","Unknown",M927)</f>
        <v>Standard Class</v>
      </c>
      <c r="AG927" s="7" t="str">
        <f>IF(P927&lt;0,"Invalid",
IF(P927&gt;1,"Invalid","Valid"))</f>
        <v>Valid</v>
      </c>
      <c r="AH927" s="7" t="str">
        <f>TEXT(B927,"mmmm")</f>
        <v>September</v>
      </c>
      <c r="AI927" s="7">
        <f t="shared" si="87"/>
        <v>2025</v>
      </c>
      <c r="AJ927" s="7" t="str">
        <f>IF(OR(R927&lt;0,C927&lt;B927),"Invalid",
IF(OR(G927="Unknown",M927="Unknown"),"Warning","Clean"))</f>
        <v>Clean</v>
      </c>
      <c r="AK927" s="7" t="str">
        <f>IF(C927&lt;B927,"Ship Before Order","OK")</f>
        <v>OK</v>
      </c>
      <c r="AL927" s="7" t="str">
        <f>IF(ISNUMBER(B927),"Valid","Invalid")</f>
        <v>Valid</v>
      </c>
      <c r="AM927" s="7" t="str">
        <f t="shared" si="88"/>
        <v>Missmatched</v>
      </c>
      <c r="AN927" s="7" t="str">
        <f t="shared" si="89"/>
        <v>Ok</v>
      </c>
    </row>
    <row r="928" spans="1:40">
      <c r="A928" t="s">
        <v>1371</v>
      </c>
      <c r="B928" s="6">
        <v>45342</v>
      </c>
      <c r="C928" s="4">
        <v>46426</v>
      </c>
      <c r="D928" t="s">
        <v>1372</v>
      </c>
      <c r="E928" t="s">
        <v>162</v>
      </c>
      <c r="F928" t="s">
        <v>24</v>
      </c>
      <c r="G928" t="s">
        <v>54</v>
      </c>
      <c r="H928" t="s">
        <v>185</v>
      </c>
      <c r="I928" t="s">
        <v>186</v>
      </c>
      <c r="J928" t="s">
        <v>74</v>
      </c>
      <c r="K928" t="s">
        <v>75</v>
      </c>
      <c r="L928" t="s">
        <v>1373</v>
      </c>
      <c r="M928" t="s">
        <v>50</v>
      </c>
      <c r="N928">
        <v>9</v>
      </c>
      <c r="O928">
        <v>3779.31</v>
      </c>
      <c r="P928">
        <v>0.2</v>
      </c>
      <c r="Q928" s="7">
        <f>IF(P928="", 0, P928)</f>
        <v>0.2</v>
      </c>
      <c r="R928">
        <v>27322.9</v>
      </c>
      <c r="S928">
        <v>17940.43</v>
      </c>
      <c r="T928" s="7">
        <f>N928*O928*(1-Q928)</f>
        <v>27211.032000000003</v>
      </c>
      <c r="U928" s="7">
        <f t="shared" si="84"/>
        <v>9270.6020000000026</v>
      </c>
      <c r="V928">
        <v>9270.6</v>
      </c>
      <c r="W928" s="12">
        <f t="shared" si="85"/>
        <v>0.34069277490100347</v>
      </c>
      <c r="X928" t="s">
        <v>32</v>
      </c>
      <c r="Y928" t="str">
        <f t="shared" si="86"/>
        <v>Paid</v>
      </c>
      <c r="Z928" t="s">
        <v>103</v>
      </c>
      <c r="AA928">
        <f>C928-B928</f>
        <v>1084</v>
      </c>
      <c r="AB928" t="str">
        <f>IF(B928="","Missing Order Date",
IF(C928="","Missing Ship Date","OK"))</f>
        <v>OK</v>
      </c>
      <c r="AC928" s="7" t="str">
        <f>IF(C928&lt;B928, "Invalid", "Valid")</f>
        <v>Valid</v>
      </c>
      <c r="AD928" s="7" t="str">
        <f>IF(COUNTIF($A:$A, A928)&gt;1, "Duplicate", "Unique")</f>
        <v>Duplicate</v>
      </c>
      <c r="AE928" s="7" t="str">
        <f>IF(G928="","Unknown",G928)</f>
        <v>South</v>
      </c>
      <c r="AF928" s="7" t="str">
        <f>IF(M928="","Unknown",M928)</f>
        <v>First Class</v>
      </c>
      <c r="AG928" s="7" t="str">
        <f>IF(P928&lt;0,"Invalid",
IF(P928&gt;1,"Invalid","Valid"))</f>
        <v>Valid</v>
      </c>
      <c r="AH928" s="7" t="str">
        <f>TEXT(B928,"mmmm")</f>
        <v>February</v>
      </c>
      <c r="AI928" s="7">
        <f t="shared" si="87"/>
        <v>2024</v>
      </c>
      <c r="AJ928" s="7" t="str">
        <f>IF(OR(R928&lt;0,C928&lt;B928),"Invalid",
IF(OR(G928="Unknown",M928="Unknown"),"Warning","Clean"))</f>
        <v>Clean</v>
      </c>
      <c r="AK928" s="7" t="str">
        <f>IF(C928&lt;B928,"Ship Before Order","OK")</f>
        <v>OK</v>
      </c>
      <c r="AL928" s="7" t="str">
        <f>IF(ISNUMBER(B928),"Valid","Invalid")</f>
        <v>Valid</v>
      </c>
      <c r="AM928" s="7" t="str">
        <f t="shared" si="88"/>
        <v>Missmatched</v>
      </c>
      <c r="AN928" s="7" t="str">
        <f t="shared" si="89"/>
        <v>Missmatched</v>
      </c>
    </row>
    <row r="929" spans="1:40">
      <c r="A929" t="s">
        <v>1809</v>
      </c>
      <c r="B929" s="6">
        <v>45932</v>
      </c>
      <c r="C929" s="4">
        <v>46427</v>
      </c>
      <c r="D929" t="s">
        <v>1810</v>
      </c>
      <c r="E929" t="s">
        <v>114</v>
      </c>
      <c r="F929" t="s">
        <v>37</v>
      </c>
      <c r="G929" t="s">
        <v>25</v>
      </c>
      <c r="H929" t="s">
        <v>136</v>
      </c>
      <c r="I929" t="s">
        <v>137</v>
      </c>
      <c r="J929" t="s">
        <v>74</v>
      </c>
      <c r="K929" t="s">
        <v>171</v>
      </c>
      <c r="L929" t="s">
        <v>1811</v>
      </c>
      <c r="M929" t="s">
        <v>2785</v>
      </c>
      <c r="N929">
        <v>5</v>
      </c>
      <c r="O929">
        <v>4276.29</v>
      </c>
      <c r="P929">
        <v>0</v>
      </c>
      <c r="Q929" s="7">
        <f>IF(P929="", 0, P929)</f>
        <v>0</v>
      </c>
      <c r="R929">
        <v>21443.63</v>
      </c>
      <c r="S929">
        <v>13240.21</v>
      </c>
      <c r="T929" s="7">
        <f>N929*O929*(1-Q929)</f>
        <v>21381.45</v>
      </c>
      <c r="U929" s="7">
        <f t="shared" si="84"/>
        <v>8141.2400000000016</v>
      </c>
      <c r="V929">
        <v>8141.24</v>
      </c>
      <c r="W929" s="12">
        <f t="shared" si="85"/>
        <v>0.38076182859441249</v>
      </c>
      <c r="X929" t="s">
        <v>155</v>
      </c>
      <c r="Y929" t="str">
        <f t="shared" si="86"/>
        <v>Failed</v>
      </c>
      <c r="Z929" t="s">
        <v>33</v>
      </c>
      <c r="AA929">
        <f>C929-B929</f>
        <v>495</v>
      </c>
      <c r="AB929" t="str">
        <f>IF(B929="","Missing Order Date",
IF(C929="","Missing Ship Date","OK"))</f>
        <v>OK</v>
      </c>
      <c r="AC929" s="7" t="str">
        <f>IF(C929&lt;B929, "Invalid", "Valid")</f>
        <v>Valid</v>
      </c>
      <c r="AD929" s="7" t="str">
        <f>IF(COUNTIF($A:$A, A929)&gt;1, "Duplicate", "Unique")</f>
        <v>Duplicate</v>
      </c>
      <c r="AE929" s="7" t="str">
        <f>IF(G929="","Unknown",G929)</f>
        <v>North</v>
      </c>
      <c r="AF929" s="7" t="str">
        <f>IF(M929="","Unknown",M929)</f>
        <v>Unknown</v>
      </c>
      <c r="AG929" s="7" t="str">
        <f>IF(P929&lt;0,"Invalid",
IF(P929&gt;1,"Invalid","Valid"))</f>
        <v>Valid</v>
      </c>
      <c r="AH929" s="7" t="str">
        <f>TEXT(B929,"mmmm")</f>
        <v>October</v>
      </c>
      <c r="AI929" s="7">
        <f t="shared" si="87"/>
        <v>2025</v>
      </c>
      <c r="AJ929" s="7" t="str">
        <f>IF(OR(R929&lt;0,C929&lt;B929),"Invalid",
IF(OR(G929="Unknown",M929="Unknown"),"Warning","Clean"))</f>
        <v>Clean</v>
      </c>
      <c r="AK929" s="7" t="str">
        <f>IF(C929&lt;B929,"Ship Before Order","OK")</f>
        <v>OK</v>
      </c>
      <c r="AL929" s="7" t="str">
        <f>IF(ISNUMBER(B929),"Valid","Invalid")</f>
        <v>Valid</v>
      </c>
      <c r="AM929" s="7" t="str">
        <f t="shared" si="88"/>
        <v>Missmatched</v>
      </c>
      <c r="AN929" s="7" t="str">
        <f t="shared" si="89"/>
        <v>Ok</v>
      </c>
    </row>
    <row r="930" spans="1:40">
      <c r="A930" t="s">
        <v>536</v>
      </c>
      <c r="B930" s="6">
        <v>45381</v>
      </c>
      <c r="C930" s="4">
        <v>46428</v>
      </c>
      <c r="D930" t="s">
        <v>537</v>
      </c>
      <c r="E930" t="s">
        <v>89</v>
      </c>
      <c r="F930" t="s">
        <v>95</v>
      </c>
      <c r="G930" t="s">
        <v>25</v>
      </c>
      <c r="H930" t="s">
        <v>26</v>
      </c>
      <c r="I930" t="s">
        <v>27</v>
      </c>
      <c r="J930" t="s">
        <v>74</v>
      </c>
      <c r="K930" t="s">
        <v>171</v>
      </c>
      <c r="L930" t="s">
        <v>538</v>
      </c>
      <c r="M930" t="s">
        <v>31</v>
      </c>
      <c r="N930">
        <v>5</v>
      </c>
      <c r="O930">
        <v>907.54</v>
      </c>
      <c r="P930">
        <v>0.15</v>
      </c>
      <c r="Q930" s="7">
        <f>IF(P930="", 0, P930)</f>
        <v>0.15</v>
      </c>
      <c r="R930">
        <v>4099.6899999999996</v>
      </c>
      <c r="S930">
        <v>2769.26</v>
      </c>
      <c r="T930" s="7">
        <f>N930*O930*(1-Q930)</f>
        <v>3857.0449999999996</v>
      </c>
      <c r="U930" s="7">
        <f t="shared" si="84"/>
        <v>1087.7849999999994</v>
      </c>
      <c r="V930">
        <v>1087.78</v>
      </c>
      <c r="W930" s="12">
        <f t="shared" si="85"/>
        <v>0.28202548842442843</v>
      </c>
      <c r="X930" t="s">
        <v>32</v>
      </c>
      <c r="Y930" t="str">
        <f t="shared" si="86"/>
        <v>Paid</v>
      </c>
      <c r="Z930" t="s">
        <v>103</v>
      </c>
      <c r="AA930">
        <f>C930-B930</f>
        <v>1047</v>
      </c>
      <c r="AB930" t="str">
        <f>IF(B930="","Missing Order Date",
IF(C930="","Missing Ship Date","OK"))</f>
        <v>OK</v>
      </c>
      <c r="AC930" s="7" t="str">
        <f>IF(C930&lt;B930, "Invalid", "Valid")</f>
        <v>Valid</v>
      </c>
      <c r="AD930" s="7" t="str">
        <f>IF(COUNTIF($A:$A, A930)&gt;1, "Duplicate", "Unique")</f>
        <v>Duplicate</v>
      </c>
      <c r="AE930" s="7" t="str">
        <f>IF(G930="","Unknown",G930)</f>
        <v>North</v>
      </c>
      <c r="AF930" s="7" t="str">
        <f>IF(M930="","Unknown",M930)</f>
        <v>Second Class</v>
      </c>
      <c r="AG930" s="7" t="str">
        <f>IF(P930&lt;0,"Invalid",
IF(P930&gt;1,"Invalid","Valid"))</f>
        <v>Valid</v>
      </c>
      <c r="AH930" s="7" t="str">
        <f>TEXT(B930,"mmmm")</f>
        <v>March</v>
      </c>
      <c r="AI930" s="7">
        <f t="shared" si="87"/>
        <v>2024</v>
      </c>
      <c r="AJ930" s="7" t="str">
        <f>IF(OR(R930&lt;0,C930&lt;B930),"Invalid",
IF(OR(G930="Unknown",M930="Unknown"),"Warning","Clean"))</f>
        <v>Clean</v>
      </c>
      <c r="AK930" s="7" t="str">
        <f>IF(C930&lt;B930,"Ship Before Order","OK")</f>
        <v>OK</v>
      </c>
      <c r="AL930" s="7" t="str">
        <f>IF(ISNUMBER(B930),"Valid","Invalid")</f>
        <v>Valid</v>
      </c>
      <c r="AM930" s="7" t="str">
        <f t="shared" si="88"/>
        <v>Missmatched</v>
      </c>
      <c r="AN930" s="7" t="str">
        <f t="shared" si="89"/>
        <v>Missmatched</v>
      </c>
    </row>
    <row r="931" spans="1:40">
      <c r="A931" t="s">
        <v>923</v>
      </c>
      <c r="B931" s="6">
        <v>45522</v>
      </c>
      <c r="C931" s="4">
        <v>46429</v>
      </c>
      <c r="D931" t="s">
        <v>924</v>
      </c>
      <c r="E931" t="s">
        <v>53</v>
      </c>
      <c r="F931" t="s">
        <v>24</v>
      </c>
      <c r="G931" t="s">
        <v>54</v>
      </c>
      <c r="H931" t="s">
        <v>84</v>
      </c>
      <c r="I931" t="s">
        <v>85</v>
      </c>
      <c r="J931" t="s">
        <v>41</v>
      </c>
      <c r="K931" t="s">
        <v>66</v>
      </c>
      <c r="L931" t="s">
        <v>925</v>
      </c>
      <c r="M931" t="s">
        <v>50</v>
      </c>
      <c r="N931">
        <v>7</v>
      </c>
      <c r="O931">
        <v>557.21</v>
      </c>
      <c r="P931">
        <v>0.1</v>
      </c>
      <c r="Q931" s="7">
        <f>IF(P931="", 0, P931)</f>
        <v>0.1</v>
      </c>
      <c r="R931">
        <v>3797.79</v>
      </c>
      <c r="S931">
        <v>2191.5</v>
      </c>
      <c r="T931" s="7">
        <f>N931*O931*(1-Q931)</f>
        <v>3510.4230000000002</v>
      </c>
      <c r="U931" s="7">
        <f t="shared" si="84"/>
        <v>1318.9230000000002</v>
      </c>
      <c r="V931">
        <v>1213.48</v>
      </c>
      <c r="W931" s="12">
        <f t="shared" si="85"/>
        <v>0.37571625983535323</v>
      </c>
      <c r="X931" t="s">
        <v>32</v>
      </c>
      <c r="Y931" t="str">
        <f t="shared" si="86"/>
        <v>Paid</v>
      </c>
      <c r="Z931" t="s">
        <v>103</v>
      </c>
      <c r="AA931">
        <f>C931-B931</f>
        <v>907</v>
      </c>
      <c r="AB931" t="str">
        <f>IF(B931="","Missing Order Date",
IF(C931="","Missing Ship Date","OK"))</f>
        <v>OK</v>
      </c>
      <c r="AC931" s="7" t="str">
        <f>IF(C931&lt;B931, "Invalid", "Valid")</f>
        <v>Valid</v>
      </c>
      <c r="AD931" s="7" t="str">
        <f>IF(COUNTIF($A:$A, A931)&gt;1, "Duplicate", "Unique")</f>
        <v>Duplicate</v>
      </c>
      <c r="AE931" s="7" t="str">
        <f>IF(G931="","Unknown",G931)</f>
        <v>South</v>
      </c>
      <c r="AF931" s="7" t="str">
        <f>IF(M931="","Unknown",M931)</f>
        <v>First Class</v>
      </c>
      <c r="AG931" s="7" t="str">
        <f>IF(P931&lt;0,"Invalid",
IF(P931&gt;1,"Invalid","Valid"))</f>
        <v>Valid</v>
      </c>
      <c r="AH931" s="7" t="str">
        <f>TEXT(B931,"mmmm")</f>
        <v>August</v>
      </c>
      <c r="AI931" s="7">
        <f t="shared" si="87"/>
        <v>2024</v>
      </c>
      <c r="AJ931" s="7" t="str">
        <f>IF(OR(R931&lt;0,C931&lt;B931),"Invalid",
IF(OR(G931="Unknown",M931="Unknown"),"Warning","Clean"))</f>
        <v>Clean</v>
      </c>
      <c r="AK931" s="7" t="str">
        <f>IF(C931&lt;B931,"Ship Before Order","OK")</f>
        <v>OK</v>
      </c>
      <c r="AL931" s="7" t="str">
        <f>IF(ISNUMBER(B931),"Valid","Invalid")</f>
        <v>Valid</v>
      </c>
      <c r="AM931" s="7" t="str">
        <f t="shared" si="88"/>
        <v>Missmatched</v>
      </c>
      <c r="AN931" s="7" t="str">
        <f t="shared" si="89"/>
        <v>Missmatched</v>
      </c>
    </row>
    <row r="932" spans="1:40">
      <c r="A932" t="s">
        <v>479</v>
      </c>
      <c r="B932" s="6">
        <v>45436</v>
      </c>
      <c r="C932" s="4">
        <v>46430</v>
      </c>
      <c r="D932" t="s">
        <v>480</v>
      </c>
      <c r="E932" t="s">
        <v>132</v>
      </c>
      <c r="F932" t="s">
        <v>37</v>
      </c>
      <c r="G932" t="s">
        <v>25</v>
      </c>
      <c r="H932" t="s">
        <v>122</v>
      </c>
      <c r="I932" t="s">
        <v>123</v>
      </c>
      <c r="J932" t="s">
        <v>74</v>
      </c>
      <c r="K932" t="s">
        <v>80</v>
      </c>
      <c r="L932" t="s">
        <v>481</v>
      </c>
      <c r="M932" t="s">
        <v>44</v>
      </c>
      <c r="N932">
        <v>1</v>
      </c>
      <c r="O932">
        <v>634.13</v>
      </c>
      <c r="P932">
        <v>0</v>
      </c>
      <c r="Q932" s="7">
        <f>IF(P932="", 0, P932)</f>
        <v>0</v>
      </c>
      <c r="R932">
        <v>808.67</v>
      </c>
      <c r="S932">
        <v>453.35</v>
      </c>
      <c r="T932" s="7">
        <f>N932*O932*(1-Q932)</f>
        <v>634.13</v>
      </c>
      <c r="U932" s="7">
        <f t="shared" si="84"/>
        <v>180.77999999999997</v>
      </c>
      <c r="V932">
        <v>180.78</v>
      </c>
      <c r="W932" s="12">
        <f t="shared" si="85"/>
        <v>0.28508350022865969</v>
      </c>
      <c r="X932" t="s">
        <v>102</v>
      </c>
      <c r="Y932" t="str">
        <f t="shared" si="86"/>
        <v>Refunded</v>
      </c>
      <c r="Z932" t="s">
        <v>103</v>
      </c>
      <c r="AA932">
        <f>C932-B932</f>
        <v>994</v>
      </c>
      <c r="AB932" t="str">
        <f>IF(B932="","Missing Order Date",
IF(C932="","Missing Ship Date","OK"))</f>
        <v>OK</v>
      </c>
      <c r="AC932" s="7" t="str">
        <f>IF(C932&lt;B932, "Invalid", "Valid")</f>
        <v>Valid</v>
      </c>
      <c r="AD932" s="7" t="str">
        <f>IF(COUNTIF($A:$A, A932)&gt;1, "Duplicate", "Unique")</f>
        <v>Duplicate</v>
      </c>
      <c r="AE932" s="7" t="str">
        <f>IF(G932="","Unknown",G932)</f>
        <v>North</v>
      </c>
      <c r="AF932" s="7" t="str">
        <f>IF(M932="","Unknown",M932)</f>
        <v>Same Day</v>
      </c>
      <c r="AG932" s="7" t="str">
        <f>IF(P932&lt;0,"Invalid",
IF(P932&gt;1,"Invalid","Valid"))</f>
        <v>Valid</v>
      </c>
      <c r="AH932" s="7" t="str">
        <f>TEXT(B932,"mmmm")</f>
        <v>May</v>
      </c>
      <c r="AI932" s="7">
        <f t="shared" si="87"/>
        <v>2024</v>
      </c>
      <c r="AJ932" s="7" t="str">
        <f>IF(OR(R932&lt;0,C932&lt;B932),"Invalid",
IF(OR(G932="Unknown",M932="Unknown"),"Warning","Clean"))</f>
        <v>Clean</v>
      </c>
      <c r="AK932" s="7" t="str">
        <f>IF(C932&lt;B932,"Ship Before Order","OK")</f>
        <v>OK</v>
      </c>
      <c r="AL932" s="7" t="str">
        <f>IF(ISNUMBER(B932),"Valid","Invalid")</f>
        <v>Valid</v>
      </c>
      <c r="AM932" s="7" t="str">
        <f t="shared" si="88"/>
        <v>Missmatched</v>
      </c>
      <c r="AN932" s="7" t="str">
        <f t="shared" si="89"/>
        <v>Ok</v>
      </c>
    </row>
    <row r="933" spans="1:40">
      <c r="A933" t="s">
        <v>1110</v>
      </c>
      <c r="B933" s="6">
        <v>45824</v>
      </c>
      <c r="C933" s="4">
        <v>46431</v>
      </c>
      <c r="D933" t="s">
        <v>1111</v>
      </c>
      <c r="E933" t="s">
        <v>118</v>
      </c>
      <c r="F933" t="s">
        <v>95</v>
      </c>
      <c r="G933" t="s">
        <v>63</v>
      </c>
      <c r="H933" t="s">
        <v>72</v>
      </c>
      <c r="I933" t="s">
        <v>73</v>
      </c>
      <c r="J933" t="s">
        <v>28</v>
      </c>
      <c r="K933" t="s">
        <v>29</v>
      </c>
      <c r="L933" t="s">
        <v>1112</v>
      </c>
      <c r="M933" t="s">
        <v>50</v>
      </c>
      <c r="N933">
        <v>3</v>
      </c>
      <c r="O933">
        <v>4289.37</v>
      </c>
      <c r="P933">
        <v>0.1</v>
      </c>
      <c r="Q933" s="7">
        <f>IF(P933="", 0, P933)</f>
        <v>0.1</v>
      </c>
      <c r="R933">
        <v>11778.71</v>
      </c>
      <c r="S933">
        <v>6829.43</v>
      </c>
      <c r="T933" s="7">
        <f>N933*O933*(1-Q933)</f>
        <v>11581.299000000001</v>
      </c>
      <c r="U933" s="7">
        <f t="shared" si="84"/>
        <v>4751.8690000000006</v>
      </c>
      <c r="V933">
        <v>4751.87</v>
      </c>
      <c r="W933" s="12">
        <f t="shared" si="85"/>
        <v>0.41030535521101735</v>
      </c>
      <c r="X933" t="s">
        <v>32</v>
      </c>
      <c r="Y933" t="str">
        <f t="shared" si="86"/>
        <v>Paid</v>
      </c>
      <c r="Z933" t="s">
        <v>103</v>
      </c>
      <c r="AA933">
        <f>C933-B933</f>
        <v>607</v>
      </c>
      <c r="AB933" t="str">
        <f>IF(B933="","Missing Order Date",
IF(C933="","Missing Ship Date","OK"))</f>
        <v>OK</v>
      </c>
      <c r="AC933" s="7" t="str">
        <f>IF(C933&lt;B933, "Invalid", "Valid")</f>
        <v>Valid</v>
      </c>
      <c r="AD933" s="7" t="str">
        <f>IF(COUNTIF($A:$A, A933)&gt;1, "Duplicate", "Unique")</f>
        <v>Duplicate</v>
      </c>
      <c r="AE933" s="7" t="str">
        <f>IF(G933="","Unknown",G933)</f>
        <v>West</v>
      </c>
      <c r="AF933" s="7" t="str">
        <f>IF(M933="","Unknown",M933)</f>
        <v>First Class</v>
      </c>
      <c r="AG933" s="7" t="str">
        <f>IF(P933&lt;0,"Invalid",
IF(P933&gt;1,"Invalid","Valid"))</f>
        <v>Valid</v>
      </c>
      <c r="AH933" s="7" t="str">
        <f>TEXT(B933,"mmmm")</f>
        <v>June</v>
      </c>
      <c r="AI933" s="7">
        <f t="shared" si="87"/>
        <v>2025</v>
      </c>
      <c r="AJ933" s="7" t="str">
        <f>IF(OR(R933&lt;0,C933&lt;B933),"Invalid",
IF(OR(G933="Unknown",M933="Unknown"),"Warning","Clean"))</f>
        <v>Clean</v>
      </c>
      <c r="AK933" s="7" t="str">
        <f>IF(C933&lt;B933,"Ship Before Order","OK")</f>
        <v>OK</v>
      </c>
      <c r="AL933" s="7" t="str">
        <f>IF(ISNUMBER(B933),"Valid","Invalid")</f>
        <v>Valid</v>
      </c>
      <c r="AM933" s="7" t="str">
        <f t="shared" si="88"/>
        <v>Missmatched</v>
      </c>
      <c r="AN933" s="7" t="str">
        <f t="shared" si="89"/>
        <v>Missmatched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2762</v>
      </c>
      <c r="B1" s="1" t="s">
        <v>2763</v>
      </c>
    </row>
    <row r="2" spans="1:2" ht="41.4">
      <c r="A2" s="2" t="s">
        <v>2764</v>
      </c>
      <c r="B2" s="2" t="s">
        <v>2765</v>
      </c>
    </row>
    <row r="3" spans="1:2" ht="27.6">
      <c r="A3" s="2" t="s">
        <v>2766</v>
      </c>
      <c r="B3" s="2" t="s">
        <v>2767</v>
      </c>
    </row>
    <row r="4" spans="1:2" ht="27.6">
      <c r="A4" s="2" t="s">
        <v>2768</v>
      </c>
      <c r="B4" s="2" t="s">
        <v>2767</v>
      </c>
    </row>
    <row r="5" spans="1:2" ht="27.6">
      <c r="A5" s="2" t="s">
        <v>2769</v>
      </c>
      <c r="B5" s="2" t="s">
        <v>2770</v>
      </c>
    </row>
    <row r="6" spans="1:2" ht="41.4">
      <c r="A6" s="2" t="s">
        <v>2771</v>
      </c>
      <c r="B6" s="2" t="s">
        <v>2772</v>
      </c>
    </row>
    <row r="7" spans="1:2" ht="55.2">
      <c r="A7" s="2" t="s">
        <v>2773</v>
      </c>
      <c r="B7" s="2" t="s">
        <v>2774</v>
      </c>
    </row>
    <row r="8" spans="1:2" ht="27.6">
      <c r="A8" s="2" t="s">
        <v>2775</v>
      </c>
      <c r="B8" s="2" t="s">
        <v>2776</v>
      </c>
    </row>
    <row r="9" spans="1:2" ht="41.4">
      <c r="A9" s="2" t="s">
        <v>2777</v>
      </c>
      <c r="B9" s="2" t="s">
        <v>2778</v>
      </c>
    </row>
    <row r="10" spans="1:2" ht="69">
      <c r="A10" s="2" t="s">
        <v>2779</v>
      </c>
      <c r="B10" s="2" t="s">
        <v>2780</v>
      </c>
    </row>
    <row r="11" spans="1:2" ht="41.4">
      <c r="A11" s="2" t="s">
        <v>2781</v>
      </c>
      <c r="B11" s="2" t="s">
        <v>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Sheet5</vt:lpstr>
      <vt:lpstr>Sheet6</vt:lpstr>
      <vt:lpstr>Sheet10</vt:lpstr>
      <vt:lpstr>Sheet11</vt:lpstr>
      <vt:lpstr>Sheet13</vt:lpstr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Amardas</dc:creator>
  <cp:lastModifiedBy>Amardas</cp:lastModifiedBy>
  <dcterms:created xsi:type="dcterms:W3CDTF">2026-06-26T07:44:04Z</dcterms:created>
  <dcterms:modified xsi:type="dcterms:W3CDTF">2026-06-27T12:14:19Z</dcterms:modified>
</cp:coreProperties>
</file>